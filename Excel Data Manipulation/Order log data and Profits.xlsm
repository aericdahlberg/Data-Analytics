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ricdahlberg/Desktop/Professional/Comp sci project and AESOP/AesopAcademy /First Meeting/Session 3/"/>
    </mc:Choice>
  </mc:AlternateContent>
  <xr:revisionPtr revIDLastSave="0" documentId="13_ncr:1_{DD648E6A-5C14-7D44-ABA4-18988F99CD2D}" xr6:coauthVersionLast="47" xr6:coauthVersionMax="47" xr10:uidLastSave="{00000000-0000-0000-0000-000000000000}"/>
  <bookViews>
    <workbookView xWindow="10580" yWindow="500" windowWidth="25040" windowHeight="16340" firstSheet="3" activeTab="3" xr2:uid="{00000000-000D-0000-FFFF-FFFF00000000}"/>
  </bookViews>
  <sheets>
    <sheet name="Q3 Pivots" sheetId="4" r:id="rId1"/>
    <sheet name="new pivot" sheetId="5" r:id="rId2"/>
    <sheet name="Question 5 Risk_Order_Threshold" sheetId="6" r:id="rId3"/>
    <sheet name="Order log data" sheetId="1" r:id="rId4"/>
    <sheet name="Profits by Item" sheetId="7" r:id="rId5"/>
    <sheet name="Units in Regions" sheetId="9" r:id="rId6"/>
    <sheet name="Profit by Region" sheetId="3" r:id="rId7"/>
  </sheets>
  <externalReferences>
    <externalReference r:id="rId8"/>
    <externalReference r:id="rId9"/>
  </externalReferences>
  <definedNames>
    <definedName name="_xlnm._FilterDatabase" localSheetId="3" hidden="1">'Order log data'!$A$2:$U$1630</definedName>
    <definedName name="_xlnm._FilterDatabase" localSheetId="6" hidden="1">'Profit by Region'!$A$1:$A$6</definedName>
  </definedNames>
  <calcPr calcId="191029"/>
  <pivotCaches>
    <pivotCache cacheId="0" r:id="rId10"/>
    <pivotCache cacheId="1" r:id="rId11"/>
    <pivotCache cacheId="2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61" i="1" l="1"/>
  <c r="L16" i="1"/>
  <c r="S16" i="1" s="1"/>
  <c r="P1630" i="1"/>
  <c r="O1630" i="1"/>
  <c r="N1630" i="1"/>
  <c r="M1630" i="1"/>
  <c r="L1630" i="1"/>
  <c r="S1630" i="1" s="1"/>
  <c r="P1629" i="1"/>
  <c r="O1629" i="1"/>
  <c r="N1629" i="1"/>
  <c r="M1629" i="1"/>
  <c r="L1629" i="1"/>
  <c r="S1629" i="1" s="1"/>
  <c r="P1628" i="1"/>
  <c r="O1628" i="1"/>
  <c r="N1628" i="1"/>
  <c r="M1628" i="1"/>
  <c r="L1628" i="1"/>
  <c r="S1628" i="1" s="1"/>
  <c r="P1627" i="1"/>
  <c r="O1627" i="1"/>
  <c r="N1627" i="1"/>
  <c r="M1627" i="1"/>
  <c r="L1627" i="1"/>
  <c r="S1627" i="1" s="1"/>
  <c r="P1626" i="1"/>
  <c r="O1626" i="1"/>
  <c r="N1626" i="1"/>
  <c r="M1626" i="1"/>
  <c r="L1626" i="1"/>
  <c r="S1626" i="1" s="1"/>
  <c r="P1625" i="1"/>
  <c r="O1625" i="1"/>
  <c r="N1625" i="1"/>
  <c r="M1625" i="1"/>
  <c r="L1625" i="1"/>
  <c r="S1625" i="1" s="1"/>
  <c r="P1624" i="1"/>
  <c r="O1624" i="1"/>
  <c r="N1624" i="1"/>
  <c r="M1624" i="1"/>
  <c r="L1624" i="1"/>
  <c r="S1624" i="1" s="1"/>
  <c r="P1623" i="1"/>
  <c r="O1623" i="1"/>
  <c r="N1623" i="1"/>
  <c r="M1623" i="1"/>
  <c r="L1623" i="1"/>
  <c r="S1623" i="1" s="1"/>
  <c r="P1622" i="1"/>
  <c r="O1622" i="1"/>
  <c r="N1622" i="1"/>
  <c r="M1622" i="1"/>
  <c r="L1622" i="1"/>
  <c r="S1622" i="1" s="1"/>
  <c r="P1621" i="1"/>
  <c r="O1621" i="1"/>
  <c r="N1621" i="1"/>
  <c r="M1621" i="1"/>
  <c r="L1621" i="1"/>
  <c r="S1621" i="1" s="1"/>
  <c r="P1620" i="1"/>
  <c r="O1620" i="1"/>
  <c r="N1620" i="1"/>
  <c r="M1620" i="1"/>
  <c r="L1620" i="1"/>
  <c r="S1620" i="1" s="1"/>
  <c r="P1619" i="1"/>
  <c r="O1619" i="1"/>
  <c r="N1619" i="1"/>
  <c r="M1619" i="1"/>
  <c r="L1619" i="1"/>
  <c r="S1619" i="1" s="1"/>
  <c r="P1618" i="1"/>
  <c r="O1618" i="1"/>
  <c r="N1618" i="1"/>
  <c r="M1618" i="1"/>
  <c r="L1618" i="1"/>
  <c r="S1618" i="1" s="1"/>
  <c r="P1617" i="1"/>
  <c r="O1617" i="1"/>
  <c r="N1617" i="1"/>
  <c r="M1617" i="1"/>
  <c r="L1617" i="1"/>
  <c r="S1617" i="1" s="1"/>
  <c r="P1616" i="1"/>
  <c r="O1616" i="1"/>
  <c r="N1616" i="1"/>
  <c r="M1616" i="1"/>
  <c r="L1616" i="1"/>
  <c r="S1616" i="1" s="1"/>
  <c r="P1615" i="1"/>
  <c r="O1615" i="1"/>
  <c r="N1615" i="1"/>
  <c r="M1615" i="1"/>
  <c r="L1615" i="1"/>
  <c r="S1615" i="1" s="1"/>
  <c r="P1614" i="1"/>
  <c r="O1614" i="1"/>
  <c r="N1614" i="1"/>
  <c r="M1614" i="1"/>
  <c r="L1614" i="1"/>
  <c r="S1614" i="1" s="1"/>
  <c r="P1613" i="1"/>
  <c r="O1613" i="1"/>
  <c r="N1613" i="1"/>
  <c r="M1613" i="1"/>
  <c r="L1613" i="1"/>
  <c r="S1613" i="1" s="1"/>
  <c r="P1612" i="1"/>
  <c r="O1612" i="1"/>
  <c r="N1612" i="1"/>
  <c r="M1612" i="1"/>
  <c r="L1612" i="1"/>
  <c r="S1612" i="1" s="1"/>
  <c r="P1611" i="1"/>
  <c r="O1611" i="1"/>
  <c r="N1611" i="1"/>
  <c r="M1611" i="1"/>
  <c r="L1611" i="1"/>
  <c r="S1611" i="1" s="1"/>
  <c r="P1610" i="1"/>
  <c r="O1610" i="1"/>
  <c r="N1610" i="1"/>
  <c r="M1610" i="1"/>
  <c r="L1610" i="1"/>
  <c r="S1610" i="1" s="1"/>
  <c r="P1609" i="1"/>
  <c r="O1609" i="1"/>
  <c r="N1609" i="1"/>
  <c r="M1609" i="1"/>
  <c r="L1609" i="1"/>
  <c r="S1609" i="1" s="1"/>
  <c r="P1608" i="1"/>
  <c r="O1608" i="1"/>
  <c r="N1608" i="1"/>
  <c r="M1608" i="1"/>
  <c r="L1608" i="1"/>
  <c r="S1608" i="1" s="1"/>
  <c r="P1607" i="1"/>
  <c r="O1607" i="1"/>
  <c r="N1607" i="1"/>
  <c r="M1607" i="1"/>
  <c r="L1607" i="1"/>
  <c r="S1607" i="1" s="1"/>
  <c r="P1606" i="1"/>
  <c r="O1606" i="1"/>
  <c r="N1606" i="1"/>
  <c r="M1606" i="1"/>
  <c r="L1606" i="1"/>
  <c r="S1606" i="1" s="1"/>
  <c r="P1605" i="1"/>
  <c r="O1605" i="1"/>
  <c r="N1605" i="1"/>
  <c r="M1605" i="1"/>
  <c r="L1605" i="1"/>
  <c r="S1605" i="1" s="1"/>
  <c r="P1604" i="1"/>
  <c r="O1604" i="1"/>
  <c r="N1604" i="1"/>
  <c r="M1604" i="1"/>
  <c r="L1604" i="1"/>
  <c r="S1604" i="1" s="1"/>
  <c r="P1603" i="1"/>
  <c r="O1603" i="1"/>
  <c r="N1603" i="1"/>
  <c r="M1603" i="1"/>
  <c r="L1603" i="1"/>
  <c r="S1603" i="1" s="1"/>
  <c r="P1602" i="1"/>
  <c r="O1602" i="1"/>
  <c r="N1602" i="1"/>
  <c r="M1602" i="1"/>
  <c r="L1602" i="1"/>
  <c r="S1602" i="1" s="1"/>
  <c r="P1601" i="1"/>
  <c r="O1601" i="1"/>
  <c r="N1601" i="1"/>
  <c r="M1601" i="1"/>
  <c r="L1601" i="1"/>
  <c r="S1601" i="1" s="1"/>
  <c r="P1600" i="1"/>
  <c r="O1600" i="1"/>
  <c r="N1600" i="1"/>
  <c r="M1600" i="1"/>
  <c r="L1600" i="1"/>
  <c r="S1600" i="1" s="1"/>
  <c r="P1599" i="1"/>
  <c r="O1599" i="1"/>
  <c r="N1599" i="1"/>
  <c r="M1599" i="1"/>
  <c r="L1599" i="1"/>
  <c r="S1599" i="1" s="1"/>
  <c r="P1598" i="1"/>
  <c r="O1598" i="1"/>
  <c r="N1598" i="1"/>
  <c r="M1598" i="1"/>
  <c r="L1598" i="1"/>
  <c r="S1598" i="1" s="1"/>
  <c r="P1597" i="1"/>
  <c r="O1597" i="1"/>
  <c r="N1597" i="1"/>
  <c r="M1597" i="1"/>
  <c r="L1597" i="1"/>
  <c r="S1597" i="1" s="1"/>
  <c r="P1596" i="1"/>
  <c r="O1596" i="1"/>
  <c r="N1596" i="1"/>
  <c r="M1596" i="1"/>
  <c r="L1596" i="1"/>
  <c r="S1596" i="1" s="1"/>
  <c r="P1595" i="1"/>
  <c r="O1595" i="1"/>
  <c r="N1595" i="1"/>
  <c r="M1595" i="1"/>
  <c r="L1595" i="1"/>
  <c r="S1595" i="1" s="1"/>
  <c r="P1594" i="1"/>
  <c r="O1594" i="1"/>
  <c r="N1594" i="1"/>
  <c r="M1594" i="1"/>
  <c r="L1594" i="1"/>
  <c r="S1594" i="1" s="1"/>
  <c r="P1593" i="1"/>
  <c r="O1593" i="1"/>
  <c r="N1593" i="1"/>
  <c r="M1593" i="1"/>
  <c r="L1593" i="1"/>
  <c r="S1593" i="1" s="1"/>
  <c r="P1592" i="1"/>
  <c r="O1592" i="1"/>
  <c r="N1592" i="1"/>
  <c r="M1592" i="1"/>
  <c r="L1592" i="1"/>
  <c r="S1592" i="1" s="1"/>
  <c r="P1591" i="1"/>
  <c r="O1591" i="1"/>
  <c r="N1591" i="1"/>
  <c r="M1591" i="1"/>
  <c r="L1591" i="1"/>
  <c r="S1591" i="1" s="1"/>
  <c r="P1590" i="1"/>
  <c r="O1590" i="1"/>
  <c r="N1590" i="1"/>
  <c r="M1590" i="1"/>
  <c r="L1590" i="1"/>
  <c r="S1590" i="1" s="1"/>
  <c r="P1589" i="1"/>
  <c r="O1589" i="1"/>
  <c r="N1589" i="1"/>
  <c r="M1589" i="1"/>
  <c r="L1589" i="1"/>
  <c r="S1589" i="1" s="1"/>
  <c r="P1588" i="1"/>
  <c r="O1588" i="1"/>
  <c r="N1588" i="1"/>
  <c r="M1588" i="1"/>
  <c r="L1588" i="1"/>
  <c r="S1588" i="1" s="1"/>
  <c r="P1587" i="1"/>
  <c r="O1587" i="1"/>
  <c r="N1587" i="1"/>
  <c r="M1587" i="1"/>
  <c r="L1587" i="1"/>
  <c r="S1587" i="1" s="1"/>
  <c r="P1586" i="1"/>
  <c r="O1586" i="1"/>
  <c r="N1586" i="1"/>
  <c r="M1586" i="1"/>
  <c r="L1586" i="1"/>
  <c r="S1586" i="1" s="1"/>
  <c r="P1585" i="1"/>
  <c r="O1585" i="1"/>
  <c r="N1585" i="1"/>
  <c r="M1585" i="1"/>
  <c r="L1585" i="1"/>
  <c r="S1585" i="1" s="1"/>
  <c r="P1584" i="1"/>
  <c r="O1584" i="1"/>
  <c r="N1584" i="1"/>
  <c r="M1584" i="1"/>
  <c r="L1584" i="1"/>
  <c r="S1584" i="1" s="1"/>
  <c r="P1583" i="1"/>
  <c r="O1583" i="1"/>
  <c r="N1583" i="1"/>
  <c r="M1583" i="1"/>
  <c r="L1583" i="1"/>
  <c r="S1583" i="1" s="1"/>
  <c r="P1582" i="1"/>
  <c r="O1582" i="1"/>
  <c r="N1582" i="1"/>
  <c r="M1582" i="1"/>
  <c r="L1582" i="1"/>
  <c r="S1582" i="1" s="1"/>
  <c r="P1581" i="1"/>
  <c r="O1581" i="1"/>
  <c r="N1581" i="1"/>
  <c r="M1581" i="1"/>
  <c r="L1581" i="1"/>
  <c r="S1581" i="1" s="1"/>
  <c r="P1580" i="1"/>
  <c r="O1580" i="1"/>
  <c r="N1580" i="1"/>
  <c r="M1580" i="1"/>
  <c r="L1580" i="1"/>
  <c r="S1580" i="1" s="1"/>
  <c r="P1579" i="1"/>
  <c r="O1579" i="1"/>
  <c r="N1579" i="1"/>
  <c r="M1579" i="1"/>
  <c r="L1579" i="1"/>
  <c r="S1579" i="1" s="1"/>
  <c r="P1578" i="1"/>
  <c r="O1578" i="1"/>
  <c r="N1578" i="1"/>
  <c r="M1578" i="1"/>
  <c r="L1578" i="1"/>
  <c r="S1578" i="1" s="1"/>
  <c r="P1577" i="1"/>
  <c r="O1577" i="1"/>
  <c r="N1577" i="1"/>
  <c r="M1577" i="1"/>
  <c r="L1577" i="1"/>
  <c r="S1577" i="1" s="1"/>
  <c r="P1576" i="1"/>
  <c r="O1576" i="1"/>
  <c r="N1576" i="1"/>
  <c r="M1576" i="1"/>
  <c r="L1576" i="1"/>
  <c r="S1576" i="1" s="1"/>
  <c r="P1575" i="1"/>
  <c r="O1575" i="1"/>
  <c r="N1575" i="1"/>
  <c r="M1575" i="1"/>
  <c r="L1575" i="1"/>
  <c r="S1575" i="1" s="1"/>
  <c r="P1574" i="1"/>
  <c r="O1574" i="1"/>
  <c r="N1574" i="1"/>
  <c r="M1574" i="1"/>
  <c r="L1574" i="1"/>
  <c r="S1574" i="1" s="1"/>
  <c r="P1573" i="1"/>
  <c r="O1573" i="1"/>
  <c r="N1573" i="1"/>
  <c r="M1573" i="1"/>
  <c r="L1573" i="1"/>
  <c r="S1573" i="1" s="1"/>
  <c r="P1572" i="1"/>
  <c r="O1572" i="1"/>
  <c r="N1572" i="1"/>
  <c r="M1572" i="1"/>
  <c r="L1572" i="1"/>
  <c r="S1572" i="1" s="1"/>
  <c r="P1571" i="1"/>
  <c r="O1571" i="1"/>
  <c r="N1571" i="1"/>
  <c r="M1571" i="1"/>
  <c r="L1571" i="1"/>
  <c r="S1571" i="1" s="1"/>
  <c r="P1570" i="1"/>
  <c r="O1570" i="1"/>
  <c r="N1570" i="1"/>
  <c r="M1570" i="1"/>
  <c r="L1570" i="1"/>
  <c r="S1570" i="1" s="1"/>
  <c r="P1569" i="1"/>
  <c r="O1569" i="1"/>
  <c r="N1569" i="1"/>
  <c r="M1569" i="1"/>
  <c r="L1569" i="1"/>
  <c r="S1569" i="1" s="1"/>
  <c r="P1568" i="1"/>
  <c r="O1568" i="1"/>
  <c r="N1568" i="1"/>
  <c r="M1568" i="1"/>
  <c r="L1568" i="1"/>
  <c r="S1568" i="1" s="1"/>
  <c r="P1567" i="1"/>
  <c r="O1567" i="1"/>
  <c r="N1567" i="1"/>
  <c r="M1567" i="1"/>
  <c r="L1567" i="1"/>
  <c r="S1567" i="1" s="1"/>
  <c r="P1566" i="1"/>
  <c r="O1566" i="1"/>
  <c r="N1566" i="1"/>
  <c r="M1566" i="1"/>
  <c r="L1566" i="1"/>
  <c r="S1566" i="1" s="1"/>
  <c r="P1565" i="1"/>
  <c r="O1565" i="1"/>
  <c r="N1565" i="1"/>
  <c r="M1565" i="1"/>
  <c r="L1565" i="1"/>
  <c r="S1565" i="1" s="1"/>
  <c r="P1564" i="1"/>
  <c r="O1564" i="1"/>
  <c r="N1564" i="1"/>
  <c r="M1564" i="1"/>
  <c r="L1564" i="1"/>
  <c r="S1564" i="1" s="1"/>
  <c r="P1563" i="1"/>
  <c r="O1563" i="1"/>
  <c r="N1563" i="1"/>
  <c r="M1563" i="1"/>
  <c r="L1563" i="1"/>
  <c r="S1563" i="1" s="1"/>
  <c r="P1562" i="1"/>
  <c r="O1562" i="1"/>
  <c r="N1562" i="1"/>
  <c r="M1562" i="1"/>
  <c r="L1562" i="1"/>
  <c r="S1562" i="1" s="1"/>
  <c r="P1561" i="1"/>
  <c r="O1561" i="1"/>
  <c r="N1561" i="1"/>
  <c r="M1561" i="1"/>
  <c r="L1561" i="1"/>
  <c r="S1561" i="1" s="1"/>
  <c r="P1560" i="1"/>
  <c r="O1560" i="1"/>
  <c r="N1560" i="1"/>
  <c r="M1560" i="1"/>
  <c r="L1560" i="1"/>
  <c r="S1560" i="1" s="1"/>
  <c r="P1559" i="1"/>
  <c r="O1559" i="1"/>
  <c r="N1559" i="1"/>
  <c r="M1559" i="1"/>
  <c r="L1559" i="1"/>
  <c r="S1559" i="1" s="1"/>
  <c r="P1558" i="1"/>
  <c r="O1558" i="1"/>
  <c r="N1558" i="1"/>
  <c r="M1558" i="1"/>
  <c r="L1558" i="1"/>
  <c r="S1558" i="1" s="1"/>
  <c r="P1557" i="1"/>
  <c r="O1557" i="1"/>
  <c r="N1557" i="1"/>
  <c r="M1557" i="1"/>
  <c r="L1557" i="1"/>
  <c r="S1557" i="1" s="1"/>
  <c r="P1556" i="1"/>
  <c r="O1556" i="1"/>
  <c r="N1556" i="1"/>
  <c r="M1556" i="1"/>
  <c r="L1556" i="1"/>
  <c r="S1556" i="1" s="1"/>
  <c r="P1555" i="1"/>
  <c r="O1555" i="1"/>
  <c r="N1555" i="1"/>
  <c r="M1555" i="1"/>
  <c r="L1555" i="1"/>
  <c r="S1555" i="1" s="1"/>
  <c r="P1554" i="1"/>
  <c r="O1554" i="1"/>
  <c r="N1554" i="1"/>
  <c r="M1554" i="1"/>
  <c r="L1554" i="1"/>
  <c r="S1554" i="1" s="1"/>
  <c r="P1553" i="1"/>
  <c r="O1553" i="1"/>
  <c r="N1553" i="1"/>
  <c r="M1553" i="1"/>
  <c r="L1553" i="1"/>
  <c r="S1553" i="1" s="1"/>
  <c r="P1552" i="1"/>
  <c r="O1552" i="1"/>
  <c r="N1552" i="1"/>
  <c r="M1552" i="1"/>
  <c r="L1552" i="1"/>
  <c r="S1552" i="1" s="1"/>
  <c r="P1551" i="1"/>
  <c r="O1551" i="1"/>
  <c r="N1551" i="1"/>
  <c r="M1551" i="1"/>
  <c r="L1551" i="1"/>
  <c r="S1551" i="1" s="1"/>
  <c r="P1550" i="1"/>
  <c r="O1550" i="1"/>
  <c r="N1550" i="1"/>
  <c r="M1550" i="1"/>
  <c r="L1550" i="1"/>
  <c r="S1550" i="1" s="1"/>
  <c r="P1549" i="1"/>
  <c r="O1549" i="1"/>
  <c r="N1549" i="1"/>
  <c r="M1549" i="1"/>
  <c r="L1549" i="1"/>
  <c r="S1549" i="1" s="1"/>
  <c r="P1548" i="1"/>
  <c r="O1548" i="1"/>
  <c r="N1548" i="1"/>
  <c r="M1548" i="1"/>
  <c r="L1548" i="1"/>
  <c r="S1548" i="1" s="1"/>
  <c r="P1547" i="1"/>
  <c r="O1547" i="1"/>
  <c r="N1547" i="1"/>
  <c r="M1547" i="1"/>
  <c r="L1547" i="1"/>
  <c r="S1547" i="1" s="1"/>
  <c r="P1546" i="1"/>
  <c r="O1546" i="1"/>
  <c r="N1546" i="1"/>
  <c r="M1546" i="1"/>
  <c r="L1546" i="1"/>
  <c r="S1546" i="1" s="1"/>
  <c r="P1545" i="1"/>
  <c r="O1545" i="1"/>
  <c r="N1545" i="1"/>
  <c r="M1545" i="1"/>
  <c r="L1545" i="1"/>
  <c r="S1545" i="1" s="1"/>
  <c r="P1544" i="1"/>
  <c r="O1544" i="1"/>
  <c r="N1544" i="1"/>
  <c r="M1544" i="1"/>
  <c r="L1544" i="1"/>
  <c r="S1544" i="1" s="1"/>
  <c r="P1543" i="1"/>
  <c r="O1543" i="1"/>
  <c r="N1543" i="1"/>
  <c r="M1543" i="1"/>
  <c r="L1543" i="1"/>
  <c r="S1543" i="1" s="1"/>
  <c r="P1542" i="1"/>
  <c r="O1542" i="1"/>
  <c r="N1542" i="1"/>
  <c r="M1542" i="1"/>
  <c r="L1542" i="1"/>
  <c r="S1542" i="1" s="1"/>
  <c r="P1541" i="1"/>
  <c r="O1541" i="1"/>
  <c r="N1541" i="1"/>
  <c r="M1541" i="1"/>
  <c r="L1541" i="1"/>
  <c r="S1541" i="1" s="1"/>
  <c r="P1540" i="1"/>
  <c r="O1540" i="1"/>
  <c r="N1540" i="1"/>
  <c r="M1540" i="1"/>
  <c r="L1540" i="1"/>
  <c r="S1540" i="1" s="1"/>
  <c r="P1539" i="1"/>
  <c r="O1539" i="1"/>
  <c r="N1539" i="1"/>
  <c r="M1539" i="1"/>
  <c r="L1539" i="1"/>
  <c r="S1539" i="1" s="1"/>
  <c r="P1538" i="1"/>
  <c r="O1538" i="1"/>
  <c r="N1538" i="1"/>
  <c r="M1538" i="1"/>
  <c r="L1538" i="1"/>
  <c r="S1538" i="1" s="1"/>
  <c r="P1537" i="1"/>
  <c r="O1537" i="1"/>
  <c r="N1537" i="1"/>
  <c r="M1537" i="1"/>
  <c r="L1537" i="1"/>
  <c r="S1537" i="1" s="1"/>
  <c r="P1536" i="1"/>
  <c r="O1536" i="1"/>
  <c r="N1536" i="1"/>
  <c r="M1536" i="1"/>
  <c r="L1536" i="1"/>
  <c r="S1536" i="1" s="1"/>
  <c r="P1535" i="1"/>
  <c r="O1535" i="1"/>
  <c r="N1535" i="1"/>
  <c r="M1535" i="1"/>
  <c r="L1535" i="1"/>
  <c r="S1535" i="1" s="1"/>
  <c r="P1534" i="1"/>
  <c r="O1534" i="1"/>
  <c r="N1534" i="1"/>
  <c r="M1534" i="1"/>
  <c r="L1534" i="1"/>
  <c r="S1534" i="1" s="1"/>
  <c r="P1533" i="1"/>
  <c r="O1533" i="1"/>
  <c r="N1533" i="1"/>
  <c r="M1533" i="1"/>
  <c r="L1533" i="1"/>
  <c r="S1533" i="1" s="1"/>
  <c r="P1532" i="1"/>
  <c r="O1532" i="1"/>
  <c r="N1532" i="1"/>
  <c r="M1532" i="1"/>
  <c r="L1532" i="1"/>
  <c r="S1532" i="1" s="1"/>
  <c r="P1531" i="1"/>
  <c r="O1531" i="1"/>
  <c r="N1531" i="1"/>
  <c r="M1531" i="1"/>
  <c r="L1531" i="1"/>
  <c r="S1531" i="1" s="1"/>
  <c r="P1530" i="1"/>
  <c r="O1530" i="1"/>
  <c r="N1530" i="1"/>
  <c r="M1530" i="1"/>
  <c r="L1530" i="1"/>
  <c r="S1530" i="1" s="1"/>
  <c r="P1529" i="1"/>
  <c r="O1529" i="1"/>
  <c r="N1529" i="1"/>
  <c r="M1529" i="1"/>
  <c r="L1529" i="1"/>
  <c r="S1529" i="1" s="1"/>
  <c r="P1528" i="1"/>
  <c r="O1528" i="1"/>
  <c r="N1528" i="1"/>
  <c r="M1528" i="1"/>
  <c r="L1528" i="1"/>
  <c r="S1528" i="1" s="1"/>
  <c r="P1527" i="1"/>
  <c r="O1527" i="1"/>
  <c r="N1527" i="1"/>
  <c r="M1527" i="1"/>
  <c r="L1527" i="1"/>
  <c r="S1527" i="1" s="1"/>
  <c r="P1526" i="1"/>
  <c r="O1526" i="1"/>
  <c r="N1526" i="1"/>
  <c r="M1526" i="1"/>
  <c r="L1526" i="1"/>
  <c r="S1526" i="1" s="1"/>
  <c r="P1525" i="1"/>
  <c r="O1525" i="1"/>
  <c r="N1525" i="1"/>
  <c r="M1525" i="1"/>
  <c r="L1525" i="1"/>
  <c r="S1525" i="1" s="1"/>
  <c r="P1524" i="1"/>
  <c r="O1524" i="1"/>
  <c r="N1524" i="1"/>
  <c r="M1524" i="1"/>
  <c r="L1524" i="1"/>
  <c r="S1524" i="1" s="1"/>
  <c r="P1523" i="1"/>
  <c r="O1523" i="1"/>
  <c r="N1523" i="1"/>
  <c r="M1523" i="1"/>
  <c r="L1523" i="1"/>
  <c r="S1523" i="1" s="1"/>
  <c r="P631" i="1"/>
  <c r="O631" i="1"/>
  <c r="N631" i="1"/>
  <c r="M631" i="1"/>
  <c r="L631" i="1"/>
  <c r="S631" i="1" s="1"/>
  <c r="P630" i="1"/>
  <c r="O630" i="1"/>
  <c r="N630" i="1"/>
  <c r="M630" i="1"/>
  <c r="L630" i="1"/>
  <c r="S630" i="1" s="1"/>
  <c r="P629" i="1"/>
  <c r="O629" i="1"/>
  <c r="N629" i="1"/>
  <c r="M629" i="1"/>
  <c r="L629" i="1"/>
  <c r="S629" i="1" s="1"/>
  <c r="P1519" i="1"/>
  <c r="O1519" i="1"/>
  <c r="N1519" i="1"/>
  <c r="M1519" i="1"/>
  <c r="L1519" i="1"/>
  <c r="S1519" i="1" s="1"/>
  <c r="P628" i="1"/>
  <c r="O628" i="1"/>
  <c r="N628" i="1"/>
  <c r="M628" i="1"/>
  <c r="L628" i="1"/>
  <c r="S628" i="1" s="1"/>
  <c r="P627" i="1"/>
  <c r="O627" i="1"/>
  <c r="N627" i="1"/>
  <c r="M627" i="1"/>
  <c r="L627" i="1"/>
  <c r="S627" i="1" s="1"/>
  <c r="P626" i="1"/>
  <c r="O626" i="1"/>
  <c r="N626" i="1"/>
  <c r="M626" i="1"/>
  <c r="L626" i="1"/>
  <c r="S626" i="1" s="1"/>
  <c r="P1515" i="1"/>
  <c r="O1515" i="1"/>
  <c r="N1515" i="1"/>
  <c r="M1515" i="1"/>
  <c r="L1515" i="1"/>
  <c r="S1515" i="1" s="1"/>
  <c r="P1514" i="1"/>
  <c r="O1514" i="1"/>
  <c r="N1514" i="1"/>
  <c r="M1514" i="1"/>
  <c r="L1514" i="1"/>
  <c r="S1514" i="1" s="1"/>
  <c r="P1513" i="1"/>
  <c r="O1513" i="1"/>
  <c r="N1513" i="1"/>
  <c r="M1513" i="1"/>
  <c r="L1513" i="1"/>
  <c r="S1513" i="1" s="1"/>
  <c r="P1512" i="1"/>
  <c r="O1512" i="1"/>
  <c r="N1512" i="1"/>
  <c r="M1512" i="1"/>
  <c r="L1512" i="1"/>
  <c r="S1512" i="1" s="1"/>
  <c r="P1511" i="1"/>
  <c r="O1511" i="1"/>
  <c r="N1511" i="1"/>
  <c r="M1511" i="1"/>
  <c r="L1511" i="1"/>
  <c r="S1511" i="1" s="1"/>
  <c r="P1510" i="1"/>
  <c r="O1510" i="1"/>
  <c r="N1510" i="1"/>
  <c r="M1510" i="1"/>
  <c r="L1510" i="1"/>
  <c r="S1510" i="1" s="1"/>
  <c r="P1509" i="1"/>
  <c r="O1509" i="1"/>
  <c r="N1509" i="1"/>
  <c r="M1509" i="1"/>
  <c r="L1509" i="1"/>
  <c r="S1509" i="1" s="1"/>
  <c r="P1508" i="1"/>
  <c r="O1508" i="1"/>
  <c r="N1508" i="1"/>
  <c r="M1508" i="1"/>
  <c r="L1508" i="1"/>
  <c r="S1508" i="1" s="1"/>
  <c r="P1507" i="1"/>
  <c r="O1507" i="1"/>
  <c r="N1507" i="1"/>
  <c r="M1507" i="1"/>
  <c r="L1507" i="1"/>
  <c r="S1507" i="1" s="1"/>
  <c r="P1506" i="1"/>
  <c r="O1506" i="1"/>
  <c r="N1506" i="1"/>
  <c r="M1506" i="1"/>
  <c r="L1506" i="1"/>
  <c r="S1506" i="1" s="1"/>
  <c r="P1505" i="1"/>
  <c r="O1505" i="1"/>
  <c r="N1505" i="1"/>
  <c r="M1505" i="1"/>
  <c r="L1505" i="1"/>
  <c r="S1505" i="1" s="1"/>
  <c r="P1504" i="1"/>
  <c r="O1504" i="1"/>
  <c r="N1504" i="1"/>
  <c r="M1504" i="1"/>
  <c r="L1504" i="1"/>
  <c r="S1504" i="1" s="1"/>
  <c r="P1503" i="1"/>
  <c r="O1503" i="1"/>
  <c r="N1503" i="1"/>
  <c r="M1503" i="1"/>
  <c r="L1503" i="1"/>
  <c r="S1503" i="1" s="1"/>
  <c r="P1502" i="1"/>
  <c r="O1502" i="1"/>
  <c r="N1502" i="1"/>
  <c r="M1502" i="1"/>
  <c r="L1502" i="1"/>
  <c r="S1502" i="1" s="1"/>
  <c r="P1501" i="1"/>
  <c r="O1501" i="1"/>
  <c r="N1501" i="1"/>
  <c r="M1501" i="1"/>
  <c r="L1501" i="1"/>
  <c r="S1501" i="1" s="1"/>
  <c r="P1500" i="1"/>
  <c r="O1500" i="1"/>
  <c r="N1500" i="1"/>
  <c r="M1500" i="1"/>
  <c r="L1500" i="1"/>
  <c r="S1500" i="1" s="1"/>
  <c r="P1499" i="1"/>
  <c r="O1499" i="1"/>
  <c r="N1499" i="1"/>
  <c r="M1499" i="1"/>
  <c r="L1499" i="1"/>
  <c r="S1499" i="1" s="1"/>
  <c r="P1498" i="1"/>
  <c r="O1498" i="1"/>
  <c r="N1498" i="1"/>
  <c r="M1498" i="1"/>
  <c r="L1498" i="1"/>
  <c r="S1498" i="1" s="1"/>
  <c r="P1497" i="1"/>
  <c r="O1497" i="1"/>
  <c r="N1497" i="1"/>
  <c r="M1497" i="1"/>
  <c r="L1497" i="1"/>
  <c r="S1497" i="1" s="1"/>
  <c r="P1496" i="1"/>
  <c r="O1496" i="1"/>
  <c r="N1496" i="1"/>
  <c r="M1496" i="1"/>
  <c r="L1496" i="1"/>
  <c r="S1496" i="1" s="1"/>
  <c r="P1495" i="1"/>
  <c r="O1495" i="1"/>
  <c r="N1495" i="1"/>
  <c r="M1495" i="1"/>
  <c r="L1495" i="1"/>
  <c r="S1495" i="1" s="1"/>
  <c r="P1494" i="1"/>
  <c r="O1494" i="1"/>
  <c r="N1494" i="1"/>
  <c r="M1494" i="1"/>
  <c r="L1494" i="1"/>
  <c r="S1494" i="1" s="1"/>
  <c r="P1493" i="1"/>
  <c r="O1493" i="1"/>
  <c r="N1493" i="1"/>
  <c r="M1493" i="1"/>
  <c r="L1493" i="1"/>
  <c r="S1493" i="1" s="1"/>
  <c r="P1492" i="1"/>
  <c r="O1492" i="1"/>
  <c r="N1492" i="1"/>
  <c r="M1492" i="1"/>
  <c r="L1492" i="1"/>
  <c r="S1492" i="1" s="1"/>
  <c r="P1491" i="1"/>
  <c r="O1491" i="1"/>
  <c r="N1491" i="1"/>
  <c r="M1491" i="1"/>
  <c r="L1491" i="1"/>
  <c r="S1491" i="1" s="1"/>
  <c r="P1490" i="1"/>
  <c r="O1490" i="1"/>
  <c r="N1490" i="1"/>
  <c r="M1490" i="1"/>
  <c r="L1490" i="1"/>
  <c r="S1490" i="1" s="1"/>
  <c r="P1489" i="1"/>
  <c r="O1489" i="1"/>
  <c r="N1489" i="1"/>
  <c r="M1489" i="1"/>
  <c r="L1489" i="1"/>
  <c r="S1489" i="1" s="1"/>
  <c r="P1488" i="1"/>
  <c r="O1488" i="1"/>
  <c r="N1488" i="1"/>
  <c r="M1488" i="1"/>
  <c r="L1488" i="1"/>
  <c r="S1488" i="1" s="1"/>
  <c r="P1487" i="1"/>
  <c r="O1487" i="1"/>
  <c r="N1487" i="1"/>
  <c r="M1487" i="1"/>
  <c r="L1487" i="1"/>
  <c r="S1487" i="1" s="1"/>
  <c r="P1486" i="1"/>
  <c r="O1486" i="1"/>
  <c r="N1486" i="1"/>
  <c r="M1486" i="1"/>
  <c r="L1486" i="1"/>
  <c r="S1486" i="1" s="1"/>
  <c r="P1485" i="1"/>
  <c r="O1485" i="1"/>
  <c r="N1485" i="1"/>
  <c r="M1485" i="1"/>
  <c r="L1485" i="1"/>
  <c r="S1485" i="1" s="1"/>
  <c r="P1484" i="1"/>
  <c r="O1484" i="1"/>
  <c r="N1484" i="1"/>
  <c r="M1484" i="1"/>
  <c r="L1484" i="1"/>
  <c r="S1484" i="1" s="1"/>
  <c r="P1483" i="1"/>
  <c r="O1483" i="1"/>
  <c r="N1483" i="1"/>
  <c r="M1483" i="1"/>
  <c r="L1483" i="1"/>
  <c r="S1483" i="1" s="1"/>
  <c r="P1482" i="1"/>
  <c r="O1482" i="1"/>
  <c r="N1482" i="1"/>
  <c r="M1482" i="1"/>
  <c r="L1482" i="1"/>
  <c r="S1482" i="1" s="1"/>
  <c r="P1481" i="1"/>
  <c r="O1481" i="1"/>
  <c r="N1481" i="1"/>
  <c r="M1481" i="1"/>
  <c r="L1481" i="1"/>
  <c r="S1481" i="1" s="1"/>
  <c r="P1480" i="1"/>
  <c r="O1480" i="1"/>
  <c r="N1480" i="1"/>
  <c r="M1480" i="1"/>
  <c r="L1480" i="1"/>
  <c r="S1480" i="1" s="1"/>
  <c r="P1479" i="1"/>
  <c r="O1479" i="1"/>
  <c r="N1479" i="1"/>
  <c r="M1479" i="1"/>
  <c r="L1479" i="1"/>
  <c r="S1479" i="1" s="1"/>
  <c r="P1478" i="1"/>
  <c r="O1478" i="1"/>
  <c r="N1478" i="1"/>
  <c r="M1478" i="1"/>
  <c r="L1478" i="1"/>
  <c r="S1478" i="1" s="1"/>
  <c r="P1477" i="1"/>
  <c r="O1477" i="1"/>
  <c r="N1477" i="1"/>
  <c r="M1477" i="1"/>
  <c r="L1477" i="1"/>
  <c r="S1477" i="1" s="1"/>
  <c r="P1476" i="1"/>
  <c r="O1476" i="1"/>
  <c r="N1476" i="1"/>
  <c r="M1476" i="1"/>
  <c r="L1476" i="1"/>
  <c r="S1476" i="1" s="1"/>
  <c r="P1475" i="1"/>
  <c r="O1475" i="1"/>
  <c r="N1475" i="1"/>
  <c r="M1475" i="1"/>
  <c r="L1475" i="1"/>
  <c r="S1475" i="1" s="1"/>
  <c r="P1474" i="1"/>
  <c r="O1474" i="1"/>
  <c r="N1474" i="1"/>
  <c r="M1474" i="1"/>
  <c r="L1474" i="1"/>
  <c r="S1474" i="1" s="1"/>
  <c r="P1473" i="1"/>
  <c r="O1473" i="1"/>
  <c r="N1473" i="1"/>
  <c r="M1473" i="1"/>
  <c r="L1473" i="1"/>
  <c r="S1473" i="1" s="1"/>
  <c r="P1472" i="1"/>
  <c r="O1472" i="1"/>
  <c r="N1472" i="1"/>
  <c r="M1472" i="1"/>
  <c r="L1472" i="1"/>
  <c r="S1472" i="1" s="1"/>
  <c r="P1471" i="1"/>
  <c r="O1471" i="1"/>
  <c r="N1471" i="1"/>
  <c r="M1471" i="1"/>
  <c r="L1471" i="1"/>
  <c r="S1471" i="1" s="1"/>
  <c r="P1470" i="1"/>
  <c r="O1470" i="1"/>
  <c r="N1470" i="1"/>
  <c r="M1470" i="1"/>
  <c r="L1470" i="1"/>
  <c r="S1470" i="1" s="1"/>
  <c r="P1469" i="1"/>
  <c r="O1469" i="1"/>
  <c r="N1469" i="1"/>
  <c r="M1469" i="1"/>
  <c r="L1469" i="1"/>
  <c r="S1469" i="1" s="1"/>
  <c r="P1468" i="1"/>
  <c r="O1468" i="1"/>
  <c r="N1468" i="1"/>
  <c r="M1468" i="1"/>
  <c r="L1468" i="1"/>
  <c r="S1468" i="1" s="1"/>
  <c r="P1467" i="1"/>
  <c r="O1467" i="1"/>
  <c r="N1467" i="1"/>
  <c r="M1467" i="1"/>
  <c r="L1467" i="1"/>
  <c r="S1467" i="1" s="1"/>
  <c r="P1466" i="1"/>
  <c r="O1466" i="1"/>
  <c r="N1466" i="1"/>
  <c r="M1466" i="1"/>
  <c r="L1466" i="1"/>
  <c r="S1466" i="1" s="1"/>
  <c r="P1465" i="1"/>
  <c r="O1465" i="1"/>
  <c r="N1465" i="1"/>
  <c r="M1465" i="1"/>
  <c r="L1465" i="1"/>
  <c r="S1465" i="1" s="1"/>
  <c r="P1464" i="1"/>
  <c r="O1464" i="1"/>
  <c r="N1464" i="1"/>
  <c r="M1464" i="1"/>
  <c r="L1464" i="1"/>
  <c r="S1464" i="1" s="1"/>
  <c r="P1463" i="1"/>
  <c r="O1463" i="1"/>
  <c r="N1463" i="1"/>
  <c r="M1463" i="1"/>
  <c r="L1463" i="1"/>
  <c r="S1463" i="1" s="1"/>
  <c r="P1462" i="1"/>
  <c r="O1462" i="1"/>
  <c r="N1462" i="1"/>
  <c r="M1462" i="1"/>
  <c r="L1462" i="1"/>
  <c r="S1462" i="1" s="1"/>
  <c r="P1461" i="1"/>
  <c r="O1461" i="1"/>
  <c r="N1461" i="1"/>
  <c r="M1461" i="1"/>
  <c r="L1461" i="1"/>
  <c r="S1461" i="1" s="1"/>
  <c r="P1460" i="1"/>
  <c r="O1460" i="1"/>
  <c r="N1460" i="1"/>
  <c r="M1460" i="1"/>
  <c r="L1460" i="1"/>
  <c r="S1460" i="1" s="1"/>
  <c r="P1459" i="1"/>
  <c r="O1459" i="1"/>
  <c r="N1459" i="1"/>
  <c r="M1459" i="1"/>
  <c r="L1459" i="1"/>
  <c r="S1459" i="1" s="1"/>
  <c r="P1458" i="1"/>
  <c r="O1458" i="1"/>
  <c r="N1458" i="1"/>
  <c r="M1458" i="1"/>
  <c r="L1458" i="1"/>
  <c r="S1458" i="1" s="1"/>
  <c r="P1457" i="1"/>
  <c r="O1457" i="1"/>
  <c r="N1457" i="1"/>
  <c r="M1457" i="1"/>
  <c r="L1457" i="1"/>
  <c r="S1457" i="1" s="1"/>
  <c r="P1456" i="1"/>
  <c r="O1456" i="1"/>
  <c r="N1456" i="1"/>
  <c r="M1456" i="1"/>
  <c r="L1456" i="1"/>
  <c r="S1456" i="1" s="1"/>
  <c r="P1455" i="1"/>
  <c r="O1455" i="1"/>
  <c r="N1455" i="1"/>
  <c r="M1455" i="1"/>
  <c r="L1455" i="1"/>
  <c r="S1455" i="1" s="1"/>
  <c r="P1454" i="1"/>
  <c r="O1454" i="1"/>
  <c r="N1454" i="1"/>
  <c r="M1454" i="1"/>
  <c r="L1454" i="1"/>
  <c r="S1454" i="1" s="1"/>
  <c r="P660" i="1"/>
  <c r="O660" i="1"/>
  <c r="N660" i="1"/>
  <c r="M660" i="1"/>
  <c r="L660" i="1"/>
  <c r="S660" i="1" s="1"/>
  <c r="P659" i="1"/>
  <c r="O659" i="1"/>
  <c r="N659" i="1"/>
  <c r="M659" i="1"/>
  <c r="L659" i="1"/>
  <c r="S659" i="1" s="1"/>
  <c r="P658" i="1"/>
  <c r="O658" i="1"/>
  <c r="N658" i="1"/>
  <c r="M658" i="1"/>
  <c r="L658" i="1"/>
  <c r="S658" i="1" s="1"/>
  <c r="P657" i="1"/>
  <c r="O657" i="1"/>
  <c r="N657" i="1"/>
  <c r="M657" i="1"/>
  <c r="L657" i="1"/>
  <c r="S657" i="1" s="1"/>
  <c r="P656" i="1"/>
  <c r="O656" i="1"/>
  <c r="N656" i="1"/>
  <c r="M656" i="1"/>
  <c r="L656" i="1"/>
  <c r="S656" i="1" s="1"/>
  <c r="P1448" i="1"/>
  <c r="O1448" i="1"/>
  <c r="N1448" i="1"/>
  <c r="M1448" i="1"/>
  <c r="L1448" i="1"/>
  <c r="S1448" i="1" s="1"/>
  <c r="P1447" i="1"/>
  <c r="O1447" i="1"/>
  <c r="N1447" i="1"/>
  <c r="M1447" i="1"/>
  <c r="L1447" i="1"/>
  <c r="S1447" i="1" s="1"/>
  <c r="P1446" i="1"/>
  <c r="O1446" i="1"/>
  <c r="N1446" i="1"/>
  <c r="M1446" i="1"/>
  <c r="L1446" i="1"/>
  <c r="S1446" i="1" s="1"/>
  <c r="P1445" i="1"/>
  <c r="O1445" i="1"/>
  <c r="N1445" i="1"/>
  <c r="M1445" i="1"/>
  <c r="L1445" i="1"/>
  <c r="S1445" i="1" s="1"/>
  <c r="P1444" i="1"/>
  <c r="O1444" i="1"/>
  <c r="N1444" i="1"/>
  <c r="M1444" i="1"/>
  <c r="L1444" i="1"/>
  <c r="S1444" i="1" s="1"/>
  <c r="P1443" i="1"/>
  <c r="O1443" i="1"/>
  <c r="N1443" i="1"/>
  <c r="M1443" i="1"/>
  <c r="L1443" i="1"/>
  <c r="S1443" i="1" s="1"/>
  <c r="P1442" i="1"/>
  <c r="O1442" i="1"/>
  <c r="N1442" i="1"/>
  <c r="M1442" i="1"/>
  <c r="L1442" i="1"/>
  <c r="S1442" i="1" s="1"/>
  <c r="P1441" i="1"/>
  <c r="O1441" i="1"/>
  <c r="N1441" i="1"/>
  <c r="M1441" i="1"/>
  <c r="L1441" i="1"/>
  <c r="S1441" i="1" s="1"/>
  <c r="P1440" i="1"/>
  <c r="O1440" i="1"/>
  <c r="N1440" i="1"/>
  <c r="M1440" i="1"/>
  <c r="L1440" i="1"/>
  <c r="S1440" i="1" s="1"/>
  <c r="P1439" i="1"/>
  <c r="O1439" i="1"/>
  <c r="N1439" i="1"/>
  <c r="M1439" i="1"/>
  <c r="L1439" i="1"/>
  <c r="S1439" i="1" s="1"/>
  <c r="P1438" i="1"/>
  <c r="O1438" i="1"/>
  <c r="N1438" i="1"/>
  <c r="M1438" i="1"/>
  <c r="L1438" i="1"/>
  <c r="S1438" i="1" s="1"/>
  <c r="P1437" i="1"/>
  <c r="O1437" i="1"/>
  <c r="N1437" i="1"/>
  <c r="M1437" i="1"/>
  <c r="L1437" i="1"/>
  <c r="S1437" i="1" s="1"/>
  <c r="P1436" i="1"/>
  <c r="O1436" i="1"/>
  <c r="N1436" i="1"/>
  <c r="M1436" i="1"/>
  <c r="L1436" i="1"/>
  <c r="S1436" i="1" s="1"/>
  <c r="P1435" i="1"/>
  <c r="O1435" i="1"/>
  <c r="N1435" i="1"/>
  <c r="M1435" i="1"/>
  <c r="L1435" i="1"/>
  <c r="S1435" i="1" s="1"/>
  <c r="P1434" i="1"/>
  <c r="O1434" i="1"/>
  <c r="N1434" i="1"/>
  <c r="M1434" i="1"/>
  <c r="L1434" i="1"/>
  <c r="S1434" i="1" s="1"/>
  <c r="P1433" i="1"/>
  <c r="O1433" i="1"/>
  <c r="N1433" i="1"/>
  <c r="M1433" i="1"/>
  <c r="L1433" i="1"/>
  <c r="S1433" i="1" s="1"/>
  <c r="P1432" i="1"/>
  <c r="O1432" i="1"/>
  <c r="N1432" i="1"/>
  <c r="M1432" i="1"/>
  <c r="L1432" i="1"/>
  <c r="S1432" i="1" s="1"/>
  <c r="P1431" i="1"/>
  <c r="O1431" i="1"/>
  <c r="N1431" i="1"/>
  <c r="M1431" i="1"/>
  <c r="L1431" i="1"/>
  <c r="S1431" i="1" s="1"/>
  <c r="P1430" i="1"/>
  <c r="O1430" i="1"/>
  <c r="N1430" i="1"/>
  <c r="M1430" i="1"/>
  <c r="L1430" i="1"/>
  <c r="S1430" i="1" s="1"/>
  <c r="P1429" i="1"/>
  <c r="O1429" i="1"/>
  <c r="N1429" i="1"/>
  <c r="M1429" i="1"/>
  <c r="L1429" i="1"/>
  <c r="S1429" i="1" s="1"/>
  <c r="P1428" i="1"/>
  <c r="O1428" i="1"/>
  <c r="N1428" i="1"/>
  <c r="M1428" i="1"/>
  <c r="L1428" i="1"/>
  <c r="S1428" i="1" s="1"/>
  <c r="P1427" i="1"/>
  <c r="O1427" i="1"/>
  <c r="N1427" i="1"/>
  <c r="M1427" i="1"/>
  <c r="L1427" i="1"/>
  <c r="S1427" i="1" s="1"/>
  <c r="P1426" i="1"/>
  <c r="O1426" i="1"/>
  <c r="N1426" i="1"/>
  <c r="M1426" i="1"/>
  <c r="L1426" i="1"/>
  <c r="S1426" i="1" s="1"/>
  <c r="P1425" i="1"/>
  <c r="O1425" i="1"/>
  <c r="N1425" i="1"/>
  <c r="M1425" i="1"/>
  <c r="L1425" i="1"/>
  <c r="S1425" i="1" s="1"/>
  <c r="P1424" i="1"/>
  <c r="O1424" i="1"/>
  <c r="N1424" i="1"/>
  <c r="M1424" i="1"/>
  <c r="L1424" i="1"/>
  <c r="S1424" i="1" s="1"/>
  <c r="P1423" i="1"/>
  <c r="O1423" i="1"/>
  <c r="N1423" i="1"/>
  <c r="M1423" i="1"/>
  <c r="L1423" i="1"/>
  <c r="S1423" i="1" s="1"/>
  <c r="P1422" i="1"/>
  <c r="O1422" i="1"/>
  <c r="N1422" i="1"/>
  <c r="M1422" i="1"/>
  <c r="L1422" i="1"/>
  <c r="S1422" i="1" s="1"/>
  <c r="P1421" i="1"/>
  <c r="O1421" i="1"/>
  <c r="N1421" i="1"/>
  <c r="M1421" i="1"/>
  <c r="L1421" i="1"/>
  <c r="S1421" i="1" s="1"/>
  <c r="P1420" i="1"/>
  <c r="O1420" i="1"/>
  <c r="N1420" i="1"/>
  <c r="M1420" i="1"/>
  <c r="L1420" i="1"/>
  <c r="S1420" i="1" s="1"/>
  <c r="P1419" i="1"/>
  <c r="O1419" i="1"/>
  <c r="N1419" i="1"/>
  <c r="M1419" i="1"/>
  <c r="L1419" i="1"/>
  <c r="S1419" i="1" s="1"/>
  <c r="P1418" i="1"/>
  <c r="O1418" i="1"/>
  <c r="N1418" i="1"/>
  <c r="M1418" i="1"/>
  <c r="L1418" i="1"/>
  <c r="S1418" i="1" s="1"/>
  <c r="P1417" i="1"/>
  <c r="O1417" i="1"/>
  <c r="N1417" i="1"/>
  <c r="M1417" i="1"/>
  <c r="L1417" i="1"/>
  <c r="S1417" i="1" s="1"/>
  <c r="P1416" i="1"/>
  <c r="O1416" i="1"/>
  <c r="N1416" i="1"/>
  <c r="M1416" i="1"/>
  <c r="L1416" i="1"/>
  <c r="S1416" i="1" s="1"/>
  <c r="P1415" i="1"/>
  <c r="O1415" i="1"/>
  <c r="N1415" i="1"/>
  <c r="M1415" i="1"/>
  <c r="L1415" i="1"/>
  <c r="S1415" i="1" s="1"/>
  <c r="P1414" i="1"/>
  <c r="O1414" i="1"/>
  <c r="N1414" i="1"/>
  <c r="M1414" i="1"/>
  <c r="L1414" i="1"/>
  <c r="S1414" i="1" s="1"/>
  <c r="P1413" i="1"/>
  <c r="O1413" i="1"/>
  <c r="N1413" i="1"/>
  <c r="M1413" i="1"/>
  <c r="L1413" i="1"/>
  <c r="S1413" i="1" s="1"/>
  <c r="P1412" i="1"/>
  <c r="O1412" i="1"/>
  <c r="N1412" i="1"/>
  <c r="M1412" i="1"/>
  <c r="L1412" i="1"/>
  <c r="S1412" i="1" s="1"/>
  <c r="P1411" i="1"/>
  <c r="O1411" i="1"/>
  <c r="N1411" i="1"/>
  <c r="M1411" i="1"/>
  <c r="L1411" i="1"/>
  <c r="S1411" i="1" s="1"/>
  <c r="P1410" i="1"/>
  <c r="O1410" i="1"/>
  <c r="N1410" i="1"/>
  <c r="M1410" i="1"/>
  <c r="L1410" i="1"/>
  <c r="S1410" i="1" s="1"/>
  <c r="P1409" i="1"/>
  <c r="O1409" i="1"/>
  <c r="N1409" i="1"/>
  <c r="M1409" i="1"/>
  <c r="L1409" i="1"/>
  <c r="S1409" i="1" s="1"/>
  <c r="P1408" i="1"/>
  <c r="O1408" i="1"/>
  <c r="N1408" i="1"/>
  <c r="M1408" i="1"/>
  <c r="L1408" i="1"/>
  <c r="S1408" i="1" s="1"/>
  <c r="P1407" i="1"/>
  <c r="O1407" i="1"/>
  <c r="N1407" i="1"/>
  <c r="M1407" i="1"/>
  <c r="L1407" i="1"/>
  <c r="S1407" i="1" s="1"/>
  <c r="P1406" i="1"/>
  <c r="O1406" i="1"/>
  <c r="N1406" i="1"/>
  <c r="M1406" i="1"/>
  <c r="L1406" i="1"/>
  <c r="S1406" i="1" s="1"/>
  <c r="P1405" i="1"/>
  <c r="O1405" i="1"/>
  <c r="N1405" i="1"/>
  <c r="M1405" i="1"/>
  <c r="L1405" i="1"/>
  <c r="S1405" i="1" s="1"/>
  <c r="P1404" i="1"/>
  <c r="O1404" i="1"/>
  <c r="N1404" i="1"/>
  <c r="M1404" i="1"/>
  <c r="L1404" i="1"/>
  <c r="S1404" i="1" s="1"/>
  <c r="P1403" i="1"/>
  <c r="O1403" i="1"/>
  <c r="N1403" i="1"/>
  <c r="M1403" i="1"/>
  <c r="L1403" i="1"/>
  <c r="S1403" i="1" s="1"/>
  <c r="P1402" i="1"/>
  <c r="O1402" i="1"/>
  <c r="N1402" i="1"/>
  <c r="M1402" i="1"/>
  <c r="L1402" i="1"/>
  <c r="S1402" i="1" s="1"/>
  <c r="P1401" i="1"/>
  <c r="O1401" i="1"/>
  <c r="N1401" i="1"/>
  <c r="M1401" i="1"/>
  <c r="L1401" i="1"/>
  <c r="S1401" i="1" s="1"/>
  <c r="P1400" i="1"/>
  <c r="O1400" i="1"/>
  <c r="N1400" i="1"/>
  <c r="M1400" i="1"/>
  <c r="L1400" i="1"/>
  <c r="S1400" i="1" s="1"/>
  <c r="P1399" i="1"/>
  <c r="O1399" i="1"/>
  <c r="N1399" i="1"/>
  <c r="M1399" i="1"/>
  <c r="L1399" i="1"/>
  <c r="S1399" i="1" s="1"/>
  <c r="P1398" i="1"/>
  <c r="O1398" i="1"/>
  <c r="N1398" i="1"/>
  <c r="M1398" i="1"/>
  <c r="L1398" i="1"/>
  <c r="S1398" i="1" s="1"/>
  <c r="P1397" i="1"/>
  <c r="O1397" i="1"/>
  <c r="N1397" i="1"/>
  <c r="M1397" i="1"/>
  <c r="L1397" i="1"/>
  <c r="S1397" i="1" s="1"/>
  <c r="P1396" i="1"/>
  <c r="O1396" i="1"/>
  <c r="N1396" i="1"/>
  <c r="M1396" i="1"/>
  <c r="L1396" i="1"/>
  <c r="S1396" i="1" s="1"/>
  <c r="P1395" i="1"/>
  <c r="O1395" i="1"/>
  <c r="N1395" i="1"/>
  <c r="M1395" i="1"/>
  <c r="L1395" i="1"/>
  <c r="S1395" i="1" s="1"/>
  <c r="P1394" i="1"/>
  <c r="O1394" i="1"/>
  <c r="N1394" i="1"/>
  <c r="M1394" i="1"/>
  <c r="L1394" i="1"/>
  <c r="S1394" i="1" s="1"/>
  <c r="P1393" i="1"/>
  <c r="O1393" i="1"/>
  <c r="N1393" i="1"/>
  <c r="M1393" i="1"/>
  <c r="L1393" i="1"/>
  <c r="S1393" i="1" s="1"/>
  <c r="P1392" i="1"/>
  <c r="O1392" i="1"/>
  <c r="N1392" i="1"/>
  <c r="M1392" i="1"/>
  <c r="L1392" i="1"/>
  <c r="S1392" i="1" s="1"/>
  <c r="P1391" i="1"/>
  <c r="O1391" i="1"/>
  <c r="N1391" i="1"/>
  <c r="M1391" i="1"/>
  <c r="L1391" i="1"/>
  <c r="S1391" i="1" s="1"/>
  <c r="P1390" i="1"/>
  <c r="O1390" i="1"/>
  <c r="N1390" i="1"/>
  <c r="M1390" i="1"/>
  <c r="L1390" i="1"/>
  <c r="S1390" i="1" s="1"/>
  <c r="P1389" i="1"/>
  <c r="O1389" i="1"/>
  <c r="N1389" i="1"/>
  <c r="M1389" i="1"/>
  <c r="L1389" i="1"/>
  <c r="S1389" i="1" s="1"/>
  <c r="P1388" i="1"/>
  <c r="O1388" i="1"/>
  <c r="N1388" i="1"/>
  <c r="M1388" i="1"/>
  <c r="L1388" i="1"/>
  <c r="S1388" i="1" s="1"/>
  <c r="P1387" i="1"/>
  <c r="O1387" i="1"/>
  <c r="N1387" i="1"/>
  <c r="M1387" i="1"/>
  <c r="L1387" i="1"/>
  <c r="S1387" i="1" s="1"/>
  <c r="P1386" i="1"/>
  <c r="O1386" i="1"/>
  <c r="N1386" i="1"/>
  <c r="M1386" i="1"/>
  <c r="L1386" i="1"/>
  <c r="S1386" i="1" s="1"/>
  <c r="P1385" i="1"/>
  <c r="O1385" i="1"/>
  <c r="N1385" i="1"/>
  <c r="M1385" i="1"/>
  <c r="L1385" i="1"/>
  <c r="S1385" i="1" s="1"/>
  <c r="P1384" i="1"/>
  <c r="O1384" i="1"/>
  <c r="N1384" i="1"/>
  <c r="M1384" i="1"/>
  <c r="L1384" i="1"/>
  <c r="S1384" i="1" s="1"/>
  <c r="P1383" i="1"/>
  <c r="O1383" i="1"/>
  <c r="N1383" i="1"/>
  <c r="M1383" i="1"/>
  <c r="L1383" i="1"/>
  <c r="S1383" i="1" s="1"/>
  <c r="P1382" i="1"/>
  <c r="O1382" i="1"/>
  <c r="N1382" i="1"/>
  <c r="M1382" i="1"/>
  <c r="L1382" i="1"/>
  <c r="S1382" i="1" s="1"/>
  <c r="P1381" i="1"/>
  <c r="O1381" i="1"/>
  <c r="N1381" i="1"/>
  <c r="M1381" i="1"/>
  <c r="L1381" i="1"/>
  <c r="S1381" i="1" s="1"/>
  <c r="P1380" i="1"/>
  <c r="O1380" i="1"/>
  <c r="N1380" i="1"/>
  <c r="M1380" i="1"/>
  <c r="L1380" i="1"/>
  <c r="S1380" i="1" s="1"/>
  <c r="P1379" i="1"/>
  <c r="O1379" i="1"/>
  <c r="N1379" i="1"/>
  <c r="M1379" i="1"/>
  <c r="L1379" i="1"/>
  <c r="S1379" i="1" s="1"/>
  <c r="P1378" i="1"/>
  <c r="O1378" i="1"/>
  <c r="N1378" i="1"/>
  <c r="M1378" i="1"/>
  <c r="L1378" i="1"/>
  <c r="S1378" i="1" s="1"/>
  <c r="P1377" i="1"/>
  <c r="O1377" i="1"/>
  <c r="N1377" i="1"/>
  <c r="M1377" i="1"/>
  <c r="L1377" i="1"/>
  <c r="S1377" i="1" s="1"/>
  <c r="P1376" i="1"/>
  <c r="O1376" i="1"/>
  <c r="N1376" i="1"/>
  <c r="M1376" i="1"/>
  <c r="L1376" i="1"/>
  <c r="S1376" i="1" s="1"/>
  <c r="P1375" i="1"/>
  <c r="O1375" i="1"/>
  <c r="N1375" i="1"/>
  <c r="M1375" i="1"/>
  <c r="L1375" i="1"/>
  <c r="S1375" i="1" s="1"/>
  <c r="P1374" i="1"/>
  <c r="O1374" i="1"/>
  <c r="N1374" i="1"/>
  <c r="M1374" i="1"/>
  <c r="L1374" i="1"/>
  <c r="S1374" i="1" s="1"/>
  <c r="P1373" i="1"/>
  <c r="O1373" i="1"/>
  <c r="N1373" i="1"/>
  <c r="M1373" i="1"/>
  <c r="L1373" i="1"/>
  <c r="S1373" i="1" s="1"/>
  <c r="P1372" i="1"/>
  <c r="O1372" i="1"/>
  <c r="N1372" i="1"/>
  <c r="M1372" i="1"/>
  <c r="L1372" i="1"/>
  <c r="S1372" i="1" s="1"/>
  <c r="P1371" i="1"/>
  <c r="O1371" i="1"/>
  <c r="N1371" i="1"/>
  <c r="M1371" i="1"/>
  <c r="L1371" i="1"/>
  <c r="S1371" i="1" s="1"/>
  <c r="P1370" i="1"/>
  <c r="O1370" i="1"/>
  <c r="N1370" i="1"/>
  <c r="M1370" i="1"/>
  <c r="L1370" i="1"/>
  <c r="S1370" i="1" s="1"/>
  <c r="P1369" i="1"/>
  <c r="O1369" i="1"/>
  <c r="N1369" i="1"/>
  <c r="M1369" i="1"/>
  <c r="L1369" i="1"/>
  <c r="S1369" i="1" s="1"/>
  <c r="P1368" i="1"/>
  <c r="O1368" i="1"/>
  <c r="N1368" i="1"/>
  <c r="M1368" i="1"/>
  <c r="L1368" i="1"/>
  <c r="S1368" i="1" s="1"/>
  <c r="P1367" i="1"/>
  <c r="O1367" i="1"/>
  <c r="N1367" i="1"/>
  <c r="M1367" i="1"/>
  <c r="L1367" i="1"/>
  <c r="S1367" i="1" s="1"/>
  <c r="P1366" i="1"/>
  <c r="O1366" i="1"/>
  <c r="N1366" i="1"/>
  <c r="M1366" i="1"/>
  <c r="L1366" i="1"/>
  <c r="S1366" i="1" s="1"/>
  <c r="P1365" i="1"/>
  <c r="O1365" i="1"/>
  <c r="N1365" i="1"/>
  <c r="M1365" i="1"/>
  <c r="L1365" i="1"/>
  <c r="S1365" i="1" s="1"/>
  <c r="P1364" i="1"/>
  <c r="O1364" i="1"/>
  <c r="N1364" i="1"/>
  <c r="M1364" i="1"/>
  <c r="L1364" i="1"/>
  <c r="S1364" i="1" s="1"/>
  <c r="P1363" i="1"/>
  <c r="O1363" i="1"/>
  <c r="N1363" i="1"/>
  <c r="M1363" i="1"/>
  <c r="L1363" i="1"/>
  <c r="S1363" i="1" s="1"/>
  <c r="P1362" i="1"/>
  <c r="O1362" i="1"/>
  <c r="N1362" i="1"/>
  <c r="M1362" i="1"/>
  <c r="L1362" i="1"/>
  <c r="S1362" i="1" s="1"/>
  <c r="P1361" i="1"/>
  <c r="O1361" i="1"/>
  <c r="N1361" i="1"/>
  <c r="M1361" i="1"/>
  <c r="L1361" i="1"/>
  <c r="S1361" i="1" s="1"/>
  <c r="P1360" i="1"/>
  <c r="O1360" i="1"/>
  <c r="N1360" i="1"/>
  <c r="M1360" i="1"/>
  <c r="L1360" i="1"/>
  <c r="S1360" i="1" s="1"/>
  <c r="P1359" i="1"/>
  <c r="O1359" i="1"/>
  <c r="N1359" i="1"/>
  <c r="M1359" i="1"/>
  <c r="L1359" i="1"/>
  <c r="S1359" i="1" s="1"/>
  <c r="P1358" i="1"/>
  <c r="O1358" i="1"/>
  <c r="N1358" i="1"/>
  <c r="M1358" i="1"/>
  <c r="L1358" i="1"/>
  <c r="S1358" i="1" s="1"/>
  <c r="P1357" i="1"/>
  <c r="O1357" i="1"/>
  <c r="N1357" i="1"/>
  <c r="M1357" i="1"/>
  <c r="L1357" i="1"/>
  <c r="S1357" i="1" s="1"/>
  <c r="P1356" i="1"/>
  <c r="O1356" i="1"/>
  <c r="N1356" i="1"/>
  <c r="M1356" i="1"/>
  <c r="L1356" i="1"/>
  <c r="S1356" i="1" s="1"/>
  <c r="P1355" i="1"/>
  <c r="O1355" i="1"/>
  <c r="N1355" i="1"/>
  <c r="M1355" i="1"/>
  <c r="L1355" i="1"/>
  <c r="S1355" i="1" s="1"/>
  <c r="P1354" i="1"/>
  <c r="O1354" i="1"/>
  <c r="N1354" i="1"/>
  <c r="M1354" i="1"/>
  <c r="L1354" i="1"/>
  <c r="S1354" i="1" s="1"/>
  <c r="P1353" i="1"/>
  <c r="O1353" i="1"/>
  <c r="N1353" i="1"/>
  <c r="M1353" i="1"/>
  <c r="L1353" i="1"/>
  <c r="S1353" i="1" s="1"/>
  <c r="P1352" i="1"/>
  <c r="O1352" i="1"/>
  <c r="N1352" i="1"/>
  <c r="M1352" i="1"/>
  <c r="L1352" i="1"/>
  <c r="S1352" i="1" s="1"/>
  <c r="P1351" i="1"/>
  <c r="O1351" i="1"/>
  <c r="N1351" i="1"/>
  <c r="M1351" i="1"/>
  <c r="L1351" i="1"/>
  <c r="S1351" i="1" s="1"/>
  <c r="P1350" i="1"/>
  <c r="O1350" i="1"/>
  <c r="N1350" i="1"/>
  <c r="M1350" i="1"/>
  <c r="L1350" i="1"/>
  <c r="S1350" i="1" s="1"/>
  <c r="P1349" i="1"/>
  <c r="O1349" i="1"/>
  <c r="N1349" i="1"/>
  <c r="M1349" i="1"/>
  <c r="L1349" i="1"/>
  <c r="S1349" i="1" s="1"/>
  <c r="P1348" i="1"/>
  <c r="O1348" i="1"/>
  <c r="N1348" i="1"/>
  <c r="M1348" i="1"/>
  <c r="L1348" i="1"/>
  <c r="S1348" i="1" s="1"/>
  <c r="P1347" i="1"/>
  <c r="O1347" i="1"/>
  <c r="N1347" i="1"/>
  <c r="M1347" i="1"/>
  <c r="L1347" i="1"/>
  <c r="S1347" i="1" s="1"/>
  <c r="P1346" i="1"/>
  <c r="O1346" i="1"/>
  <c r="N1346" i="1"/>
  <c r="M1346" i="1"/>
  <c r="L1346" i="1"/>
  <c r="S1346" i="1" s="1"/>
  <c r="P1345" i="1"/>
  <c r="O1345" i="1"/>
  <c r="N1345" i="1"/>
  <c r="M1345" i="1"/>
  <c r="L1345" i="1"/>
  <c r="S1345" i="1" s="1"/>
  <c r="P1344" i="1"/>
  <c r="O1344" i="1"/>
  <c r="N1344" i="1"/>
  <c r="M1344" i="1"/>
  <c r="L1344" i="1"/>
  <c r="S1344" i="1" s="1"/>
  <c r="P1343" i="1"/>
  <c r="O1343" i="1"/>
  <c r="N1343" i="1"/>
  <c r="M1343" i="1"/>
  <c r="L1343" i="1"/>
  <c r="S1343" i="1" s="1"/>
  <c r="P1342" i="1"/>
  <c r="O1342" i="1"/>
  <c r="N1342" i="1"/>
  <c r="M1342" i="1"/>
  <c r="L1342" i="1"/>
  <c r="S1342" i="1" s="1"/>
  <c r="P1341" i="1"/>
  <c r="O1341" i="1"/>
  <c r="N1341" i="1"/>
  <c r="M1341" i="1"/>
  <c r="L1341" i="1"/>
  <c r="S1341" i="1" s="1"/>
  <c r="P1340" i="1"/>
  <c r="O1340" i="1"/>
  <c r="N1340" i="1"/>
  <c r="M1340" i="1"/>
  <c r="L1340" i="1"/>
  <c r="S1340" i="1" s="1"/>
  <c r="P1339" i="1"/>
  <c r="O1339" i="1"/>
  <c r="N1339" i="1"/>
  <c r="M1339" i="1"/>
  <c r="L1339" i="1"/>
  <c r="S1339" i="1" s="1"/>
  <c r="P1338" i="1"/>
  <c r="O1338" i="1"/>
  <c r="N1338" i="1"/>
  <c r="M1338" i="1"/>
  <c r="L1338" i="1"/>
  <c r="S1338" i="1" s="1"/>
  <c r="P1337" i="1"/>
  <c r="O1337" i="1"/>
  <c r="N1337" i="1"/>
  <c r="M1337" i="1"/>
  <c r="L1337" i="1"/>
  <c r="S1337" i="1" s="1"/>
  <c r="P1336" i="1"/>
  <c r="O1336" i="1"/>
  <c r="N1336" i="1"/>
  <c r="M1336" i="1"/>
  <c r="L1336" i="1"/>
  <c r="S1336" i="1" s="1"/>
  <c r="P1335" i="1"/>
  <c r="O1335" i="1"/>
  <c r="N1335" i="1"/>
  <c r="M1335" i="1"/>
  <c r="L1335" i="1"/>
  <c r="S1335" i="1" s="1"/>
  <c r="P1334" i="1"/>
  <c r="O1334" i="1"/>
  <c r="N1334" i="1"/>
  <c r="M1334" i="1"/>
  <c r="L1334" i="1"/>
  <c r="S1334" i="1" s="1"/>
  <c r="P1333" i="1"/>
  <c r="O1333" i="1"/>
  <c r="N1333" i="1"/>
  <c r="M1333" i="1"/>
  <c r="L1333" i="1"/>
  <c r="S1333" i="1" s="1"/>
  <c r="P1332" i="1"/>
  <c r="O1332" i="1"/>
  <c r="N1332" i="1"/>
  <c r="M1332" i="1"/>
  <c r="L1332" i="1"/>
  <c r="S1332" i="1" s="1"/>
  <c r="P1331" i="1"/>
  <c r="O1331" i="1"/>
  <c r="N1331" i="1"/>
  <c r="M1331" i="1"/>
  <c r="L1331" i="1"/>
  <c r="S1331" i="1" s="1"/>
  <c r="P1330" i="1"/>
  <c r="O1330" i="1"/>
  <c r="N1330" i="1"/>
  <c r="M1330" i="1"/>
  <c r="L1330" i="1"/>
  <c r="S1330" i="1" s="1"/>
  <c r="P1329" i="1"/>
  <c r="O1329" i="1"/>
  <c r="N1329" i="1"/>
  <c r="M1329" i="1"/>
  <c r="L1329" i="1"/>
  <c r="S1329" i="1" s="1"/>
  <c r="P1328" i="1"/>
  <c r="O1328" i="1"/>
  <c r="N1328" i="1"/>
  <c r="M1328" i="1"/>
  <c r="L1328" i="1"/>
  <c r="S1328" i="1" s="1"/>
  <c r="P1327" i="1"/>
  <c r="O1327" i="1"/>
  <c r="N1327" i="1"/>
  <c r="M1327" i="1"/>
  <c r="L1327" i="1"/>
  <c r="S1327" i="1" s="1"/>
  <c r="P1326" i="1"/>
  <c r="O1326" i="1"/>
  <c r="N1326" i="1"/>
  <c r="M1326" i="1"/>
  <c r="L1326" i="1"/>
  <c r="S1326" i="1" s="1"/>
  <c r="P1325" i="1"/>
  <c r="O1325" i="1"/>
  <c r="N1325" i="1"/>
  <c r="M1325" i="1"/>
  <c r="L1325" i="1"/>
  <c r="S1325" i="1" s="1"/>
  <c r="P1324" i="1"/>
  <c r="O1324" i="1"/>
  <c r="N1324" i="1"/>
  <c r="M1324" i="1"/>
  <c r="L1324" i="1"/>
  <c r="S1324" i="1" s="1"/>
  <c r="P1323" i="1"/>
  <c r="O1323" i="1"/>
  <c r="N1323" i="1"/>
  <c r="M1323" i="1"/>
  <c r="L1323" i="1"/>
  <c r="S1323" i="1" s="1"/>
  <c r="P1322" i="1"/>
  <c r="O1322" i="1"/>
  <c r="N1322" i="1"/>
  <c r="M1322" i="1"/>
  <c r="L1322" i="1"/>
  <c r="S1322" i="1" s="1"/>
  <c r="P1321" i="1"/>
  <c r="O1321" i="1"/>
  <c r="N1321" i="1"/>
  <c r="M1321" i="1"/>
  <c r="L1321" i="1"/>
  <c r="S1321" i="1" s="1"/>
  <c r="P1320" i="1"/>
  <c r="O1320" i="1"/>
  <c r="N1320" i="1"/>
  <c r="M1320" i="1"/>
  <c r="L1320" i="1"/>
  <c r="S1320" i="1" s="1"/>
  <c r="P1319" i="1"/>
  <c r="O1319" i="1"/>
  <c r="N1319" i="1"/>
  <c r="M1319" i="1"/>
  <c r="L1319" i="1"/>
  <c r="S1319" i="1" s="1"/>
  <c r="P1318" i="1"/>
  <c r="O1318" i="1"/>
  <c r="N1318" i="1"/>
  <c r="M1318" i="1"/>
  <c r="L1318" i="1"/>
  <c r="S1318" i="1" s="1"/>
  <c r="P1317" i="1"/>
  <c r="O1317" i="1"/>
  <c r="N1317" i="1"/>
  <c r="M1317" i="1"/>
  <c r="L1317" i="1"/>
  <c r="S1317" i="1" s="1"/>
  <c r="P1316" i="1"/>
  <c r="O1316" i="1"/>
  <c r="N1316" i="1"/>
  <c r="M1316" i="1"/>
  <c r="L1316" i="1"/>
  <c r="S1316" i="1" s="1"/>
  <c r="P1315" i="1"/>
  <c r="O1315" i="1"/>
  <c r="N1315" i="1"/>
  <c r="M1315" i="1"/>
  <c r="L1315" i="1"/>
  <c r="S1315" i="1" s="1"/>
  <c r="P1314" i="1"/>
  <c r="O1314" i="1"/>
  <c r="N1314" i="1"/>
  <c r="M1314" i="1"/>
  <c r="L1314" i="1"/>
  <c r="S1314" i="1" s="1"/>
  <c r="P1313" i="1"/>
  <c r="O1313" i="1"/>
  <c r="N1313" i="1"/>
  <c r="M1313" i="1"/>
  <c r="L1313" i="1"/>
  <c r="S1313" i="1" s="1"/>
  <c r="P1312" i="1"/>
  <c r="O1312" i="1"/>
  <c r="N1312" i="1"/>
  <c r="M1312" i="1"/>
  <c r="L1312" i="1"/>
  <c r="S1312" i="1" s="1"/>
  <c r="P1311" i="1"/>
  <c r="O1311" i="1"/>
  <c r="N1311" i="1"/>
  <c r="M1311" i="1"/>
  <c r="L1311" i="1"/>
  <c r="S1311" i="1" s="1"/>
  <c r="P1310" i="1"/>
  <c r="O1310" i="1"/>
  <c r="N1310" i="1"/>
  <c r="M1310" i="1"/>
  <c r="L1310" i="1"/>
  <c r="S1310" i="1" s="1"/>
  <c r="P1309" i="1"/>
  <c r="O1309" i="1"/>
  <c r="N1309" i="1"/>
  <c r="M1309" i="1"/>
  <c r="L1309" i="1"/>
  <c r="S1309" i="1" s="1"/>
  <c r="P1308" i="1"/>
  <c r="O1308" i="1"/>
  <c r="N1308" i="1"/>
  <c r="M1308" i="1"/>
  <c r="L1308" i="1"/>
  <c r="S1308" i="1" s="1"/>
  <c r="P1307" i="1"/>
  <c r="O1307" i="1"/>
  <c r="N1307" i="1"/>
  <c r="M1307" i="1"/>
  <c r="L1307" i="1"/>
  <c r="S1307" i="1" s="1"/>
  <c r="P1306" i="1"/>
  <c r="O1306" i="1"/>
  <c r="N1306" i="1"/>
  <c r="M1306" i="1"/>
  <c r="L1306" i="1"/>
  <c r="S1306" i="1" s="1"/>
  <c r="P1305" i="1"/>
  <c r="O1305" i="1"/>
  <c r="N1305" i="1"/>
  <c r="M1305" i="1"/>
  <c r="L1305" i="1"/>
  <c r="S1305" i="1" s="1"/>
  <c r="P1304" i="1"/>
  <c r="O1304" i="1"/>
  <c r="N1304" i="1"/>
  <c r="M1304" i="1"/>
  <c r="L1304" i="1"/>
  <c r="S1304" i="1" s="1"/>
  <c r="P1303" i="1"/>
  <c r="O1303" i="1"/>
  <c r="N1303" i="1"/>
  <c r="M1303" i="1"/>
  <c r="L1303" i="1"/>
  <c r="S1303" i="1" s="1"/>
  <c r="P1302" i="1"/>
  <c r="O1302" i="1"/>
  <c r="N1302" i="1"/>
  <c r="M1302" i="1"/>
  <c r="L1302" i="1"/>
  <c r="S1302" i="1" s="1"/>
  <c r="P1301" i="1"/>
  <c r="O1301" i="1"/>
  <c r="N1301" i="1"/>
  <c r="M1301" i="1"/>
  <c r="L1301" i="1"/>
  <c r="S1301" i="1" s="1"/>
  <c r="P1300" i="1"/>
  <c r="O1300" i="1"/>
  <c r="N1300" i="1"/>
  <c r="M1300" i="1"/>
  <c r="L1300" i="1"/>
  <c r="S1300" i="1" s="1"/>
  <c r="P1299" i="1"/>
  <c r="O1299" i="1"/>
  <c r="N1299" i="1"/>
  <c r="M1299" i="1"/>
  <c r="L1299" i="1"/>
  <c r="S1299" i="1" s="1"/>
  <c r="P1298" i="1"/>
  <c r="O1298" i="1"/>
  <c r="N1298" i="1"/>
  <c r="M1298" i="1"/>
  <c r="L1298" i="1"/>
  <c r="S1298" i="1" s="1"/>
  <c r="P1297" i="1"/>
  <c r="O1297" i="1"/>
  <c r="N1297" i="1"/>
  <c r="M1297" i="1"/>
  <c r="L1297" i="1"/>
  <c r="S1297" i="1" s="1"/>
  <c r="P1296" i="1"/>
  <c r="O1296" i="1"/>
  <c r="N1296" i="1"/>
  <c r="M1296" i="1"/>
  <c r="L1296" i="1"/>
  <c r="S1296" i="1" s="1"/>
  <c r="P1295" i="1"/>
  <c r="O1295" i="1"/>
  <c r="N1295" i="1"/>
  <c r="M1295" i="1"/>
  <c r="L1295" i="1"/>
  <c r="S1295" i="1" s="1"/>
  <c r="P1294" i="1"/>
  <c r="O1294" i="1"/>
  <c r="N1294" i="1"/>
  <c r="M1294" i="1"/>
  <c r="L1294" i="1"/>
  <c r="S1294" i="1" s="1"/>
  <c r="P1293" i="1"/>
  <c r="O1293" i="1"/>
  <c r="N1293" i="1"/>
  <c r="M1293" i="1"/>
  <c r="L1293" i="1"/>
  <c r="S1293" i="1" s="1"/>
  <c r="P1292" i="1"/>
  <c r="O1292" i="1"/>
  <c r="N1292" i="1"/>
  <c r="M1292" i="1"/>
  <c r="L1292" i="1"/>
  <c r="S1292" i="1" s="1"/>
  <c r="P1291" i="1"/>
  <c r="O1291" i="1"/>
  <c r="N1291" i="1"/>
  <c r="M1291" i="1"/>
  <c r="L1291" i="1"/>
  <c r="S1291" i="1" s="1"/>
  <c r="P1290" i="1"/>
  <c r="O1290" i="1"/>
  <c r="N1290" i="1"/>
  <c r="M1290" i="1"/>
  <c r="L1290" i="1"/>
  <c r="S1290" i="1" s="1"/>
  <c r="P1289" i="1"/>
  <c r="O1289" i="1"/>
  <c r="N1289" i="1"/>
  <c r="M1289" i="1"/>
  <c r="L1289" i="1"/>
  <c r="S1289" i="1" s="1"/>
  <c r="P1288" i="1"/>
  <c r="O1288" i="1"/>
  <c r="N1288" i="1"/>
  <c r="M1288" i="1"/>
  <c r="L1288" i="1"/>
  <c r="S1288" i="1" s="1"/>
  <c r="P1287" i="1"/>
  <c r="O1287" i="1"/>
  <c r="N1287" i="1"/>
  <c r="M1287" i="1"/>
  <c r="L1287" i="1"/>
  <c r="S1287" i="1" s="1"/>
  <c r="P1286" i="1"/>
  <c r="O1286" i="1"/>
  <c r="N1286" i="1"/>
  <c r="M1286" i="1"/>
  <c r="L1286" i="1"/>
  <c r="S1286" i="1" s="1"/>
  <c r="P1285" i="1"/>
  <c r="O1285" i="1"/>
  <c r="N1285" i="1"/>
  <c r="M1285" i="1"/>
  <c r="L1285" i="1"/>
  <c r="S1285" i="1" s="1"/>
  <c r="P1284" i="1"/>
  <c r="O1284" i="1"/>
  <c r="N1284" i="1"/>
  <c r="M1284" i="1"/>
  <c r="L1284" i="1"/>
  <c r="S1284" i="1" s="1"/>
  <c r="P1283" i="1"/>
  <c r="O1283" i="1"/>
  <c r="N1283" i="1"/>
  <c r="M1283" i="1"/>
  <c r="L1283" i="1"/>
  <c r="S1283" i="1" s="1"/>
  <c r="P1282" i="1"/>
  <c r="O1282" i="1"/>
  <c r="N1282" i="1"/>
  <c r="M1282" i="1"/>
  <c r="L1282" i="1"/>
  <c r="S1282" i="1" s="1"/>
  <c r="P1281" i="1"/>
  <c r="O1281" i="1"/>
  <c r="N1281" i="1"/>
  <c r="M1281" i="1"/>
  <c r="L1281" i="1"/>
  <c r="S1281" i="1" s="1"/>
  <c r="P1280" i="1"/>
  <c r="O1280" i="1"/>
  <c r="N1280" i="1"/>
  <c r="M1280" i="1"/>
  <c r="L1280" i="1"/>
  <c r="S1280" i="1" s="1"/>
  <c r="P1279" i="1"/>
  <c r="O1279" i="1"/>
  <c r="N1279" i="1"/>
  <c r="M1279" i="1"/>
  <c r="L1279" i="1"/>
  <c r="S1279" i="1" s="1"/>
  <c r="P1278" i="1"/>
  <c r="O1278" i="1"/>
  <c r="N1278" i="1"/>
  <c r="M1278" i="1"/>
  <c r="L1278" i="1"/>
  <c r="S1278" i="1" s="1"/>
  <c r="P1277" i="1"/>
  <c r="O1277" i="1"/>
  <c r="N1277" i="1"/>
  <c r="M1277" i="1"/>
  <c r="L1277" i="1"/>
  <c r="S1277" i="1" s="1"/>
  <c r="P1276" i="1"/>
  <c r="O1276" i="1"/>
  <c r="N1276" i="1"/>
  <c r="M1276" i="1"/>
  <c r="L1276" i="1"/>
  <c r="S1276" i="1" s="1"/>
  <c r="P1275" i="1"/>
  <c r="O1275" i="1"/>
  <c r="N1275" i="1"/>
  <c r="M1275" i="1"/>
  <c r="L1275" i="1"/>
  <c r="S1275" i="1" s="1"/>
  <c r="P1274" i="1"/>
  <c r="O1274" i="1"/>
  <c r="N1274" i="1"/>
  <c r="M1274" i="1"/>
  <c r="L1274" i="1"/>
  <c r="S1274" i="1" s="1"/>
  <c r="P1273" i="1"/>
  <c r="O1273" i="1"/>
  <c r="N1273" i="1"/>
  <c r="M1273" i="1"/>
  <c r="L1273" i="1"/>
  <c r="S1273" i="1" s="1"/>
  <c r="P1272" i="1"/>
  <c r="O1272" i="1"/>
  <c r="N1272" i="1"/>
  <c r="M1272" i="1"/>
  <c r="L1272" i="1"/>
  <c r="S1272" i="1" s="1"/>
  <c r="P1271" i="1"/>
  <c r="O1271" i="1"/>
  <c r="N1271" i="1"/>
  <c r="M1271" i="1"/>
  <c r="L1271" i="1"/>
  <c r="S1271" i="1" s="1"/>
  <c r="P1270" i="1"/>
  <c r="O1270" i="1"/>
  <c r="N1270" i="1"/>
  <c r="M1270" i="1"/>
  <c r="L1270" i="1"/>
  <c r="S1270" i="1" s="1"/>
  <c r="P1269" i="1"/>
  <c r="O1269" i="1"/>
  <c r="N1269" i="1"/>
  <c r="M1269" i="1"/>
  <c r="L1269" i="1"/>
  <c r="S1269" i="1" s="1"/>
  <c r="P1268" i="1"/>
  <c r="O1268" i="1"/>
  <c r="N1268" i="1"/>
  <c r="M1268" i="1"/>
  <c r="L1268" i="1"/>
  <c r="S1268" i="1" s="1"/>
  <c r="P1267" i="1"/>
  <c r="O1267" i="1"/>
  <c r="N1267" i="1"/>
  <c r="M1267" i="1"/>
  <c r="L1267" i="1"/>
  <c r="S1267" i="1" s="1"/>
  <c r="P1266" i="1"/>
  <c r="O1266" i="1"/>
  <c r="N1266" i="1"/>
  <c r="M1266" i="1"/>
  <c r="L1266" i="1"/>
  <c r="S1266" i="1" s="1"/>
  <c r="P1265" i="1"/>
  <c r="O1265" i="1"/>
  <c r="N1265" i="1"/>
  <c r="M1265" i="1"/>
  <c r="L1265" i="1"/>
  <c r="S1265" i="1" s="1"/>
  <c r="P1264" i="1"/>
  <c r="O1264" i="1"/>
  <c r="N1264" i="1"/>
  <c r="M1264" i="1"/>
  <c r="L1264" i="1"/>
  <c r="S1264" i="1" s="1"/>
  <c r="P1263" i="1"/>
  <c r="O1263" i="1"/>
  <c r="N1263" i="1"/>
  <c r="M1263" i="1"/>
  <c r="L1263" i="1"/>
  <c r="S1263" i="1" s="1"/>
  <c r="P1262" i="1"/>
  <c r="O1262" i="1"/>
  <c r="N1262" i="1"/>
  <c r="M1262" i="1"/>
  <c r="L1262" i="1"/>
  <c r="S1262" i="1" s="1"/>
  <c r="P1261" i="1"/>
  <c r="O1261" i="1"/>
  <c r="N1261" i="1"/>
  <c r="M1261" i="1"/>
  <c r="L1261" i="1"/>
  <c r="S1261" i="1" s="1"/>
  <c r="P1260" i="1"/>
  <c r="O1260" i="1"/>
  <c r="N1260" i="1"/>
  <c r="M1260" i="1"/>
  <c r="L1260" i="1"/>
  <c r="S1260" i="1" s="1"/>
  <c r="P1259" i="1"/>
  <c r="O1259" i="1"/>
  <c r="N1259" i="1"/>
  <c r="M1259" i="1"/>
  <c r="L1259" i="1"/>
  <c r="S1259" i="1" s="1"/>
  <c r="P1258" i="1"/>
  <c r="O1258" i="1"/>
  <c r="N1258" i="1"/>
  <c r="M1258" i="1"/>
  <c r="L1258" i="1"/>
  <c r="S1258" i="1" s="1"/>
  <c r="P1257" i="1"/>
  <c r="O1257" i="1"/>
  <c r="N1257" i="1"/>
  <c r="M1257" i="1"/>
  <c r="L1257" i="1"/>
  <c r="S1257" i="1" s="1"/>
  <c r="P1256" i="1"/>
  <c r="O1256" i="1"/>
  <c r="N1256" i="1"/>
  <c r="M1256" i="1"/>
  <c r="L1256" i="1"/>
  <c r="S1256" i="1" s="1"/>
  <c r="P1255" i="1"/>
  <c r="O1255" i="1"/>
  <c r="N1255" i="1"/>
  <c r="M1255" i="1"/>
  <c r="L1255" i="1"/>
  <c r="S1255" i="1" s="1"/>
  <c r="P1254" i="1"/>
  <c r="O1254" i="1"/>
  <c r="N1254" i="1"/>
  <c r="M1254" i="1"/>
  <c r="L1254" i="1"/>
  <c r="S1254" i="1" s="1"/>
  <c r="P1253" i="1"/>
  <c r="O1253" i="1"/>
  <c r="N1253" i="1"/>
  <c r="M1253" i="1"/>
  <c r="L1253" i="1"/>
  <c r="S1253" i="1" s="1"/>
  <c r="P1252" i="1"/>
  <c r="O1252" i="1"/>
  <c r="N1252" i="1"/>
  <c r="M1252" i="1"/>
  <c r="L1252" i="1"/>
  <c r="S1252" i="1" s="1"/>
  <c r="P1251" i="1"/>
  <c r="O1251" i="1"/>
  <c r="N1251" i="1"/>
  <c r="M1251" i="1"/>
  <c r="L1251" i="1"/>
  <c r="S1251" i="1" s="1"/>
  <c r="P1250" i="1"/>
  <c r="O1250" i="1"/>
  <c r="N1250" i="1"/>
  <c r="M1250" i="1"/>
  <c r="L1250" i="1"/>
  <c r="S1250" i="1" s="1"/>
  <c r="P1249" i="1"/>
  <c r="O1249" i="1"/>
  <c r="N1249" i="1"/>
  <c r="M1249" i="1"/>
  <c r="L1249" i="1"/>
  <c r="S1249" i="1" s="1"/>
  <c r="P1248" i="1"/>
  <c r="O1248" i="1"/>
  <c r="N1248" i="1"/>
  <c r="M1248" i="1"/>
  <c r="L1248" i="1"/>
  <c r="S1248" i="1" s="1"/>
  <c r="P1247" i="1"/>
  <c r="O1247" i="1"/>
  <c r="N1247" i="1"/>
  <c r="M1247" i="1"/>
  <c r="L1247" i="1"/>
  <c r="S1247" i="1" s="1"/>
  <c r="P1246" i="1"/>
  <c r="O1246" i="1"/>
  <c r="N1246" i="1"/>
  <c r="M1246" i="1"/>
  <c r="L1246" i="1"/>
  <c r="S1246" i="1" s="1"/>
  <c r="P1245" i="1"/>
  <c r="O1245" i="1"/>
  <c r="N1245" i="1"/>
  <c r="M1245" i="1"/>
  <c r="L1245" i="1"/>
  <c r="S1245" i="1" s="1"/>
  <c r="P1244" i="1"/>
  <c r="O1244" i="1"/>
  <c r="N1244" i="1"/>
  <c r="M1244" i="1"/>
  <c r="L1244" i="1"/>
  <c r="S1244" i="1" s="1"/>
  <c r="P1243" i="1"/>
  <c r="O1243" i="1"/>
  <c r="N1243" i="1"/>
  <c r="M1243" i="1"/>
  <c r="L1243" i="1"/>
  <c r="S1243" i="1" s="1"/>
  <c r="P1242" i="1"/>
  <c r="O1242" i="1"/>
  <c r="N1242" i="1"/>
  <c r="M1242" i="1"/>
  <c r="L1242" i="1"/>
  <c r="S1242" i="1" s="1"/>
  <c r="P1241" i="1"/>
  <c r="O1241" i="1"/>
  <c r="N1241" i="1"/>
  <c r="M1241" i="1"/>
  <c r="L1241" i="1"/>
  <c r="S1241" i="1" s="1"/>
  <c r="P1240" i="1"/>
  <c r="O1240" i="1"/>
  <c r="N1240" i="1"/>
  <c r="M1240" i="1"/>
  <c r="L1240" i="1"/>
  <c r="S1240" i="1" s="1"/>
  <c r="P1239" i="1"/>
  <c r="O1239" i="1"/>
  <c r="N1239" i="1"/>
  <c r="M1239" i="1"/>
  <c r="L1239" i="1"/>
  <c r="S1239" i="1" s="1"/>
  <c r="P1238" i="1"/>
  <c r="O1238" i="1"/>
  <c r="N1238" i="1"/>
  <c r="M1238" i="1"/>
  <c r="L1238" i="1"/>
  <c r="S1238" i="1" s="1"/>
  <c r="P1237" i="1"/>
  <c r="O1237" i="1"/>
  <c r="N1237" i="1"/>
  <c r="M1237" i="1"/>
  <c r="L1237" i="1"/>
  <c r="S1237" i="1" s="1"/>
  <c r="P1236" i="1"/>
  <c r="O1236" i="1"/>
  <c r="N1236" i="1"/>
  <c r="M1236" i="1"/>
  <c r="L1236" i="1"/>
  <c r="S1236" i="1" s="1"/>
  <c r="P1235" i="1"/>
  <c r="O1235" i="1"/>
  <c r="N1235" i="1"/>
  <c r="M1235" i="1"/>
  <c r="L1235" i="1"/>
  <c r="S1235" i="1" s="1"/>
  <c r="P1234" i="1"/>
  <c r="O1234" i="1"/>
  <c r="N1234" i="1"/>
  <c r="M1234" i="1"/>
  <c r="L1234" i="1"/>
  <c r="S1234" i="1" s="1"/>
  <c r="P1233" i="1"/>
  <c r="O1233" i="1"/>
  <c r="N1233" i="1"/>
  <c r="M1233" i="1"/>
  <c r="L1233" i="1"/>
  <c r="S1233" i="1" s="1"/>
  <c r="P1232" i="1"/>
  <c r="O1232" i="1"/>
  <c r="N1232" i="1"/>
  <c r="M1232" i="1"/>
  <c r="L1232" i="1"/>
  <c r="S1232" i="1" s="1"/>
  <c r="P1231" i="1"/>
  <c r="O1231" i="1"/>
  <c r="N1231" i="1"/>
  <c r="M1231" i="1"/>
  <c r="L1231" i="1"/>
  <c r="S1231" i="1" s="1"/>
  <c r="P1230" i="1"/>
  <c r="O1230" i="1"/>
  <c r="N1230" i="1"/>
  <c r="M1230" i="1"/>
  <c r="L1230" i="1"/>
  <c r="S1230" i="1" s="1"/>
  <c r="P1229" i="1"/>
  <c r="O1229" i="1"/>
  <c r="N1229" i="1"/>
  <c r="M1229" i="1"/>
  <c r="L1229" i="1"/>
  <c r="S1229" i="1" s="1"/>
  <c r="P1228" i="1"/>
  <c r="O1228" i="1"/>
  <c r="N1228" i="1"/>
  <c r="M1228" i="1"/>
  <c r="L1228" i="1"/>
  <c r="S1228" i="1" s="1"/>
  <c r="P1227" i="1"/>
  <c r="O1227" i="1"/>
  <c r="N1227" i="1"/>
  <c r="M1227" i="1"/>
  <c r="L1227" i="1"/>
  <c r="S1227" i="1" s="1"/>
  <c r="P1226" i="1"/>
  <c r="O1226" i="1"/>
  <c r="N1226" i="1"/>
  <c r="M1226" i="1"/>
  <c r="L1226" i="1"/>
  <c r="S1226" i="1" s="1"/>
  <c r="P1225" i="1"/>
  <c r="O1225" i="1"/>
  <c r="N1225" i="1"/>
  <c r="M1225" i="1"/>
  <c r="L1225" i="1"/>
  <c r="S1225" i="1" s="1"/>
  <c r="P1224" i="1"/>
  <c r="O1224" i="1"/>
  <c r="N1224" i="1"/>
  <c r="M1224" i="1"/>
  <c r="L1224" i="1"/>
  <c r="S1224" i="1" s="1"/>
  <c r="P1223" i="1"/>
  <c r="O1223" i="1"/>
  <c r="N1223" i="1"/>
  <c r="M1223" i="1"/>
  <c r="L1223" i="1"/>
  <c r="S1223" i="1" s="1"/>
  <c r="P1222" i="1"/>
  <c r="O1222" i="1"/>
  <c r="N1222" i="1"/>
  <c r="M1222" i="1"/>
  <c r="L1222" i="1"/>
  <c r="S1222" i="1" s="1"/>
  <c r="P1221" i="1"/>
  <c r="O1221" i="1"/>
  <c r="N1221" i="1"/>
  <c r="M1221" i="1"/>
  <c r="L1221" i="1"/>
  <c r="S1221" i="1" s="1"/>
  <c r="P1220" i="1"/>
  <c r="O1220" i="1"/>
  <c r="N1220" i="1"/>
  <c r="M1220" i="1"/>
  <c r="L1220" i="1"/>
  <c r="S1220" i="1" s="1"/>
  <c r="P1219" i="1"/>
  <c r="O1219" i="1"/>
  <c r="N1219" i="1"/>
  <c r="M1219" i="1"/>
  <c r="L1219" i="1"/>
  <c r="S1219" i="1" s="1"/>
  <c r="P1218" i="1"/>
  <c r="O1218" i="1"/>
  <c r="N1218" i="1"/>
  <c r="M1218" i="1"/>
  <c r="L1218" i="1"/>
  <c r="S1218" i="1" s="1"/>
  <c r="P1216" i="1"/>
  <c r="O1216" i="1"/>
  <c r="N1216" i="1"/>
  <c r="M1216" i="1"/>
  <c r="L1216" i="1"/>
  <c r="S1216" i="1" s="1"/>
  <c r="P1215" i="1"/>
  <c r="O1215" i="1"/>
  <c r="N1215" i="1"/>
  <c r="M1215" i="1"/>
  <c r="L1215" i="1"/>
  <c r="S1215" i="1" s="1"/>
  <c r="P1214" i="1"/>
  <c r="O1214" i="1"/>
  <c r="N1214" i="1"/>
  <c r="M1214" i="1"/>
  <c r="L1214" i="1"/>
  <c r="S1214" i="1" s="1"/>
  <c r="P1213" i="1"/>
  <c r="O1213" i="1"/>
  <c r="N1213" i="1"/>
  <c r="M1213" i="1"/>
  <c r="L1213" i="1"/>
  <c r="S1213" i="1" s="1"/>
  <c r="P1212" i="1"/>
  <c r="O1212" i="1"/>
  <c r="N1212" i="1"/>
  <c r="M1212" i="1"/>
  <c r="L1212" i="1"/>
  <c r="S1212" i="1" s="1"/>
  <c r="P1211" i="1"/>
  <c r="O1211" i="1"/>
  <c r="N1211" i="1"/>
  <c r="M1211" i="1"/>
  <c r="L1211" i="1"/>
  <c r="S1211" i="1" s="1"/>
  <c r="P1210" i="1"/>
  <c r="O1210" i="1"/>
  <c r="N1210" i="1"/>
  <c r="M1210" i="1"/>
  <c r="L1210" i="1"/>
  <c r="S1210" i="1" s="1"/>
  <c r="P1209" i="1"/>
  <c r="O1209" i="1"/>
  <c r="N1209" i="1"/>
  <c r="M1209" i="1"/>
  <c r="L1209" i="1"/>
  <c r="S1209" i="1" s="1"/>
  <c r="P1208" i="1"/>
  <c r="O1208" i="1"/>
  <c r="N1208" i="1"/>
  <c r="M1208" i="1"/>
  <c r="L1208" i="1"/>
  <c r="S1208" i="1" s="1"/>
  <c r="P1207" i="1"/>
  <c r="O1207" i="1"/>
  <c r="N1207" i="1"/>
  <c r="M1207" i="1"/>
  <c r="L1207" i="1"/>
  <c r="S1207" i="1" s="1"/>
  <c r="P1206" i="1"/>
  <c r="O1206" i="1"/>
  <c r="N1206" i="1"/>
  <c r="M1206" i="1"/>
  <c r="L1206" i="1"/>
  <c r="S1206" i="1" s="1"/>
  <c r="P1205" i="1"/>
  <c r="O1205" i="1"/>
  <c r="N1205" i="1"/>
  <c r="M1205" i="1"/>
  <c r="L1205" i="1"/>
  <c r="S1205" i="1" s="1"/>
  <c r="P1204" i="1"/>
  <c r="O1204" i="1"/>
  <c r="N1204" i="1"/>
  <c r="M1204" i="1"/>
  <c r="L1204" i="1"/>
  <c r="S1204" i="1" s="1"/>
  <c r="P1203" i="1"/>
  <c r="O1203" i="1"/>
  <c r="N1203" i="1"/>
  <c r="M1203" i="1"/>
  <c r="L1203" i="1"/>
  <c r="S1203" i="1" s="1"/>
  <c r="P1202" i="1"/>
  <c r="O1202" i="1"/>
  <c r="N1202" i="1"/>
  <c r="M1202" i="1"/>
  <c r="L1202" i="1"/>
  <c r="S1202" i="1" s="1"/>
  <c r="P1201" i="1"/>
  <c r="O1201" i="1"/>
  <c r="N1201" i="1"/>
  <c r="M1201" i="1"/>
  <c r="L1201" i="1"/>
  <c r="S1201" i="1" s="1"/>
  <c r="P1200" i="1"/>
  <c r="O1200" i="1"/>
  <c r="N1200" i="1"/>
  <c r="M1200" i="1"/>
  <c r="L1200" i="1"/>
  <c r="S1200" i="1" s="1"/>
  <c r="P1199" i="1"/>
  <c r="O1199" i="1"/>
  <c r="N1199" i="1"/>
  <c r="M1199" i="1"/>
  <c r="L1199" i="1"/>
  <c r="S1199" i="1" s="1"/>
  <c r="P1198" i="1"/>
  <c r="O1198" i="1"/>
  <c r="N1198" i="1"/>
  <c r="M1198" i="1"/>
  <c r="L1198" i="1"/>
  <c r="S1198" i="1" s="1"/>
  <c r="P1197" i="1"/>
  <c r="O1197" i="1"/>
  <c r="N1197" i="1"/>
  <c r="M1197" i="1"/>
  <c r="L1197" i="1"/>
  <c r="S1197" i="1" s="1"/>
  <c r="P1196" i="1"/>
  <c r="O1196" i="1"/>
  <c r="N1196" i="1"/>
  <c r="M1196" i="1"/>
  <c r="L1196" i="1"/>
  <c r="S1196" i="1" s="1"/>
  <c r="P1195" i="1"/>
  <c r="O1195" i="1"/>
  <c r="N1195" i="1"/>
  <c r="M1195" i="1"/>
  <c r="L1195" i="1"/>
  <c r="S1195" i="1" s="1"/>
  <c r="P1194" i="1"/>
  <c r="O1194" i="1"/>
  <c r="N1194" i="1"/>
  <c r="M1194" i="1"/>
  <c r="L1194" i="1"/>
  <c r="S1194" i="1" s="1"/>
  <c r="P1193" i="1"/>
  <c r="O1193" i="1"/>
  <c r="N1193" i="1"/>
  <c r="M1193" i="1"/>
  <c r="L1193" i="1"/>
  <c r="S1193" i="1" s="1"/>
  <c r="P1192" i="1"/>
  <c r="O1192" i="1"/>
  <c r="N1192" i="1"/>
  <c r="M1192" i="1"/>
  <c r="L1192" i="1"/>
  <c r="S1192" i="1" s="1"/>
  <c r="P1191" i="1"/>
  <c r="O1191" i="1"/>
  <c r="N1191" i="1"/>
  <c r="M1191" i="1"/>
  <c r="L1191" i="1"/>
  <c r="S1191" i="1" s="1"/>
  <c r="P1190" i="1"/>
  <c r="O1190" i="1"/>
  <c r="N1190" i="1"/>
  <c r="M1190" i="1"/>
  <c r="L1190" i="1"/>
  <c r="S1190" i="1" s="1"/>
  <c r="P1189" i="1"/>
  <c r="O1189" i="1"/>
  <c r="N1189" i="1"/>
  <c r="M1189" i="1"/>
  <c r="L1189" i="1"/>
  <c r="S1189" i="1" s="1"/>
  <c r="P1188" i="1"/>
  <c r="O1188" i="1"/>
  <c r="N1188" i="1"/>
  <c r="M1188" i="1"/>
  <c r="L1188" i="1"/>
  <c r="S1188" i="1" s="1"/>
  <c r="P1187" i="1"/>
  <c r="O1187" i="1"/>
  <c r="N1187" i="1"/>
  <c r="M1187" i="1"/>
  <c r="L1187" i="1"/>
  <c r="S1187" i="1" s="1"/>
  <c r="P1186" i="1"/>
  <c r="O1186" i="1"/>
  <c r="N1186" i="1"/>
  <c r="M1186" i="1"/>
  <c r="L1186" i="1"/>
  <c r="S1186" i="1" s="1"/>
  <c r="P1185" i="1"/>
  <c r="O1185" i="1"/>
  <c r="N1185" i="1"/>
  <c r="M1185" i="1"/>
  <c r="L1185" i="1"/>
  <c r="S1185" i="1" s="1"/>
  <c r="P1184" i="1"/>
  <c r="O1184" i="1"/>
  <c r="N1184" i="1"/>
  <c r="M1184" i="1"/>
  <c r="L1184" i="1"/>
  <c r="S1184" i="1" s="1"/>
  <c r="P1183" i="1"/>
  <c r="O1183" i="1"/>
  <c r="N1183" i="1"/>
  <c r="M1183" i="1"/>
  <c r="L1183" i="1"/>
  <c r="S1183" i="1" s="1"/>
  <c r="P1182" i="1"/>
  <c r="O1182" i="1"/>
  <c r="N1182" i="1"/>
  <c r="M1182" i="1"/>
  <c r="L1182" i="1"/>
  <c r="S1182" i="1" s="1"/>
  <c r="P1181" i="1"/>
  <c r="O1181" i="1"/>
  <c r="N1181" i="1"/>
  <c r="M1181" i="1"/>
  <c r="L1181" i="1"/>
  <c r="S1181" i="1" s="1"/>
  <c r="P988" i="1"/>
  <c r="O988" i="1"/>
  <c r="N988" i="1"/>
  <c r="M988" i="1"/>
  <c r="L988" i="1"/>
  <c r="S988" i="1" s="1"/>
  <c r="P1180" i="1"/>
  <c r="O1180" i="1"/>
  <c r="N1180" i="1"/>
  <c r="M1180" i="1"/>
  <c r="L1180" i="1"/>
  <c r="S1180" i="1" s="1"/>
  <c r="P1179" i="1"/>
  <c r="O1179" i="1"/>
  <c r="N1179" i="1"/>
  <c r="M1179" i="1"/>
  <c r="L1179" i="1"/>
  <c r="S1179" i="1" s="1"/>
  <c r="P1178" i="1"/>
  <c r="O1178" i="1"/>
  <c r="N1178" i="1"/>
  <c r="M1178" i="1"/>
  <c r="L1178" i="1"/>
  <c r="S1178" i="1" s="1"/>
  <c r="P1177" i="1"/>
  <c r="O1177" i="1"/>
  <c r="N1177" i="1"/>
  <c r="M1177" i="1"/>
  <c r="L1177" i="1"/>
  <c r="S1177" i="1" s="1"/>
  <c r="P1176" i="1"/>
  <c r="O1176" i="1"/>
  <c r="N1176" i="1"/>
  <c r="M1176" i="1"/>
  <c r="L1176" i="1"/>
  <c r="S1176" i="1" s="1"/>
  <c r="P1175" i="1"/>
  <c r="O1175" i="1"/>
  <c r="N1175" i="1"/>
  <c r="M1175" i="1"/>
  <c r="L1175" i="1"/>
  <c r="S1175" i="1" s="1"/>
  <c r="P1174" i="1"/>
  <c r="O1174" i="1"/>
  <c r="N1174" i="1"/>
  <c r="M1174" i="1"/>
  <c r="L1174" i="1"/>
  <c r="S1174" i="1" s="1"/>
  <c r="P1173" i="1"/>
  <c r="O1173" i="1"/>
  <c r="N1173" i="1"/>
  <c r="M1173" i="1"/>
  <c r="L1173" i="1"/>
  <c r="S1173" i="1" s="1"/>
  <c r="P1172" i="1"/>
  <c r="O1172" i="1"/>
  <c r="N1172" i="1"/>
  <c r="M1172" i="1"/>
  <c r="L1172" i="1"/>
  <c r="S1172" i="1" s="1"/>
  <c r="P1171" i="1"/>
  <c r="O1171" i="1"/>
  <c r="N1171" i="1"/>
  <c r="M1171" i="1"/>
  <c r="L1171" i="1"/>
  <c r="S1171" i="1" s="1"/>
  <c r="P1170" i="1"/>
  <c r="O1170" i="1"/>
  <c r="N1170" i="1"/>
  <c r="M1170" i="1"/>
  <c r="L1170" i="1"/>
  <c r="S1170" i="1" s="1"/>
  <c r="P1169" i="1"/>
  <c r="O1169" i="1"/>
  <c r="N1169" i="1"/>
  <c r="M1169" i="1"/>
  <c r="L1169" i="1"/>
  <c r="S1169" i="1" s="1"/>
  <c r="P1168" i="1"/>
  <c r="O1168" i="1"/>
  <c r="N1168" i="1"/>
  <c r="M1168" i="1"/>
  <c r="L1168" i="1"/>
  <c r="S1168" i="1" s="1"/>
  <c r="P1167" i="1"/>
  <c r="O1167" i="1"/>
  <c r="N1167" i="1"/>
  <c r="M1167" i="1"/>
  <c r="L1167" i="1"/>
  <c r="S1167" i="1" s="1"/>
  <c r="P1166" i="1"/>
  <c r="O1166" i="1"/>
  <c r="N1166" i="1"/>
  <c r="M1166" i="1"/>
  <c r="L1166" i="1"/>
  <c r="S1166" i="1" s="1"/>
  <c r="P1165" i="1"/>
  <c r="O1165" i="1"/>
  <c r="N1165" i="1"/>
  <c r="M1165" i="1"/>
  <c r="L1165" i="1"/>
  <c r="S1165" i="1" s="1"/>
  <c r="P1164" i="1"/>
  <c r="O1164" i="1"/>
  <c r="N1164" i="1"/>
  <c r="M1164" i="1"/>
  <c r="L1164" i="1"/>
  <c r="S1164" i="1" s="1"/>
  <c r="P1163" i="1"/>
  <c r="O1163" i="1"/>
  <c r="N1163" i="1"/>
  <c r="M1163" i="1"/>
  <c r="L1163" i="1"/>
  <c r="S1163" i="1" s="1"/>
  <c r="P1162" i="1"/>
  <c r="O1162" i="1"/>
  <c r="N1162" i="1"/>
  <c r="M1162" i="1"/>
  <c r="L1162" i="1"/>
  <c r="S1162" i="1" s="1"/>
  <c r="P1161" i="1"/>
  <c r="O1161" i="1"/>
  <c r="N1161" i="1"/>
  <c r="M1161" i="1"/>
  <c r="L1161" i="1"/>
  <c r="S1161" i="1" s="1"/>
  <c r="P1160" i="1"/>
  <c r="O1160" i="1"/>
  <c r="N1160" i="1"/>
  <c r="M1160" i="1"/>
  <c r="L1160" i="1"/>
  <c r="S1160" i="1" s="1"/>
  <c r="P1159" i="1"/>
  <c r="O1159" i="1"/>
  <c r="N1159" i="1"/>
  <c r="M1159" i="1"/>
  <c r="L1159" i="1"/>
  <c r="S1159" i="1" s="1"/>
  <c r="P1158" i="1"/>
  <c r="O1158" i="1"/>
  <c r="N1158" i="1"/>
  <c r="M1158" i="1"/>
  <c r="L1158" i="1"/>
  <c r="S1158" i="1" s="1"/>
  <c r="P1157" i="1"/>
  <c r="O1157" i="1"/>
  <c r="N1157" i="1"/>
  <c r="M1157" i="1"/>
  <c r="L1157" i="1"/>
  <c r="S1157" i="1" s="1"/>
  <c r="P1156" i="1"/>
  <c r="O1156" i="1"/>
  <c r="N1156" i="1"/>
  <c r="M1156" i="1"/>
  <c r="L1156" i="1"/>
  <c r="S1156" i="1" s="1"/>
  <c r="P1155" i="1"/>
  <c r="O1155" i="1"/>
  <c r="N1155" i="1"/>
  <c r="M1155" i="1"/>
  <c r="L1155" i="1"/>
  <c r="S1155" i="1" s="1"/>
  <c r="P1154" i="1"/>
  <c r="O1154" i="1"/>
  <c r="N1154" i="1"/>
  <c r="M1154" i="1"/>
  <c r="L1154" i="1"/>
  <c r="S1154" i="1" s="1"/>
  <c r="P1153" i="1"/>
  <c r="O1153" i="1"/>
  <c r="N1153" i="1"/>
  <c r="M1153" i="1"/>
  <c r="L1153" i="1"/>
  <c r="S1153" i="1" s="1"/>
  <c r="P1152" i="1"/>
  <c r="O1152" i="1"/>
  <c r="N1152" i="1"/>
  <c r="M1152" i="1"/>
  <c r="L1152" i="1"/>
  <c r="S1152" i="1" s="1"/>
  <c r="P1151" i="1"/>
  <c r="O1151" i="1"/>
  <c r="N1151" i="1"/>
  <c r="M1151" i="1"/>
  <c r="L1151" i="1"/>
  <c r="S1151" i="1" s="1"/>
  <c r="P1150" i="1"/>
  <c r="O1150" i="1"/>
  <c r="N1150" i="1"/>
  <c r="M1150" i="1"/>
  <c r="L1150" i="1"/>
  <c r="S1150" i="1" s="1"/>
  <c r="P1149" i="1"/>
  <c r="O1149" i="1"/>
  <c r="N1149" i="1"/>
  <c r="M1149" i="1"/>
  <c r="L1149" i="1"/>
  <c r="S1149" i="1" s="1"/>
  <c r="P1148" i="1"/>
  <c r="O1148" i="1"/>
  <c r="N1148" i="1"/>
  <c r="M1148" i="1"/>
  <c r="L1148" i="1"/>
  <c r="S1148" i="1" s="1"/>
  <c r="P1147" i="1"/>
  <c r="O1147" i="1"/>
  <c r="N1147" i="1"/>
  <c r="M1147" i="1"/>
  <c r="L1147" i="1"/>
  <c r="S1147" i="1" s="1"/>
  <c r="P1146" i="1"/>
  <c r="O1146" i="1"/>
  <c r="N1146" i="1"/>
  <c r="M1146" i="1"/>
  <c r="L1146" i="1"/>
  <c r="S1146" i="1" s="1"/>
  <c r="P1145" i="1"/>
  <c r="O1145" i="1"/>
  <c r="N1145" i="1"/>
  <c r="M1145" i="1"/>
  <c r="L1145" i="1"/>
  <c r="S1145" i="1" s="1"/>
  <c r="P1144" i="1"/>
  <c r="O1144" i="1"/>
  <c r="N1144" i="1"/>
  <c r="M1144" i="1"/>
  <c r="L1144" i="1"/>
  <c r="S1144" i="1" s="1"/>
  <c r="P1143" i="1"/>
  <c r="O1143" i="1"/>
  <c r="N1143" i="1"/>
  <c r="M1143" i="1"/>
  <c r="L1143" i="1"/>
  <c r="S1143" i="1" s="1"/>
  <c r="P1142" i="1"/>
  <c r="O1142" i="1"/>
  <c r="N1142" i="1"/>
  <c r="M1142" i="1"/>
  <c r="L1142" i="1"/>
  <c r="S1142" i="1" s="1"/>
  <c r="P1141" i="1"/>
  <c r="O1141" i="1"/>
  <c r="N1141" i="1"/>
  <c r="M1141" i="1"/>
  <c r="L1141" i="1"/>
  <c r="S1141" i="1" s="1"/>
  <c r="P1140" i="1"/>
  <c r="O1140" i="1"/>
  <c r="N1140" i="1"/>
  <c r="M1140" i="1"/>
  <c r="L1140" i="1"/>
  <c r="S1140" i="1" s="1"/>
  <c r="P1139" i="1"/>
  <c r="O1139" i="1"/>
  <c r="N1139" i="1"/>
  <c r="M1139" i="1"/>
  <c r="L1139" i="1"/>
  <c r="S1139" i="1" s="1"/>
  <c r="P1138" i="1"/>
  <c r="O1138" i="1"/>
  <c r="N1138" i="1"/>
  <c r="M1138" i="1"/>
  <c r="L1138" i="1"/>
  <c r="S1138" i="1" s="1"/>
  <c r="P1137" i="1"/>
  <c r="O1137" i="1"/>
  <c r="N1137" i="1"/>
  <c r="M1137" i="1"/>
  <c r="L1137" i="1"/>
  <c r="S1137" i="1" s="1"/>
  <c r="P1136" i="1"/>
  <c r="O1136" i="1"/>
  <c r="N1136" i="1"/>
  <c r="M1136" i="1"/>
  <c r="L1136" i="1"/>
  <c r="S1136" i="1" s="1"/>
  <c r="P1135" i="1"/>
  <c r="O1135" i="1"/>
  <c r="N1135" i="1"/>
  <c r="M1135" i="1"/>
  <c r="L1135" i="1"/>
  <c r="S1135" i="1" s="1"/>
  <c r="P1134" i="1"/>
  <c r="O1134" i="1"/>
  <c r="N1134" i="1"/>
  <c r="M1134" i="1"/>
  <c r="L1134" i="1"/>
  <c r="S1134" i="1" s="1"/>
  <c r="P1133" i="1"/>
  <c r="O1133" i="1"/>
  <c r="N1133" i="1"/>
  <c r="M1133" i="1"/>
  <c r="L1133" i="1"/>
  <c r="S1133" i="1" s="1"/>
  <c r="P1132" i="1"/>
  <c r="O1132" i="1"/>
  <c r="N1132" i="1"/>
  <c r="M1132" i="1"/>
  <c r="L1132" i="1"/>
  <c r="S1132" i="1" s="1"/>
  <c r="P1131" i="1"/>
  <c r="O1131" i="1"/>
  <c r="N1131" i="1"/>
  <c r="M1131" i="1"/>
  <c r="L1131" i="1"/>
  <c r="S1131" i="1" s="1"/>
  <c r="P1130" i="1"/>
  <c r="O1130" i="1"/>
  <c r="N1130" i="1"/>
  <c r="M1130" i="1"/>
  <c r="L1130" i="1"/>
  <c r="S1130" i="1" s="1"/>
  <c r="P1129" i="1"/>
  <c r="O1129" i="1"/>
  <c r="N1129" i="1"/>
  <c r="M1129" i="1"/>
  <c r="L1129" i="1"/>
  <c r="S1129" i="1" s="1"/>
  <c r="P1128" i="1"/>
  <c r="O1128" i="1"/>
  <c r="N1128" i="1"/>
  <c r="M1128" i="1"/>
  <c r="L1128" i="1"/>
  <c r="S1128" i="1" s="1"/>
  <c r="P1127" i="1"/>
  <c r="O1127" i="1"/>
  <c r="N1127" i="1"/>
  <c r="M1127" i="1"/>
  <c r="L1127" i="1"/>
  <c r="S1127" i="1" s="1"/>
  <c r="P1126" i="1"/>
  <c r="O1126" i="1"/>
  <c r="N1126" i="1"/>
  <c r="M1126" i="1"/>
  <c r="L1126" i="1"/>
  <c r="S1126" i="1" s="1"/>
  <c r="P1125" i="1"/>
  <c r="O1125" i="1"/>
  <c r="N1125" i="1"/>
  <c r="M1125" i="1"/>
  <c r="L1125" i="1"/>
  <c r="S1125" i="1" s="1"/>
  <c r="P1124" i="1"/>
  <c r="O1124" i="1"/>
  <c r="N1124" i="1"/>
  <c r="M1124" i="1"/>
  <c r="L1124" i="1"/>
  <c r="S1124" i="1" s="1"/>
  <c r="P1123" i="1"/>
  <c r="O1123" i="1"/>
  <c r="N1123" i="1"/>
  <c r="M1123" i="1"/>
  <c r="L1123" i="1"/>
  <c r="S1123" i="1" s="1"/>
  <c r="P1122" i="1"/>
  <c r="O1122" i="1"/>
  <c r="N1122" i="1"/>
  <c r="M1122" i="1"/>
  <c r="L1122" i="1"/>
  <c r="S1122" i="1" s="1"/>
  <c r="P1121" i="1"/>
  <c r="O1121" i="1"/>
  <c r="N1121" i="1"/>
  <c r="M1121" i="1"/>
  <c r="L1121" i="1"/>
  <c r="S1121" i="1" s="1"/>
  <c r="P1120" i="1"/>
  <c r="O1120" i="1"/>
  <c r="N1120" i="1"/>
  <c r="M1120" i="1"/>
  <c r="L1120" i="1"/>
  <c r="S1120" i="1" s="1"/>
  <c r="P1119" i="1"/>
  <c r="O1119" i="1"/>
  <c r="N1119" i="1"/>
  <c r="M1119" i="1"/>
  <c r="L1119" i="1"/>
  <c r="S1119" i="1" s="1"/>
  <c r="P1118" i="1"/>
  <c r="O1118" i="1"/>
  <c r="N1118" i="1"/>
  <c r="M1118" i="1"/>
  <c r="L1118" i="1"/>
  <c r="S1118" i="1" s="1"/>
  <c r="P1117" i="1"/>
  <c r="O1117" i="1"/>
  <c r="N1117" i="1"/>
  <c r="M1117" i="1"/>
  <c r="L1117" i="1"/>
  <c r="S1117" i="1" s="1"/>
  <c r="P1116" i="1"/>
  <c r="O1116" i="1"/>
  <c r="N1116" i="1"/>
  <c r="M1116" i="1"/>
  <c r="L1116" i="1"/>
  <c r="S1116" i="1" s="1"/>
  <c r="P1115" i="1"/>
  <c r="O1115" i="1"/>
  <c r="N1115" i="1"/>
  <c r="M1115" i="1"/>
  <c r="L1115" i="1"/>
  <c r="S1115" i="1" s="1"/>
  <c r="P1114" i="1"/>
  <c r="O1114" i="1"/>
  <c r="N1114" i="1"/>
  <c r="M1114" i="1"/>
  <c r="L1114" i="1"/>
  <c r="S1114" i="1" s="1"/>
  <c r="P1113" i="1"/>
  <c r="O1113" i="1"/>
  <c r="N1113" i="1"/>
  <c r="M1113" i="1"/>
  <c r="L1113" i="1"/>
  <c r="S1113" i="1" s="1"/>
  <c r="P1112" i="1"/>
  <c r="O1112" i="1"/>
  <c r="N1112" i="1"/>
  <c r="M1112" i="1"/>
  <c r="L1112" i="1"/>
  <c r="S1112" i="1" s="1"/>
  <c r="P1111" i="1"/>
  <c r="O1111" i="1"/>
  <c r="N1111" i="1"/>
  <c r="M1111" i="1"/>
  <c r="L1111" i="1"/>
  <c r="S1111" i="1" s="1"/>
  <c r="P1110" i="1"/>
  <c r="O1110" i="1"/>
  <c r="N1110" i="1"/>
  <c r="M1110" i="1"/>
  <c r="L1110" i="1"/>
  <c r="S1110" i="1" s="1"/>
  <c r="P1109" i="1"/>
  <c r="O1109" i="1"/>
  <c r="N1109" i="1"/>
  <c r="M1109" i="1"/>
  <c r="L1109" i="1"/>
  <c r="S1109" i="1" s="1"/>
  <c r="P1108" i="1"/>
  <c r="O1108" i="1"/>
  <c r="N1108" i="1"/>
  <c r="M1108" i="1"/>
  <c r="L1108" i="1"/>
  <c r="S1108" i="1" s="1"/>
  <c r="P1107" i="1"/>
  <c r="O1107" i="1"/>
  <c r="N1107" i="1"/>
  <c r="M1107" i="1"/>
  <c r="L1107" i="1"/>
  <c r="S1107" i="1" s="1"/>
  <c r="P1106" i="1"/>
  <c r="O1106" i="1"/>
  <c r="N1106" i="1"/>
  <c r="M1106" i="1"/>
  <c r="L1106" i="1"/>
  <c r="S1106" i="1" s="1"/>
  <c r="P1105" i="1"/>
  <c r="O1105" i="1"/>
  <c r="N1105" i="1"/>
  <c r="M1105" i="1"/>
  <c r="L1105" i="1"/>
  <c r="S1105" i="1" s="1"/>
  <c r="P1104" i="1"/>
  <c r="O1104" i="1"/>
  <c r="N1104" i="1"/>
  <c r="M1104" i="1"/>
  <c r="L1104" i="1"/>
  <c r="S1104" i="1" s="1"/>
  <c r="P1103" i="1"/>
  <c r="O1103" i="1"/>
  <c r="N1103" i="1"/>
  <c r="M1103" i="1"/>
  <c r="L1103" i="1"/>
  <c r="S1103" i="1" s="1"/>
  <c r="P1102" i="1"/>
  <c r="O1102" i="1"/>
  <c r="N1102" i="1"/>
  <c r="M1102" i="1"/>
  <c r="L1102" i="1"/>
  <c r="S1102" i="1" s="1"/>
  <c r="P1101" i="1"/>
  <c r="O1101" i="1"/>
  <c r="N1101" i="1"/>
  <c r="M1101" i="1"/>
  <c r="L1101" i="1"/>
  <c r="S1101" i="1" s="1"/>
  <c r="P1100" i="1"/>
  <c r="O1100" i="1"/>
  <c r="N1100" i="1"/>
  <c r="M1100" i="1"/>
  <c r="L1100" i="1"/>
  <c r="S1100" i="1" s="1"/>
  <c r="P1099" i="1"/>
  <c r="O1099" i="1"/>
  <c r="N1099" i="1"/>
  <c r="M1099" i="1"/>
  <c r="L1099" i="1"/>
  <c r="S1099" i="1" s="1"/>
  <c r="P1098" i="1"/>
  <c r="O1098" i="1"/>
  <c r="N1098" i="1"/>
  <c r="M1098" i="1"/>
  <c r="L1098" i="1"/>
  <c r="S1098" i="1" s="1"/>
  <c r="P1097" i="1"/>
  <c r="O1097" i="1"/>
  <c r="N1097" i="1"/>
  <c r="M1097" i="1"/>
  <c r="L1097" i="1"/>
  <c r="S1097" i="1" s="1"/>
  <c r="P1096" i="1"/>
  <c r="O1096" i="1"/>
  <c r="N1096" i="1"/>
  <c r="M1096" i="1"/>
  <c r="L1096" i="1"/>
  <c r="S1096" i="1" s="1"/>
  <c r="P1095" i="1"/>
  <c r="O1095" i="1"/>
  <c r="N1095" i="1"/>
  <c r="M1095" i="1"/>
  <c r="L1095" i="1"/>
  <c r="S1095" i="1" s="1"/>
  <c r="P1094" i="1"/>
  <c r="O1094" i="1"/>
  <c r="N1094" i="1"/>
  <c r="M1094" i="1"/>
  <c r="L1094" i="1"/>
  <c r="S1094" i="1" s="1"/>
  <c r="P1093" i="1"/>
  <c r="O1093" i="1"/>
  <c r="N1093" i="1"/>
  <c r="M1093" i="1"/>
  <c r="L1093" i="1"/>
  <c r="S1093" i="1" s="1"/>
  <c r="P1092" i="1"/>
  <c r="O1092" i="1"/>
  <c r="N1092" i="1"/>
  <c r="M1092" i="1"/>
  <c r="L1092" i="1"/>
  <c r="S1092" i="1" s="1"/>
  <c r="P1091" i="1"/>
  <c r="O1091" i="1"/>
  <c r="N1091" i="1"/>
  <c r="M1091" i="1"/>
  <c r="L1091" i="1"/>
  <c r="S1091" i="1" s="1"/>
  <c r="P1090" i="1"/>
  <c r="O1090" i="1"/>
  <c r="N1090" i="1"/>
  <c r="M1090" i="1"/>
  <c r="L1090" i="1"/>
  <c r="S1090" i="1" s="1"/>
  <c r="P1089" i="1"/>
  <c r="O1089" i="1"/>
  <c r="N1089" i="1"/>
  <c r="M1089" i="1"/>
  <c r="L1089" i="1"/>
  <c r="S1089" i="1" s="1"/>
  <c r="P1088" i="1"/>
  <c r="O1088" i="1"/>
  <c r="N1088" i="1"/>
  <c r="M1088" i="1"/>
  <c r="L1088" i="1"/>
  <c r="S1088" i="1" s="1"/>
  <c r="P1087" i="1"/>
  <c r="O1087" i="1"/>
  <c r="N1087" i="1"/>
  <c r="M1087" i="1"/>
  <c r="L1087" i="1"/>
  <c r="S1087" i="1" s="1"/>
  <c r="P1086" i="1"/>
  <c r="O1086" i="1"/>
  <c r="N1086" i="1"/>
  <c r="M1086" i="1"/>
  <c r="L1086" i="1"/>
  <c r="S1086" i="1" s="1"/>
  <c r="P1085" i="1"/>
  <c r="O1085" i="1"/>
  <c r="N1085" i="1"/>
  <c r="M1085" i="1"/>
  <c r="L1085" i="1"/>
  <c r="S1085" i="1" s="1"/>
  <c r="P1084" i="1"/>
  <c r="O1084" i="1"/>
  <c r="N1084" i="1"/>
  <c r="M1084" i="1"/>
  <c r="L1084" i="1"/>
  <c r="S1084" i="1" s="1"/>
  <c r="P1083" i="1"/>
  <c r="O1083" i="1"/>
  <c r="N1083" i="1"/>
  <c r="M1083" i="1"/>
  <c r="L1083" i="1"/>
  <c r="S1083" i="1" s="1"/>
  <c r="P1082" i="1"/>
  <c r="O1082" i="1"/>
  <c r="N1082" i="1"/>
  <c r="M1082" i="1"/>
  <c r="L1082" i="1"/>
  <c r="S1082" i="1" s="1"/>
  <c r="P1081" i="1"/>
  <c r="O1081" i="1"/>
  <c r="N1081" i="1"/>
  <c r="M1081" i="1"/>
  <c r="L1081" i="1"/>
  <c r="S1081" i="1" s="1"/>
  <c r="P1080" i="1"/>
  <c r="O1080" i="1"/>
  <c r="N1080" i="1"/>
  <c r="M1080" i="1"/>
  <c r="L1080" i="1"/>
  <c r="S1080" i="1" s="1"/>
  <c r="P1079" i="1"/>
  <c r="O1079" i="1"/>
  <c r="N1079" i="1"/>
  <c r="M1079" i="1"/>
  <c r="L1079" i="1"/>
  <c r="S1079" i="1" s="1"/>
  <c r="P1078" i="1"/>
  <c r="O1078" i="1"/>
  <c r="N1078" i="1"/>
  <c r="M1078" i="1"/>
  <c r="L1078" i="1"/>
  <c r="S1078" i="1" s="1"/>
  <c r="P1077" i="1"/>
  <c r="O1077" i="1"/>
  <c r="N1077" i="1"/>
  <c r="M1077" i="1"/>
  <c r="L1077" i="1"/>
  <c r="S1077" i="1" s="1"/>
  <c r="P1076" i="1"/>
  <c r="O1076" i="1"/>
  <c r="N1076" i="1"/>
  <c r="M1076" i="1"/>
  <c r="L1076" i="1"/>
  <c r="S1076" i="1" s="1"/>
  <c r="P1075" i="1"/>
  <c r="O1075" i="1"/>
  <c r="N1075" i="1"/>
  <c r="M1075" i="1"/>
  <c r="L1075" i="1"/>
  <c r="S1075" i="1" s="1"/>
  <c r="P1074" i="1"/>
  <c r="O1074" i="1"/>
  <c r="N1074" i="1"/>
  <c r="M1074" i="1"/>
  <c r="L1074" i="1"/>
  <c r="S1074" i="1" s="1"/>
  <c r="P1073" i="1"/>
  <c r="O1073" i="1"/>
  <c r="N1073" i="1"/>
  <c r="M1073" i="1"/>
  <c r="L1073" i="1"/>
  <c r="S1073" i="1" s="1"/>
  <c r="P1072" i="1"/>
  <c r="O1072" i="1"/>
  <c r="N1072" i="1"/>
  <c r="M1072" i="1"/>
  <c r="L1072" i="1"/>
  <c r="S1072" i="1" s="1"/>
  <c r="P1071" i="1"/>
  <c r="O1071" i="1"/>
  <c r="N1071" i="1"/>
  <c r="M1071" i="1"/>
  <c r="L1071" i="1"/>
  <c r="S1071" i="1" s="1"/>
  <c r="P1070" i="1"/>
  <c r="O1070" i="1"/>
  <c r="N1070" i="1"/>
  <c r="M1070" i="1"/>
  <c r="L1070" i="1"/>
  <c r="S1070" i="1" s="1"/>
  <c r="P1069" i="1"/>
  <c r="O1069" i="1"/>
  <c r="N1069" i="1"/>
  <c r="M1069" i="1"/>
  <c r="L1069" i="1"/>
  <c r="S1069" i="1" s="1"/>
  <c r="P1068" i="1"/>
  <c r="O1068" i="1"/>
  <c r="N1068" i="1"/>
  <c r="M1068" i="1"/>
  <c r="L1068" i="1"/>
  <c r="S1068" i="1" s="1"/>
  <c r="P1067" i="1"/>
  <c r="O1067" i="1"/>
  <c r="N1067" i="1"/>
  <c r="M1067" i="1"/>
  <c r="L1067" i="1"/>
  <c r="S1067" i="1" s="1"/>
  <c r="P1066" i="1"/>
  <c r="O1066" i="1"/>
  <c r="N1066" i="1"/>
  <c r="M1066" i="1"/>
  <c r="L1066" i="1"/>
  <c r="S1066" i="1" s="1"/>
  <c r="P1065" i="1"/>
  <c r="O1065" i="1"/>
  <c r="N1065" i="1"/>
  <c r="M1065" i="1"/>
  <c r="L1065" i="1"/>
  <c r="S1065" i="1" s="1"/>
  <c r="P1064" i="1"/>
  <c r="O1064" i="1"/>
  <c r="N1064" i="1"/>
  <c r="M1064" i="1"/>
  <c r="L1064" i="1"/>
  <c r="S1064" i="1" s="1"/>
  <c r="P1063" i="1"/>
  <c r="O1063" i="1"/>
  <c r="N1063" i="1"/>
  <c r="M1063" i="1"/>
  <c r="L1063" i="1"/>
  <c r="S1063" i="1" s="1"/>
  <c r="P1062" i="1"/>
  <c r="O1062" i="1"/>
  <c r="N1062" i="1"/>
  <c r="M1062" i="1"/>
  <c r="L1062" i="1"/>
  <c r="S1062" i="1" s="1"/>
  <c r="P1061" i="1"/>
  <c r="O1061" i="1"/>
  <c r="N1061" i="1"/>
  <c r="M1061" i="1"/>
  <c r="L1061" i="1"/>
  <c r="S1061" i="1" s="1"/>
  <c r="P1060" i="1"/>
  <c r="O1060" i="1"/>
  <c r="N1060" i="1"/>
  <c r="M1060" i="1"/>
  <c r="L1060" i="1"/>
  <c r="S1060" i="1" s="1"/>
  <c r="P1059" i="1"/>
  <c r="O1059" i="1"/>
  <c r="N1059" i="1"/>
  <c r="M1059" i="1"/>
  <c r="L1059" i="1"/>
  <c r="S1059" i="1" s="1"/>
  <c r="P1058" i="1"/>
  <c r="O1058" i="1"/>
  <c r="N1058" i="1"/>
  <c r="M1058" i="1"/>
  <c r="L1058" i="1"/>
  <c r="S1058" i="1" s="1"/>
  <c r="P1057" i="1"/>
  <c r="O1057" i="1"/>
  <c r="N1057" i="1"/>
  <c r="M1057" i="1"/>
  <c r="L1057" i="1"/>
  <c r="S1057" i="1" s="1"/>
  <c r="P1056" i="1"/>
  <c r="O1056" i="1"/>
  <c r="N1056" i="1"/>
  <c r="M1056" i="1"/>
  <c r="L1056" i="1"/>
  <c r="S1056" i="1" s="1"/>
  <c r="P1055" i="1"/>
  <c r="O1055" i="1"/>
  <c r="N1055" i="1"/>
  <c r="M1055" i="1"/>
  <c r="L1055" i="1"/>
  <c r="S1055" i="1" s="1"/>
  <c r="P1054" i="1"/>
  <c r="O1054" i="1"/>
  <c r="N1054" i="1"/>
  <c r="M1054" i="1"/>
  <c r="L1054" i="1"/>
  <c r="S1054" i="1" s="1"/>
  <c r="P1053" i="1"/>
  <c r="O1053" i="1"/>
  <c r="N1053" i="1"/>
  <c r="M1053" i="1"/>
  <c r="L1053" i="1"/>
  <c r="S1053" i="1" s="1"/>
  <c r="P1052" i="1"/>
  <c r="O1052" i="1"/>
  <c r="N1052" i="1"/>
  <c r="M1052" i="1"/>
  <c r="L1052" i="1"/>
  <c r="S1052" i="1" s="1"/>
  <c r="P1051" i="1"/>
  <c r="O1051" i="1"/>
  <c r="N1051" i="1"/>
  <c r="M1051" i="1"/>
  <c r="L1051" i="1"/>
  <c r="S1051" i="1" s="1"/>
  <c r="P1050" i="1"/>
  <c r="O1050" i="1"/>
  <c r="N1050" i="1"/>
  <c r="M1050" i="1"/>
  <c r="L1050" i="1"/>
  <c r="S1050" i="1" s="1"/>
  <c r="P1049" i="1"/>
  <c r="O1049" i="1"/>
  <c r="N1049" i="1"/>
  <c r="M1049" i="1"/>
  <c r="L1049" i="1"/>
  <c r="S1049" i="1" s="1"/>
  <c r="P1048" i="1"/>
  <c r="O1048" i="1"/>
  <c r="N1048" i="1"/>
  <c r="M1048" i="1"/>
  <c r="L1048" i="1"/>
  <c r="S1048" i="1" s="1"/>
  <c r="P1047" i="1"/>
  <c r="O1047" i="1"/>
  <c r="N1047" i="1"/>
  <c r="M1047" i="1"/>
  <c r="L1047" i="1"/>
  <c r="S1047" i="1" s="1"/>
  <c r="P1046" i="1"/>
  <c r="O1046" i="1"/>
  <c r="N1046" i="1"/>
  <c r="M1046" i="1"/>
  <c r="L1046" i="1"/>
  <c r="S1046" i="1" s="1"/>
  <c r="P1045" i="1"/>
  <c r="O1045" i="1"/>
  <c r="N1045" i="1"/>
  <c r="M1045" i="1"/>
  <c r="L1045" i="1"/>
  <c r="S1045" i="1" s="1"/>
  <c r="P1044" i="1"/>
  <c r="O1044" i="1"/>
  <c r="N1044" i="1"/>
  <c r="M1044" i="1"/>
  <c r="L1044" i="1"/>
  <c r="S1044" i="1" s="1"/>
  <c r="P1043" i="1"/>
  <c r="O1043" i="1"/>
  <c r="N1043" i="1"/>
  <c r="M1043" i="1"/>
  <c r="L1043" i="1"/>
  <c r="S1043" i="1" s="1"/>
  <c r="P1042" i="1"/>
  <c r="O1042" i="1"/>
  <c r="N1042" i="1"/>
  <c r="M1042" i="1"/>
  <c r="L1042" i="1"/>
  <c r="S1042" i="1" s="1"/>
  <c r="P1041" i="1"/>
  <c r="O1041" i="1"/>
  <c r="N1041" i="1"/>
  <c r="M1041" i="1"/>
  <c r="L1041" i="1"/>
  <c r="S1041" i="1" s="1"/>
  <c r="P1040" i="1"/>
  <c r="O1040" i="1"/>
  <c r="N1040" i="1"/>
  <c r="M1040" i="1"/>
  <c r="L1040" i="1"/>
  <c r="S1040" i="1" s="1"/>
  <c r="P1039" i="1"/>
  <c r="O1039" i="1"/>
  <c r="N1039" i="1"/>
  <c r="M1039" i="1"/>
  <c r="L1039" i="1"/>
  <c r="S1039" i="1" s="1"/>
  <c r="P1038" i="1"/>
  <c r="O1038" i="1"/>
  <c r="N1038" i="1"/>
  <c r="M1038" i="1"/>
  <c r="L1038" i="1"/>
  <c r="S1038" i="1" s="1"/>
  <c r="P1037" i="1"/>
  <c r="O1037" i="1"/>
  <c r="N1037" i="1"/>
  <c r="M1037" i="1"/>
  <c r="L1037" i="1"/>
  <c r="S1037" i="1" s="1"/>
  <c r="P1036" i="1"/>
  <c r="O1036" i="1"/>
  <c r="N1036" i="1"/>
  <c r="M1036" i="1"/>
  <c r="L1036" i="1"/>
  <c r="S1036" i="1" s="1"/>
  <c r="P1035" i="1"/>
  <c r="O1035" i="1"/>
  <c r="N1035" i="1"/>
  <c r="M1035" i="1"/>
  <c r="L1035" i="1"/>
  <c r="S1035" i="1" s="1"/>
  <c r="P1034" i="1"/>
  <c r="O1034" i="1"/>
  <c r="N1034" i="1"/>
  <c r="M1034" i="1"/>
  <c r="L1034" i="1"/>
  <c r="S1034" i="1" s="1"/>
  <c r="P1033" i="1"/>
  <c r="O1033" i="1"/>
  <c r="N1033" i="1"/>
  <c r="M1033" i="1"/>
  <c r="L1033" i="1"/>
  <c r="S1033" i="1" s="1"/>
  <c r="P1032" i="1"/>
  <c r="O1032" i="1"/>
  <c r="N1032" i="1"/>
  <c r="M1032" i="1"/>
  <c r="L1032" i="1"/>
  <c r="S1032" i="1" s="1"/>
  <c r="P1031" i="1"/>
  <c r="O1031" i="1"/>
  <c r="N1031" i="1"/>
  <c r="M1031" i="1"/>
  <c r="L1031" i="1"/>
  <c r="S1031" i="1" s="1"/>
  <c r="P1030" i="1"/>
  <c r="O1030" i="1"/>
  <c r="N1030" i="1"/>
  <c r="M1030" i="1"/>
  <c r="L1030" i="1"/>
  <c r="S1030" i="1" s="1"/>
  <c r="P1029" i="1"/>
  <c r="O1029" i="1"/>
  <c r="N1029" i="1"/>
  <c r="M1029" i="1"/>
  <c r="L1029" i="1"/>
  <c r="S1029" i="1" s="1"/>
  <c r="P1028" i="1"/>
  <c r="O1028" i="1"/>
  <c r="N1028" i="1"/>
  <c r="M1028" i="1"/>
  <c r="L1028" i="1"/>
  <c r="S1028" i="1" s="1"/>
  <c r="P1027" i="1"/>
  <c r="O1027" i="1"/>
  <c r="N1027" i="1"/>
  <c r="M1027" i="1"/>
  <c r="L1027" i="1"/>
  <c r="S1027" i="1" s="1"/>
  <c r="P1026" i="1"/>
  <c r="O1026" i="1"/>
  <c r="N1026" i="1"/>
  <c r="M1026" i="1"/>
  <c r="L1026" i="1"/>
  <c r="S1026" i="1" s="1"/>
  <c r="P1025" i="1"/>
  <c r="O1025" i="1"/>
  <c r="N1025" i="1"/>
  <c r="M1025" i="1"/>
  <c r="L1025" i="1"/>
  <c r="S1025" i="1" s="1"/>
  <c r="P1024" i="1"/>
  <c r="O1024" i="1"/>
  <c r="N1024" i="1"/>
  <c r="M1024" i="1"/>
  <c r="L1024" i="1"/>
  <c r="S1024" i="1" s="1"/>
  <c r="P1023" i="1"/>
  <c r="O1023" i="1"/>
  <c r="N1023" i="1"/>
  <c r="M1023" i="1"/>
  <c r="L1023" i="1"/>
  <c r="S1023" i="1" s="1"/>
  <c r="P1022" i="1"/>
  <c r="O1022" i="1"/>
  <c r="N1022" i="1"/>
  <c r="M1022" i="1"/>
  <c r="L1022" i="1"/>
  <c r="S1022" i="1" s="1"/>
  <c r="P1021" i="1"/>
  <c r="O1021" i="1"/>
  <c r="N1021" i="1"/>
  <c r="M1021" i="1"/>
  <c r="L1021" i="1"/>
  <c r="S1021" i="1" s="1"/>
  <c r="P1020" i="1"/>
  <c r="O1020" i="1"/>
  <c r="N1020" i="1"/>
  <c r="M1020" i="1"/>
  <c r="L1020" i="1"/>
  <c r="S1020" i="1" s="1"/>
  <c r="P1019" i="1"/>
  <c r="O1019" i="1"/>
  <c r="N1019" i="1"/>
  <c r="M1019" i="1"/>
  <c r="L1019" i="1"/>
  <c r="S1019" i="1" s="1"/>
  <c r="P1018" i="1"/>
  <c r="O1018" i="1"/>
  <c r="N1018" i="1"/>
  <c r="M1018" i="1"/>
  <c r="L1018" i="1"/>
  <c r="S1018" i="1" s="1"/>
  <c r="P1017" i="1"/>
  <c r="O1017" i="1"/>
  <c r="N1017" i="1"/>
  <c r="M1017" i="1"/>
  <c r="L1017" i="1"/>
  <c r="S1017" i="1" s="1"/>
  <c r="P1016" i="1"/>
  <c r="O1016" i="1"/>
  <c r="N1016" i="1"/>
  <c r="M1016" i="1"/>
  <c r="L1016" i="1"/>
  <c r="S1016" i="1" s="1"/>
  <c r="P1015" i="1"/>
  <c r="O1015" i="1"/>
  <c r="N1015" i="1"/>
  <c r="M1015" i="1"/>
  <c r="L1015" i="1"/>
  <c r="S1015" i="1" s="1"/>
  <c r="P1014" i="1"/>
  <c r="O1014" i="1"/>
  <c r="N1014" i="1"/>
  <c r="M1014" i="1"/>
  <c r="L1014" i="1"/>
  <c r="S1014" i="1" s="1"/>
  <c r="P1013" i="1"/>
  <c r="O1013" i="1"/>
  <c r="N1013" i="1"/>
  <c r="M1013" i="1"/>
  <c r="L1013" i="1"/>
  <c r="S1013" i="1" s="1"/>
  <c r="P1012" i="1"/>
  <c r="O1012" i="1"/>
  <c r="N1012" i="1"/>
  <c r="M1012" i="1"/>
  <c r="L1012" i="1"/>
  <c r="S1012" i="1" s="1"/>
  <c r="P1011" i="1"/>
  <c r="O1011" i="1"/>
  <c r="N1011" i="1"/>
  <c r="M1011" i="1"/>
  <c r="L1011" i="1"/>
  <c r="S1011" i="1" s="1"/>
  <c r="P1010" i="1"/>
  <c r="O1010" i="1"/>
  <c r="N1010" i="1"/>
  <c r="M1010" i="1"/>
  <c r="L1010" i="1"/>
  <c r="S1010" i="1" s="1"/>
  <c r="P1009" i="1"/>
  <c r="O1009" i="1"/>
  <c r="N1009" i="1"/>
  <c r="M1009" i="1"/>
  <c r="L1009" i="1"/>
  <c r="S1009" i="1" s="1"/>
  <c r="P1008" i="1"/>
  <c r="O1008" i="1"/>
  <c r="N1008" i="1"/>
  <c r="M1008" i="1"/>
  <c r="L1008" i="1"/>
  <c r="S1008" i="1" s="1"/>
  <c r="P1007" i="1"/>
  <c r="O1007" i="1"/>
  <c r="N1007" i="1"/>
  <c r="M1007" i="1"/>
  <c r="L1007" i="1"/>
  <c r="S1007" i="1" s="1"/>
  <c r="P1006" i="1"/>
  <c r="O1006" i="1"/>
  <c r="N1006" i="1"/>
  <c r="M1006" i="1"/>
  <c r="L1006" i="1"/>
  <c r="S1006" i="1" s="1"/>
  <c r="P1005" i="1"/>
  <c r="O1005" i="1"/>
  <c r="N1005" i="1"/>
  <c r="M1005" i="1"/>
  <c r="L1005" i="1"/>
  <c r="S1005" i="1" s="1"/>
  <c r="P1004" i="1"/>
  <c r="O1004" i="1"/>
  <c r="N1004" i="1"/>
  <c r="M1004" i="1"/>
  <c r="L1004" i="1"/>
  <c r="S1004" i="1" s="1"/>
  <c r="P1003" i="1"/>
  <c r="O1003" i="1"/>
  <c r="N1003" i="1"/>
  <c r="M1003" i="1"/>
  <c r="L1003" i="1"/>
  <c r="S1003" i="1" s="1"/>
  <c r="P1002" i="1"/>
  <c r="O1002" i="1"/>
  <c r="N1002" i="1"/>
  <c r="M1002" i="1"/>
  <c r="L1002" i="1"/>
  <c r="S1002" i="1" s="1"/>
  <c r="P1001" i="1"/>
  <c r="O1001" i="1"/>
  <c r="N1001" i="1"/>
  <c r="M1001" i="1"/>
  <c r="L1001" i="1"/>
  <c r="S1001" i="1" s="1"/>
  <c r="P1000" i="1"/>
  <c r="O1000" i="1"/>
  <c r="N1000" i="1"/>
  <c r="M1000" i="1"/>
  <c r="L1000" i="1"/>
  <c r="S1000" i="1" s="1"/>
  <c r="P999" i="1"/>
  <c r="O999" i="1"/>
  <c r="N999" i="1"/>
  <c r="M999" i="1"/>
  <c r="L999" i="1"/>
  <c r="S999" i="1" s="1"/>
  <c r="P998" i="1"/>
  <c r="O998" i="1"/>
  <c r="N998" i="1"/>
  <c r="M998" i="1"/>
  <c r="L998" i="1"/>
  <c r="S998" i="1" s="1"/>
  <c r="P997" i="1"/>
  <c r="O997" i="1"/>
  <c r="N997" i="1"/>
  <c r="M997" i="1"/>
  <c r="L997" i="1"/>
  <c r="S997" i="1" s="1"/>
  <c r="P996" i="1"/>
  <c r="O996" i="1"/>
  <c r="N996" i="1"/>
  <c r="M996" i="1"/>
  <c r="L996" i="1"/>
  <c r="S996" i="1" s="1"/>
  <c r="P995" i="1"/>
  <c r="O995" i="1"/>
  <c r="N995" i="1"/>
  <c r="M995" i="1"/>
  <c r="L995" i="1"/>
  <c r="S995" i="1" s="1"/>
  <c r="P994" i="1"/>
  <c r="O994" i="1"/>
  <c r="N994" i="1"/>
  <c r="M994" i="1"/>
  <c r="L994" i="1"/>
  <c r="S994" i="1" s="1"/>
  <c r="P993" i="1"/>
  <c r="O993" i="1"/>
  <c r="N993" i="1"/>
  <c r="M993" i="1"/>
  <c r="L993" i="1"/>
  <c r="S993" i="1" s="1"/>
  <c r="P992" i="1"/>
  <c r="O992" i="1"/>
  <c r="N992" i="1"/>
  <c r="M992" i="1"/>
  <c r="L992" i="1"/>
  <c r="S992" i="1" s="1"/>
  <c r="P991" i="1"/>
  <c r="O991" i="1"/>
  <c r="N991" i="1"/>
  <c r="M991" i="1"/>
  <c r="L991" i="1"/>
  <c r="S991" i="1" s="1"/>
  <c r="P990" i="1"/>
  <c r="O990" i="1"/>
  <c r="N990" i="1"/>
  <c r="M990" i="1"/>
  <c r="L990" i="1"/>
  <c r="S990" i="1" s="1"/>
  <c r="P989" i="1"/>
  <c r="O989" i="1"/>
  <c r="N989" i="1"/>
  <c r="M989" i="1"/>
  <c r="L989" i="1"/>
  <c r="S989" i="1" s="1"/>
  <c r="P987" i="1"/>
  <c r="O987" i="1"/>
  <c r="N987" i="1"/>
  <c r="M987" i="1"/>
  <c r="L987" i="1"/>
  <c r="S987" i="1" s="1"/>
  <c r="P986" i="1"/>
  <c r="O986" i="1"/>
  <c r="N986" i="1"/>
  <c r="M986" i="1"/>
  <c r="L986" i="1"/>
  <c r="S986" i="1" s="1"/>
  <c r="P985" i="1"/>
  <c r="O985" i="1"/>
  <c r="N985" i="1"/>
  <c r="M985" i="1"/>
  <c r="L985" i="1"/>
  <c r="S985" i="1" s="1"/>
  <c r="P984" i="1"/>
  <c r="O984" i="1"/>
  <c r="N984" i="1"/>
  <c r="M984" i="1"/>
  <c r="L984" i="1"/>
  <c r="S984" i="1" s="1"/>
  <c r="P983" i="1"/>
  <c r="O983" i="1"/>
  <c r="N983" i="1"/>
  <c r="M983" i="1"/>
  <c r="L983" i="1"/>
  <c r="S983" i="1" s="1"/>
  <c r="P982" i="1"/>
  <c r="O982" i="1"/>
  <c r="N982" i="1"/>
  <c r="M982" i="1"/>
  <c r="L982" i="1"/>
  <c r="S982" i="1" s="1"/>
  <c r="P981" i="1"/>
  <c r="O981" i="1"/>
  <c r="N981" i="1"/>
  <c r="M981" i="1"/>
  <c r="L981" i="1"/>
  <c r="S981" i="1" s="1"/>
  <c r="P980" i="1"/>
  <c r="O980" i="1"/>
  <c r="N980" i="1"/>
  <c r="M980" i="1"/>
  <c r="L980" i="1"/>
  <c r="S980" i="1" s="1"/>
  <c r="P979" i="1"/>
  <c r="O979" i="1"/>
  <c r="N979" i="1"/>
  <c r="M979" i="1"/>
  <c r="L979" i="1"/>
  <c r="S979" i="1" s="1"/>
  <c r="P978" i="1"/>
  <c r="O978" i="1"/>
  <c r="N978" i="1"/>
  <c r="M978" i="1"/>
  <c r="L978" i="1"/>
  <c r="S978" i="1" s="1"/>
  <c r="P977" i="1"/>
  <c r="O977" i="1"/>
  <c r="N977" i="1"/>
  <c r="M977" i="1"/>
  <c r="L977" i="1"/>
  <c r="S977" i="1" s="1"/>
  <c r="P976" i="1"/>
  <c r="O976" i="1"/>
  <c r="N976" i="1"/>
  <c r="M976" i="1"/>
  <c r="L976" i="1"/>
  <c r="S976" i="1" s="1"/>
  <c r="P975" i="1"/>
  <c r="O975" i="1"/>
  <c r="N975" i="1"/>
  <c r="M975" i="1"/>
  <c r="L975" i="1"/>
  <c r="S975" i="1" s="1"/>
  <c r="P974" i="1"/>
  <c r="O974" i="1"/>
  <c r="N974" i="1"/>
  <c r="M974" i="1"/>
  <c r="L974" i="1"/>
  <c r="S974" i="1" s="1"/>
  <c r="P973" i="1"/>
  <c r="O973" i="1"/>
  <c r="N973" i="1"/>
  <c r="M973" i="1"/>
  <c r="L973" i="1"/>
  <c r="S973" i="1" s="1"/>
  <c r="P972" i="1"/>
  <c r="O972" i="1"/>
  <c r="N972" i="1"/>
  <c r="M972" i="1"/>
  <c r="L972" i="1"/>
  <c r="S972" i="1" s="1"/>
  <c r="P971" i="1"/>
  <c r="O971" i="1"/>
  <c r="N971" i="1"/>
  <c r="M971" i="1"/>
  <c r="L971" i="1"/>
  <c r="S971" i="1" s="1"/>
  <c r="P970" i="1"/>
  <c r="O970" i="1"/>
  <c r="N970" i="1"/>
  <c r="M970" i="1"/>
  <c r="L970" i="1"/>
  <c r="S970" i="1" s="1"/>
  <c r="P969" i="1"/>
  <c r="O969" i="1"/>
  <c r="N969" i="1"/>
  <c r="M969" i="1"/>
  <c r="L969" i="1"/>
  <c r="S969" i="1" s="1"/>
  <c r="P968" i="1"/>
  <c r="O968" i="1"/>
  <c r="N968" i="1"/>
  <c r="M968" i="1"/>
  <c r="L968" i="1"/>
  <c r="S968" i="1" s="1"/>
  <c r="P967" i="1"/>
  <c r="O967" i="1"/>
  <c r="N967" i="1"/>
  <c r="M967" i="1"/>
  <c r="L967" i="1"/>
  <c r="S967" i="1" s="1"/>
  <c r="P966" i="1"/>
  <c r="O966" i="1"/>
  <c r="N966" i="1"/>
  <c r="M966" i="1"/>
  <c r="L966" i="1"/>
  <c r="S966" i="1" s="1"/>
  <c r="P965" i="1"/>
  <c r="O965" i="1"/>
  <c r="N965" i="1"/>
  <c r="M965" i="1"/>
  <c r="L965" i="1"/>
  <c r="S965" i="1" s="1"/>
  <c r="P964" i="1"/>
  <c r="O964" i="1"/>
  <c r="N964" i="1"/>
  <c r="M964" i="1"/>
  <c r="L964" i="1"/>
  <c r="S964" i="1" s="1"/>
  <c r="P963" i="1"/>
  <c r="O963" i="1"/>
  <c r="N963" i="1"/>
  <c r="M963" i="1"/>
  <c r="L963" i="1"/>
  <c r="S963" i="1" s="1"/>
  <c r="P962" i="1"/>
  <c r="O962" i="1"/>
  <c r="N962" i="1"/>
  <c r="M962" i="1"/>
  <c r="L962" i="1"/>
  <c r="S962" i="1" s="1"/>
  <c r="P961" i="1"/>
  <c r="O961" i="1"/>
  <c r="N961" i="1"/>
  <c r="M961" i="1"/>
  <c r="L961" i="1"/>
  <c r="S961" i="1" s="1"/>
  <c r="P960" i="1"/>
  <c r="O960" i="1"/>
  <c r="N960" i="1"/>
  <c r="M960" i="1"/>
  <c r="L960" i="1"/>
  <c r="S960" i="1" s="1"/>
  <c r="P959" i="1"/>
  <c r="O959" i="1"/>
  <c r="N959" i="1"/>
  <c r="M959" i="1"/>
  <c r="L959" i="1"/>
  <c r="S959" i="1" s="1"/>
  <c r="P958" i="1"/>
  <c r="O958" i="1"/>
  <c r="N958" i="1"/>
  <c r="M958" i="1"/>
  <c r="L958" i="1"/>
  <c r="S958" i="1" s="1"/>
  <c r="P957" i="1"/>
  <c r="O957" i="1"/>
  <c r="N957" i="1"/>
  <c r="M957" i="1"/>
  <c r="L957" i="1"/>
  <c r="S957" i="1" s="1"/>
  <c r="P956" i="1"/>
  <c r="O956" i="1"/>
  <c r="N956" i="1"/>
  <c r="M956" i="1"/>
  <c r="L956" i="1"/>
  <c r="S956" i="1" s="1"/>
  <c r="P955" i="1"/>
  <c r="O955" i="1"/>
  <c r="N955" i="1"/>
  <c r="M955" i="1"/>
  <c r="L955" i="1"/>
  <c r="S955" i="1" s="1"/>
  <c r="P954" i="1"/>
  <c r="O954" i="1"/>
  <c r="N954" i="1"/>
  <c r="M954" i="1"/>
  <c r="L954" i="1"/>
  <c r="S954" i="1" s="1"/>
  <c r="P953" i="1"/>
  <c r="O953" i="1"/>
  <c r="N953" i="1"/>
  <c r="M953" i="1"/>
  <c r="L953" i="1"/>
  <c r="S953" i="1" s="1"/>
  <c r="P952" i="1"/>
  <c r="O952" i="1"/>
  <c r="N952" i="1"/>
  <c r="M952" i="1"/>
  <c r="L952" i="1"/>
  <c r="S952" i="1" s="1"/>
  <c r="P951" i="1"/>
  <c r="O951" i="1"/>
  <c r="N951" i="1"/>
  <c r="M951" i="1"/>
  <c r="L951" i="1"/>
  <c r="S951" i="1" s="1"/>
  <c r="P950" i="1"/>
  <c r="O950" i="1"/>
  <c r="N950" i="1"/>
  <c r="M950" i="1"/>
  <c r="L950" i="1"/>
  <c r="S950" i="1" s="1"/>
  <c r="P949" i="1"/>
  <c r="O949" i="1"/>
  <c r="N949" i="1"/>
  <c r="M949" i="1"/>
  <c r="L949" i="1"/>
  <c r="S949" i="1" s="1"/>
  <c r="P948" i="1"/>
  <c r="O948" i="1"/>
  <c r="N948" i="1"/>
  <c r="M948" i="1"/>
  <c r="L948" i="1"/>
  <c r="S948" i="1" s="1"/>
  <c r="P947" i="1"/>
  <c r="O947" i="1"/>
  <c r="N947" i="1"/>
  <c r="M947" i="1"/>
  <c r="L947" i="1"/>
  <c r="S947" i="1" s="1"/>
  <c r="P946" i="1"/>
  <c r="O946" i="1"/>
  <c r="N946" i="1"/>
  <c r="M946" i="1"/>
  <c r="L946" i="1"/>
  <c r="S946" i="1" s="1"/>
  <c r="P945" i="1"/>
  <c r="O945" i="1"/>
  <c r="N945" i="1"/>
  <c r="M945" i="1"/>
  <c r="L945" i="1"/>
  <c r="S945" i="1" s="1"/>
  <c r="P944" i="1"/>
  <c r="O944" i="1"/>
  <c r="N944" i="1"/>
  <c r="M944" i="1"/>
  <c r="L944" i="1"/>
  <c r="S944" i="1" s="1"/>
  <c r="P943" i="1"/>
  <c r="O943" i="1"/>
  <c r="N943" i="1"/>
  <c r="M943" i="1"/>
  <c r="L943" i="1"/>
  <c r="S943" i="1" s="1"/>
  <c r="P942" i="1"/>
  <c r="O942" i="1"/>
  <c r="N942" i="1"/>
  <c r="M942" i="1"/>
  <c r="L942" i="1"/>
  <c r="S942" i="1" s="1"/>
  <c r="P887" i="1"/>
  <c r="O887" i="1"/>
  <c r="N887" i="1"/>
  <c r="M887" i="1"/>
  <c r="L887" i="1"/>
  <c r="S887" i="1" s="1"/>
  <c r="P941" i="1"/>
  <c r="O941" i="1"/>
  <c r="N941" i="1"/>
  <c r="M941" i="1"/>
  <c r="L941" i="1"/>
  <c r="S941" i="1" s="1"/>
  <c r="P940" i="1"/>
  <c r="O940" i="1"/>
  <c r="N940" i="1"/>
  <c r="M940" i="1"/>
  <c r="L940" i="1"/>
  <c r="S940" i="1" s="1"/>
  <c r="P939" i="1"/>
  <c r="O939" i="1"/>
  <c r="N939" i="1"/>
  <c r="M939" i="1"/>
  <c r="L939" i="1"/>
  <c r="S939" i="1" s="1"/>
  <c r="P938" i="1"/>
  <c r="O938" i="1"/>
  <c r="N938" i="1"/>
  <c r="M938" i="1"/>
  <c r="L938" i="1"/>
  <c r="S938" i="1" s="1"/>
  <c r="P937" i="1"/>
  <c r="O937" i="1"/>
  <c r="N937" i="1"/>
  <c r="M937" i="1"/>
  <c r="L937" i="1"/>
  <c r="S937" i="1" s="1"/>
  <c r="P936" i="1"/>
  <c r="O936" i="1"/>
  <c r="N936" i="1"/>
  <c r="M936" i="1"/>
  <c r="L936" i="1"/>
  <c r="S936" i="1" s="1"/>
  <c r="P935" i="1"/>
  <c r="O935" i="1"/>
  <c r="N935" i="1"/>
  <c r="M935" i="1"/>
  <c r="L935" i="1"/>
  <c r="S935" i="1" s="1"/>
  <c r="P934" i="1"/>
  <c r="O934" i="1"/>
  <c r="N934" i="1"/>
  <c r="M934" i="1"/>
  <c r="L934" i="1"/>
  <c r="S934" i="1" s="1"/>
  <c r="P933" i="1"/>
  <c r="O933" i="1"/>
  <c r="N933" i="1"/>
  <c r="M933" i="1"/>
  <c r="L933" i="1"/>
  <c r="S933" i="1" s="1"/>
  <c r="P932" i="1"/>
  <c r="O932" i="1"/>
  <c r="N932" i="1"/>
  <c r="M932" i="1"/>
  <c r="L932" i="1"/>
  <c r="S932" i="1" s="1"/>
  <c r="P931" i="1"/>
  <c r="O931" i="1"/>
  <c r="N931" i="1"/>
  <c r="M931" i="1"/>
  <c r="L931" i="1"/>
  <c r="S931" i="1" s="1"/>
  <c r="P930" i="1"/>
  <c r="O930" i="1"/>
  <c r="N930" i="1"/>
  <c r="M930" i="1"/>
  <c r="L930" i="1"/>
  <c r="S930" i="1" s="1"/>
  <c r="P929" i="1"/>
  <c r="O929" i="1"/>
  <c r="N929" i="1"/>
  <c r="M929" i="1"/>
  <c r="L929" i="1"/>
  <c r="S929" i="1" s="1"/>
  <c r="P928" i="1"/>
  <c r="O928" i="1"/>
  <c r="N928" i="1"/>
  <c r="M928" i="1"/>
  <c r="L928" i="1"/>
  <c r="S928" i="1" s="1"/>
  <c r="P927" i="1"/>
  <c r="O927" i="1"/>
  <c r="N927" i="1"/>
  <c r="M927" i="1"/>
  <c r="L927" i="1"/>
  <c r="S927" i="1" s="1"/>
  <c r="P926" i="1"/>
  <c r="O926" i="1"/>
  <c r="N926" i="1"/>
  <c r="M926" i="1"/>
  <c r="L926" i="1"/>
  <c r="S926" i="1" s="1"/>
  <c r="P925" i="1"/>
  <c r="O925" i="1"/>
  <c r="N925" i="1"/>
  <c r="M925" i="1"/>
  <c r="L925" i="1"/>
  <c r="S925" i="1" s="1"/>
  <c r="P924" i="1"/>
  <c r="O924" i="1"/>
  <c r="N924" i="1"/>
  <c r="M924" i="1"/>
  <c r="L924" i="1"/>
  <c r="S924" i="1" s="1"/>
  <c r="P923" i="1"/>
  <c r="O923" i="1"/>
  <c r="N923" i="1"/>
  <c r="M923" i="1"/>
  <c r="L923" i="1"/>
  <c r="S923" i="1" s="1"/>
  <c r="P922" i="1"/>
  <c r="O922" i="1"/>
  <c r="N922" i="1"/>
  <c r="M922" i="1"/>
  <c r="L922" i="1"/>
  <c r="S922" i="1" s="1"/>
  <c r="P921" i="1"/>
  <c r="O921" i="1"/>
  <c r="N921" i="1"/>
  <c r="M921" i="1"/>
  <c r="L921" i="1"/>
  <c r="S921" i="1" s="1"/>
  <c r="P920" i="1"/>
  <c r="O920" i="1"/>
  <c r="N920" i="1"/>
  <c r="M920" i="1"/>
  <c r="L920" i="1"/>
  <c r="S920" i="1" s="1"/>
  <c r="P919" i="1"/>
  <c r="O919" i="1"/>
  <c r="N919" i="1"/>
  <c r="M919" i="1"/>
  <c r="L919" i="1"/>
  <c r="S919" i="1" s="1"/>
  <c r="P918" i="1"/>
  <c r="O918" i="1"/>
  <c r="N918" i="1"/>
  <c r="M918" i="1"/>
  <c r="L918" i="1"/>
  <c r="S918" i="1" s="1"/>
  <c r="P917" i="1"/>
  <c r="O917" i="1"/>
  <c r="N917" i="1"/>
  <c r="M917" i="1"/>
  <c r="L917" i="1"/>
  <c r="S917" i="1" s="1"/>
  <c r="P916" i="1"/>
  <c r="O916" i="1"/>
  <c r="N916" i="1"/>
  <c r="M916" i="1"/>
  <c r="L916" i="1"/>
  <c r="S916" i="1" s="1"/>
  <c r="P915" i="1"/>
  <c r="O915" i="1"/>
  <c r="N915" i="1"/>
  <c r="M915" i="1"/>
  <c r="L915" i="1"/>
  <c r="S915" i="1" s="1"/>
  <c r="P914" i="1"/>
  <c r="O914" i="1"/>
  <c r="N914" i="1"/>
  <c r="M914" i="1"/>
  <c r="L914" i="1"/>
  <c r="S914" i="1" s="1"/>
  <c r="P913" i="1"/>
  <c r="O913" i="1"/>
  <c r="N913" i="1"/>
  <c r="M913" i="1"/>
  <c r="L913" i="1"/>
  <c r="S913" i="1" s="1"/>
  <c r="P912" i="1"/>
  <c r="O912" i="1"/>
  <c r="N912" i="1"/>
  <c r="M912" i="1"/>
  <c r="L912" i="1"/>
  <c r="S912" i="1" s="1"/>
  <c r="P911" i="1"/>
  <c r="O911" i="1"/>
  <c r="N911" i="1"/>
  <c r="M911" i="1"/>
  <c r="L911" i="1"/>
  <c r="S911" i="1" s="1"/>
  <c r="P910" i="1"/>
  <c r="O910" i="1"/>
  <c r="N910" i="1"/>
  <c r="M910" i="1"/>
  <c r="L910" i="1"/>
  <c r="S910" i="1" s="1"/>
  <c r="P909" i="1"/>
  <c r="O909" i="1"/>
  <c r="N909" i="1"/>
  <c r="M909" i="1"/>
  <c r="L909" i="1"/>
  <c r="S909" i="1" s="1"/>
  <c r="P908" i="1"/>
  <c r="O908" i="1"/>
  <c r="N908" i="1"/>
  <c r="M908" i="1"/>
  <c r="L908" i="1"/>
  <c r="S908" i="1" s="1"/>
  <c r="P907" i="1"/>
  <c r="O907" i="1"/>
  <c r="N907" i="1"/>
  <c r="M907" i="1"/>
  <c r="L907" i="1"/>
  <c r="S907" i="1" s="1"/>
  <c r="P906" i="1"/>
  <c r="O906" i="1"/>
  <c r="N906" i="1"/>
  <c r="M906" i="1"/>
  <c r="L906" i="1"/>
  <c r="S906" i="1" s="1"/>
  <c r="P905" i="1"/>
  <c r="O905" i="1"/>
  <c r="N905" i="1"/>
  <c r="M905" i="1"/>
  <c r="L905" i="1"/>
  <c r="S905" i="1" s="1"/>
  <c r="P904" i="1"/>
  <c r="O904" i="1"/>
  <c r="N904" i="1"/>
  <c r="M904" i="1"/>
  <c r="L904" i="1"/>
  <c r="S904" i="1" s="1"/>
  <c r="P903" i="1"/>
  <c r="O903" i="1"/>
  <c r="N903" i="1"/>
  <c r="M903" i="1"/>
  <c r="L903" i="1"/>
  <c r="S903" i="1" s="1"/>
  <c r="P902" i="1"/>
  <c r="O902" i="1"/>
  <c r="N902" i="1"/>
  <c r="M902" i="1"/>
  <c r="L902" i="1"/>
  <c r="S902" i="1" s="1"/>
  <c r="P901" i="1"/>
  <c r="O901" i="1"/>
  <c r="N901" i="1"/>
  <c r="M901" i="1"/>
  <c r="L901" i="1"/>
  <c r="S901" i="1" s="1"/>
  <c r="P900" i="1"/>
  <c r="O900" i="1"/>
  <c r="N900" i="1"/>
  <c r="M900" i="1"/>
  <c r="L900" i="1"/>
  <c r="S900" i="1" s="1"/>
  <c r="P899" i="1"/>
  <c r="O899" i="1"/>
  <c r="N899" i="1"/>
  <c r="M899" i="1"/>
  <c r="L899" i="1"/>
  <c r="S899" i="1" s="1"/>
  <c r="P898" i="1"/>
  <c r="O898" i="1"/>
  <c r="N898" i="1"/>
  <c r="M898" i="1"/>
  <c r="L898" i="1"/>
  <c r="S898" i="1" s="1"/>
  <c r="P897" i="1"/>
  <c r="O897" i="1"/>
  <c r="N897" i="1"/>
  <c r="M897" i="1"/>
  <c r="L897" i="1"/>
  <c r="S897" i="1" s="1"/>
  <c r="P896" i="1"/>
  <c r="O896" i="1"/>
  <c r="N896" i="1"/>
  <c r="M896" i="1"/>
  <c r="L896" i="1"/>
  <c r="S896" i="1" s="1"/>
  <c r="P895" i="1"/>
  <c r="O895" i="1"/>
  <c r="N895" i="1"/>
  <c r="M895" i="1"/>
  <c r="L895" i="1"/>
  <c r="S895" i="1" s="1"/>
  <c r="P894" i="1"/>
  <c r="O894" i="1"/>
  <c r="N894" i="1"/>
  <c r="M894" i="1"/>
  <c r="L894" i="1"/>
  <c r="S894" i="1" s="1"/>
  <c r="P893" i="1"/>
  <c r="O893" i="1"/>
  <c r="N893" i="1"/>
  <c r="M893" i="1"/>
  <c r="L893" i="1"/>
  <c r="S893" i="1" s="1"/>
  <c r="P892" i="1"/>
  <c r="O892" i="1"/>
  <c r="N892" i="1"/>
  <c r="M892" i="1"/>
  <c r="L892" i="1"/>
  <c r="S892" i="1" s="1"/>
  <c r="P891" i="1"/>
  <c r="O891" i="1"/>
  <c r="N891" i="1"/>
  <c r="M891" i="1"/>
  <c r="L891" i="1"/>
  <c r="S891" i="1" s="1"/>
  <c r="P890" i="1"/>
  <c r="O890" i="1"/>
  <c r="N890" i="1"/>
  <c r="M890" i="1"/>
  <c r="L890" i="1"/>
  <c r="S890" i="1" s="1"/>
  <c r="P889" i="1"/>
  <c r="O889" i="1"/>
  <c r="N889" i="1"/>
  <c r="M889" i="1"/>
  <c r="L889" i="1"/>
  <c r="S889" i="1" s="1"/>
  <c r="P888" i="1"/>
  <c r="O888" i="1"/>
  <c r="N888" i="1"/>
  <c r="M888" i="1"/>
  <c r="L888" i="1"/>
  <c r="S888" i="1" s="1"/>
  <c r="P625" i="1"/>
  <c r="O625" i="1"/>
  <c r="N625" i="1"/>
  <c r="M625" i="1"/>
  <c r="L625" i="1"/>
  <c r="S625" i="1" s="1"/>
  <c r="P886" i="1"/>
  <c r="O886" i="1"/>
  <c r="N886" i="1"/>
  <c r="M886" i="1"/>
  <c r="L886" i="1"/>
  <c r="S886" i="1" s="1"/>
  <c r="P624" i="1"/>
  <c r="O624" i="1"/>
  <c r="N624" i="1"/>
  <c r="M624" i="1"/>
  <c r="L624" i="1"/>
  <c r="S624" i="1" s="1"/>
  <c r="P884" i="1"/>
  <c r="O884" i="1"/>
  <c r="N884" i="1"/>
  <c r="M884" i="1"/>
  <c r="L884" i="1"/>
  <c r="S884" i="1" s="1"/>
  <c r="P623" i="1"/>
  <c r="O623" i="1"/>
  <c r="N623" i="1"/>
  <c r="M623" i="1"/>
  <c r="L623" i="1"/>
  <c r="S623" i="1" s="1"/>
  <c r="P882" i="1"/>
  <c r="O882" i="1"/>
  <c r="N882" i="1"/>
  <c r="M882" i="1"/>
  <c r="L882" i="1"/>
  <c r="S882" i="1" s="1"/>
  <c r="P881" i="1"/>
  <c r="O881" i="1"/>
  <c r="N881" i="1"/>
  <c r="M881" i="1"/>
  <c r="L881" i="1"/>
  <c r="S881" i="1" s="1"/>
  <c r="P880" i="1"/>
  <c r="O880" i="1"/>
  <c r="N880" i="1"/>
  <c r="M880" i="1"/>
  <c r="L880" i="1"/>
  <c r="S880" i="1" s="1"/>
  <c r="P879" i="1"/>
  <c r="O879" i="1"/>
  <c r="N879" i="1"/>
  <c r="M879" i="1"/>
  <c r="L879" i="1"/>
  <c r="S879" i="1" s="1"/>
  <c r="P878" i="1"/>
  <c r="O878" i="1"/>
  <c r="N878" i="1"/>
  <c r="M878" i="1"/>
  <c r="L878" i="1"/>
  <c r="S878" i="1" s="1"/>
  <c r="P877" i="1"/>
  <c r="O877" i="1"/>
  <c r="N877" i="1"/>
  <c r="M877" i="1"/>
  <c r="L877" i="1"/>
  <c r="S877" i="1" s="1"/>
  <c r="P876" i="1"/>
  <c r="O876" i="1"/>
  <c r="N876" i="1"/>
  <c r="M876" i="1"/>
  <c r="L876" i="1"/>
  <c r="S876" i="1" s="1"/>
  <c r="P875" i="1"/>
  <c r="O875" i="1"/>
  <c r="N875" i="1"/>
  <c r="M875" i="1"/>
  <c r="L875" i="1"/>
  <c r="S875" i="1" s="1"/>
  <c r="P874" i="1"/>
  <c r="O874" i="1"/>
  <c r="N874" i="1"/>
  <c r="M874" i="1"/>
  <c r="L874" i="1"/>
  <c r="S874" i="1" s="1"/>
  <c r="P873" i="1"/>
  <c r="O873" i="1"/>
  <c r="N873" i="1"/>
  <c r="M873" i="1"/>
  <c r="L873" i="1"/>
  <c r="S873" i="1" s="1"/>
  <c r="P872" i="1"/>
  <c r="O872" i="1"/>
  <c r="N872" i="1"/>
  <c r="M872" i="1"/>
  <c r="L872" i="1"/>
  <c r="S872" i="1" s="1"/>
  <c r="P871" i="1"/>
  <c r="O871" i="1"/>
  <c r="N871" i="1"/>
  <c r="M871" i="1"/>
  <c r="L871" i="1"/>
  <c r="S871" i="1" s="1"/>
  <c r="P870" i="1"/>
  <c r="O870" i="1"/>
  <c r="N870" i="1"/>
  <c r="M870" i="1"/>
  <c r="L870" i="1"/>
  <c r="S870" i="1" s="1"/>
  <c r="P869" i="1"/>
  <c r="O869" i="1"/>
  <c r="N869" i="1"/>
  <c r="M869" i="1"/>
  <c r="L869" i="1"/>
  <c r="S869" i="1" s="1"/>
  <c r="P622" i="1"/>
  <c r="O622" i="1"/>
  <c r="N622" i="1"/>
  <c r="M622" i="1"/>
  <c r="L622" i="1"/>
  <c r="S622" i="1" s="1"/>
  <c r="P867" i="1"/>
  <c r="O867" i="1"/>
  <c r="N867" i="1"/>
  <c r="M867" i="1"/>
  <c r="L867" i="1"/>
  <c r="S867" i="1" s="1"/>
  <c r="P621" i="1"/>
  <c r="O621" i="1"/>
  <c r="N621" i="1"/>
  <c r="M621" i="1"/>
  <c r="L621" i="1"/>
  <c r="S621" i="1" s="1"/>
  <c r="P675" i="1"/>
  <c r="O675" i="1"/>
  <c r="N675" i="1"/>
  <c r="M675" i="1"/>
  <c r="L675" i="1"/>
  <c r="S675" i="1" s="1"/>
  <c r="P674" i="1"/>
  <c r="O674" i="1"/>
  <c r="N674" i="1"/>
  <c r="M674" i="1"/>
  <c r="L674" i="1"/>
  <c r="S674" i="1" s="1"/>
  <c r="P885" i="1"/>
  <c r="O885" i="1"/>
  <c r="N885" i="1"/>
  <c r="M885" i="1"/>
  <c r="L885" i="1"/>
  <c r="S885" i="1" s="1"/>
  <c r="P883" i="1"/>
  <c r="O883" i="1"/>
  <c r="N883" i="1"/>
  <c r="M883" i="1"/>
  <c r="L883" i="1"/>
  <c r="S883" i="1" s="1"/>
  <c r="P868" i="1"/>
  <c r="O868" i="1"/>
  <c r="N868" i="1"/>
  <c r="M868" i="1"/>
  <c r="L868" i="1"/>
  <c r="S868" i="1" s="1"/>
  <c r="P866" i="1"/>
  <c r="O866" i="1"/>
  <c r="N866" i="1"/>
  <c r="M866" i="1"/>
  <c r="L866" i="1"/>
  <c r="S866" i="1" s="1"/>
  <c r="P865" i="1"/>
  <c r="O865" i="1"/>
  <c r="N865" i="1"/>
  <c r="M865" i="1"/>
  <c r="L865" i="1"/>
  <c r="S865" i="1" s="1"/>
  <c r="P864" i="1"/>
  <c r="O864" i="1"/>
  <c r="N864" i="1"/>
  <c r="M864" i="1"/>
  <c r="L864" i="1"/>
  <c r="S864" i="1" s="1"/>
  <c r="P863" i="1"/>
  <c r="O863" i="1"/>
  <c r="N863" i="1"/>
  <c r="M863" i="1"/>
  <c r="L863" i="1"/>
  <c r="S863" i="1" s="1"/>
  <c r="P862" i="1"/>
  <c r="O862" i="1"/>
  <c r="N862" i="1"/>
  <c r="M862" i="1"/>
  <c r="L862" i="1"/>
  <c r="S862" i="1" s="1"/>
  <c r="P861" i="1"/>
  <c r="O861" i="1"/>
  <c r="N861" i="1"/>
  <c r="M861" i="1"/>
  <c r="L861" i="1"/>
  <c r="S861" i="1" s="1"/>
  <c r="P860" i="1"/>
  <c r="O860" i="1"/>
  <c r="N860" i="1"/>
  <c r="M860" i="1"/>
  <c r="L860" i="1"/>
  <c r="S860" i="1" s="1"/>
  <c r="P859" i="1"/>
  <c r="O859" i="1"/>
  <c r="N859" i="1"/>
  <c r="M859" i="1"/>
  <c r="L859" i="1"/>
  <c r="S859" i="1" s="1"/>
  <c r="P858" i="1"/>
  <c r="O858" i="1"/>
  <c r="N858" i="1"/>
  <c r="M858" i="1"/>
  <c r="L858" i="1"/>
  <c r="S858" i="1" s="1"/>
  <c r="P857" i="1"/>
  <c r="O857" i="1"/>
  <c r="N857" i="1"/>
  <c r="M857" i="1"/>
  <c r="L857" i="1"/>
  <c r="S857" i="1" s="1"/>
  <c r="P856" i="1"/>
  <c r="O856" i="1"/>
  <c r="N856" i="1"/>
  <c r="M856" i="1"/>
  <c r="L856" i="1"/>
  <c r="S856" i="1" s="1"/>
  <c r="P855" i="1"/>
  <c r="O855" i="1"/>
  <c r="N855" i="1"/>
  <c r="M855" i="1"/>
  <c r="L855" i="1"/>
  <c r="S855" i="1" s="1"/>
  <c r="P854" i="1"/>
  <c r="O854" i="1"/>
  <c r="N854" i="1"/>
  <c r="M854" i="1"/>
  <c r="L854" i="1"/>
  <c r="S854" i="1" s="1"/>
  <c r="P853" i="1"/>
  <c r="O853" i="1"/>
  <c r="N853" i="1"/>
  <c r="M853" i="1"/>
  <c r="L853" i="1"/>
  <c r="S853" i="1" s="1"/>
  <c r="P852" i="1"/>
  <c r="O852" i="1"/>
  <c r="N852" i="1"/>
  <c r="M852" i="1"/>
  <c r="L852" i="1"/>
  <c r="S852" i="1" s="1"/>
  <c r="P851" i="1"/>
  <c r="O851" i="1"/>
  <c r="N851" i="1"/>
  <c r="M851" i="1"/>
  <c r="L851" i="1"/>
  <c r="S851" i="1" s="1"/>
  <c r="P850" i="1"/>
  <c r="O850" i="1"/>
  <c r="N850" i="1"/>
  <c r="M850" i="1"/>
  <c r="L850" i="1"/>
  <c r="S850" i="1" s="1"/>
  <c r="P849" i="1"/>
  <c r="O849" i="1"/>
  <c r="N849" i="1"/>
  <c r="M849" i="1"/>
  <c r="L849" i="1"/>
  <c r="S849" i="1" s="1"/>
  <c r="P848" i="1"/>
  <c r="O848" i="1"/>
  <c r="N848" i="1"/>
  <c r="M848" i="1"/>
  <c r="L848" i="1"/>
  <c r="S848" i="1" s="1"/>
  <c r="P847" i="1"/>
  <c r="O847" i="1"/>
  <c r="N847" i="1"/>
  <c r="M847" i="1"/>
  <c r="L847" i="1"/>
  <c r="S847" i="1" s="1"/>
  <c r="P846" i="1"/>
  <c r="O846" i="1"/>
  <c r="N846" i="1"/>
  <c r="M846" i="1"/>
  <c r="L846" i="1"/>
  <c r="S846" i="1" s="1"/>
  <c r="P845" i="1"/>
  <c r="O845" i="1"/>
  <c r="N845" i="1"/>
  <c r="M845" i="1"/>
  <c r="L845" i="1"/>
  <c r="S845" i="1" s="1"/>
  <c r="P844" i="1"/>
  <c r="O844" i="1"/>
  <c r="N844" i="1"/>
  <c r="M844" i="1"/>
  <c r="L844" i="1"/>
  <c r="S844" i="1" s="1"/>
  <c r="P843" i="1"/>
  <c r="O843" i="1"/>
  <c r="N843" i="1"/>
  <c r="M843" i="1"/>
  <c r="L843" i="1"/>
  <c r="S843" i="1" s="1"/>
  <c r="P842" i="1"/>
  <c r="O842" i="1"/>
  <c r="N842" i="1"/>
  <c r="M842" i="1"/>
  <c r="L842" i="1"/>
  <c r="S842" i="1" s="1"/>
  <c r="P841" i="1"/>
  <c r="O841" i="1"/>
  <c r="N841" i="1"/>
  <c r="M841" i="1"/>
  <c r="L841" i="1"/>
  <c r="S841" i="1" s="1"/>
  <c r="P840" i="1"/>
  <c r="O840" i="1"/>
  <c r="N840" i="1"/>
  <c r="M840" i="1"/>
  <c r="L840" i="1"/>
  <c r="S840" i="1" s="1"/>
  <c r="P839" i="1"/>
  <c r="O839" i="1"/>
  <c r="N839" i="1"/>
  <c r="M839" i="1"/>
  <c r="L839" i="1"/>
  <c r="S839" i="1" s="1"/>
  <c r="P838" i="1"/>
  <c r="O838" i="1"/>
  <c r="N838" i="1"/>
  <c r="M838" i="1"/>
  <c r="L838" i="1"/>
  <c r="S838" i="1" s="1"/>
  <c r="P837" i="1"/>
  <c r="O837" i="1"/>
  <c r="N837" i="1"/>
  <c r="M837" i="1"/>
  <c r="L837" i="1"/>
  <c r="S837" i="1" s="1"/>
  <c r="P830" i="1"/>
  <c r="O830" i="1"/>
  <c r="N830" i="1"/>
  <c r="M830" i="1"/>
  <c r="L830" i="1"/>
  <c r="S830" i="1" s="1"/>
  <c r="P829" i="1"/>
  <c r="O829" i="1"/>
  <c r="N829" i="1"/>
  <c r="M829" i="1"/>
  <c r="L829" i="1"/>
  <c r="S829" i="1" s="1"/>
  <c r="P828" i="1"/>
  <c r="O828" i="1"/>
  <c r="N828" i="1"/>
  <c r="M828" i="1"/>
  <c r="L828" i="1"/>
  <c r="S828" i="1" s="1"/>
  <c r="P827" i="1"/>
  <c r="O827" i="1"/>
  <c r="N827" i="1"/>
  <c r="M827" i="1"/>
  <c r="L827" i="1"/>
  <c r="S827" i="1" s="1"/>
  <c r="P826" i="1"/>
  <c r="O826" i="1"/>
  <c r="N826" i="1"/>
  <c r="M826" i="1"/>
  <c r="L826" i="1"/>
  <c r="S826" i="1" s="1"/>
  <c r="P825" i="1"/>
  <c r="O825" i="1"/>
  <c r="N825" i="1"/>
  <c r="M825" i="1"/>
  <c r="L825" i="1"/>
  <c r="S825" i="1" s="1"/>
  <c r="P824" i="1"/>
  <c r="O824" i="1"/>
  <c r="N824" i="1"/>
  <c r="M824" i="1"/>
  <c r="L824" i="1"/>
  <c r="S824" i="1" s="1"/>
  <c r="P823" i="1"/>
  <c r="O823" i="1"/>
  <c r="N823" i="1"/>
  <c r="M823" i="1"/>
  <c r="L823" i="1"/>
  <c r="S823" i="1" s="1"/>
  <c r="P822" i="1"/>
  <c r="O822" i="1"/>
  <c r="N822" i="1"/>
  <c r="M822" i="1"/>
  <c r="L822" i="1"/>
  <c r="S822" i="1" s="1"/>
  <c r="P821" i="1"/>
  <c r="O821" i="1"/>
  <c r="N821" i="1"/>
  <c r="M821" i="1"/>
  <c r="L821" i="1"/>
  <c r="S821" i="1" s="1"/>
  <c r="P820" i="1"/>
  <c r="O820" i="1"/>
  <c r="N820" i="1"/>
  <c r="M820" i="1"/>
  <c r="L820" i="1"/>
  <c r="S820" i="1" s="1"/>
  <c r="P819" i="1"/>
  <c r="O819" i="1"/>
  <c r="N819" i="1"/>
  <c r="M819" i="1"/>
  <c r="L819" i="1"/>
  <c r="S819" i="1" s="1"/>
  <c r="P818" i="1"/>
  <c r="O818" i="1"/>
  <c r="N818" i="1"/>
  <c r="M818" i="1"/>
  <c r="L818" i="1"/>
  <c r="S818" i="1" s="1"/>
  <c r="P817" i="1"/>
  <c r="O817" i="1"/>
  <c r="N817" i="1"/>
  <c r="M817" i="1"/>
  <c r="L817" i="1"/>
  <c r="S817" i="1" s="1"/>
  <c r="P816" i="1"/>
  <c r="O816" i="1"/>
  <c r="N816" i="1"/>
  <c r="M816" i="1"/>
  <c r="L816" i="1"/>
  <c r="S816" i="1" s="1"/>
  <c r="P815" i="1"/>
  <c r="O815" i="1"/>
  <c r="N815" i="1"/>
  <c r="M815" i="1"/>
  <c r="L815" i="1"/>
  <c r="S815" i="1" s="1"/>
  <c r="P814" i="1"/>
  <c r="O814" i="1"/>
  <c r="N814" i="1"/>
  <c r="M814" i="1"/>
  <c r="L814" i="1"/>
  <c r="S814" i="1" s="1"/>
  <c r="P813" i="1"/>
  <c r="O813" i="1"/>
  <c r="N813" i="1"/>
  <c r="M813" i="1"/>
  <c r="L813" i="1"/>
  <c r="S813" i="1" s="1"/>
  <c r="P812" i="1"/>
  <c r="O812" i="1"/>
  <c r="N812" i="1"/>
  <c r="M812" i="1"/>
  <c r="L812" i="1"/>
  <c r="S812" i="1" s="1"/>
  <c r="P811" i="1"/>
  <c r="O811" i="1"/>
  <c r="N811" i="1"/>
  <c r="M811" i="1"/>
  <c r="L811" i="1"/>
  <c r="S811" i="1" s="1"/>
  <c r="P810" i="1"/>
  <c r="O810" i="1"/>
  <c r="N810" i="1"/>
  <c r="M810" i="1"/>
  <c r="L810" i="1"/>
  <c r="S810" i="1" s="1"/>
  <c r="P809" i="1"/>
  <c r="O809" i="1"/>
  <c r="N809" i="1"/>
  <c r="M809" i="1"/>
  <c r="L809" i="1"/>
  <c r="S809" i="1" s="1"/>
  <c r="P808" i="1"/>
  <c r="O808" i="1"/>
  <c r="N808" i="1"/>
  <c r="M808" i="1"/>
  <c r="L808" i="1"/>
  <c r="S808" i="1" s="1"/>
  <c r="P807" i="1"/>
  <c r="O807" i="1"/>
  <c r="N807" i="1"/>
  <c r="M807" i="1"/>
  <c r="L807" i="1"/>
  <c r="S807" i="1" s="1"/>
  <c r="P806" i="1"/>
  <c r="O806" i="1"/>
  <c r="N806" i="1"/>
  <c r="M806" i="1"/>
  <c r="L806" i="1"/>
  <c r="S806" i="1" s="1"/>
  <c r="P805" i="1"/>
  <c r="O805" i="1"/>
  <c r="N805" i="1"/>
  <c r="M805" i="1"/>
  <c r="L805" i="1"/>
  <c r="S805" i="1" s="1"/>
  <c r="P804" i="1"/>
  <c r="O804" i="1"/>
  <c r="N804" i="1"/>
  <c r="M804" i="1"/>
  <c r="L804" i="1"/>
  <c r="S804" i="1" s="1"/>
  <c r="P803" i="1"/>
  <c r="O803" i="1"/>
  <c r="N803" i="1"/>
  <c r="M803" i="1"/>
  <c r="L803" i="1"/>
  <c r="S803" i="1" s="1"/>
  <c r="P802" i="1"/>
  <c r="O802" i="1"/>
  <c r="N802" i="1"/>
  <c r="M802" i="1"/>
  <c r="L802" i="1"/>
  <c r="S802" i="1" s="1"/>
  <c r="P801" i="1"/>
  <c r="O801" i="1"/>
  <c r="N801" i="1"/>
  <c r="M801" i="1"/>
  <c r="L801" i="1"/>
  <c r="S801" i="1" s="1"/>
  <c r="P800" i="1"/>
  <c r="O800" i="1"/>
  <c r="N800" i="1"/>
  <c r="M800" i="1"/>
  <c r="L800" i="1"/>
  <c r="S800" i="1" s="1"/>
  <c r="P799" i="1"/>
  <c r="O799" i="1"/>
  <c r="N799" i="1"/>
  <c r="M799" i="1"/>
  <c r="L799" i="1"/>
  <c r="S799" i="1" s="1"/>
  <c r="P798" i="1"/>
  <c r="O798" i="1"/>
  <c r="N798" i="1"/>
  <c r="M798" i="1"/>
  <c r="L798" i="1"/>
  <c r="S798" i="1" s="1"/>
  <c r="P797" i="1"/>
  <c r="O797" i="1"/>
  <c r="N797" i="1"/>
  <c r="M797" i="1"/>
  <c r="L797" i="1"/>
  <c r="S797" i="1" s="1"/>
  <c r="P796" i="1"/>
  <c r="O796" i="1"/>
  <c r="N796" i="1"/>
  <c r="M796" i="1"/>
  <c r="L796" i="1"/>
  <c r="S796" i="1" s="1"/>
  <c r="P795" i="1"/>
  <c r="O795" i="1"/>
  <c r="N795" i="1"/>
  <c r="M795" i="1"/>
  <c r="L795" i="1"/>
  <c r="S795" i="1" s="1"/>
  <c r="P794" i="1"/>
  <c r="O794" i="1"/>
  <c r="N794" i="1"/>
  <c r="M794" i="1"/>
  <c r="L794" i="1"/>
  <c r="S794" i="1" s="1"/>
  <c r="P793" i="1"/>
  <c r="O793" i="1"/>
  <c r="N793" i="1"/>
  <c r="M793" i="1"/>
  <c r="L793" i="1"/>
  <c r="S793" i="1" s="1"/>
  <c r="P792" i="1"/>
  <c r="O792" i="1"/>
  <c r="N792" i="1"/>
  <c r="M792" i="1"/>
  <c r="L792" i="1"/>
  <c r="S792" i="1" s="1"/>
  <c r="P791" i="1"/>
  <c r="O791" i="1"/>
  <c r="N791" i="1"/>
  <c r="M791" i="1"/>
  <c r="L791" i="1"/>
  <c r="S791" i="1" s="1"/>
  <c r="P790" i="1"/>
  <c r="O790" i="1"/>
  <c r="N790" i="1"/>
  <c r="M790" i="1"/>
  <c r="L790" i="1"/>
  <c r="S790" i="1" s="1"/>
  <c r="P789" i="1"/>
  <c r="O789" i="1"/>
  <c r="N789" i="1"/>
  <c r="M789" i="1"/>
  <c r="L789" i="1"/>
  <c r="S789" i="1" s="1"/>
  <c r="P788" i="1"/>
  <c r="O788" i="1"/>
  <c r="N788" i="1"/>
  <c r="M788" i="1"/>
  <c r="L788" i="1"/>
  <c r="S788" i="1" s="1"/>
  <c r="P787" i="1"/>
  <c r="O787" i="1"/>
  <c r="N787" i="1"/>
  <c r="M787" i="1"/>
  <c r="L787" i="1"/>
  <c r="S787" i="1" s="1"/>
  <c r="P786" i="1"/>
  <c r="O786" i="1"/>
  <c r="N786" i="1"/>
  <c r="M786" i="1"/>
  <c r="L786" i="1"/>
  <c r="S786" i="1" s="1"/>
  <c r="P785" i="1"/>
  <c r="O785" i="1"/>
  <c r="N785" i="1"/>
  <c r="M785" i="1"/>
  <c r="L785" i="1"/>
  <c r="S785" i="1" s="1"/>
  <c r="P784" i="1"/>
  <c r="O784" i="1"/>
  <c r="N784" i="1"/>
  <c r="M784" i="1"/>
  <c r="L784" i="1"/>
  <c r="S784" i="1" s="1"/>
  <c r="P783" i="1"/>
  <c r="O783" i="1"/>
  <c r="N783" i="1"/>
  <c r="M783" i="1"/>
  <c r="L783" i="1"/>
  <c r="S783" i="1" s="1"/>
  <c r="P782" i="1"/>
  <c r="O782" i="1"/>
  <c r="N782" i="1"/>
  <c r="M782" i="1"/>
  <c r="L782" i="1"/>
  <c r="S782" i="1" s="1"/>
  <c r="P487" i="1"/>
  <c r="O487" i="1"/>
  <c r="N487" i="1"/>
  <c r="M487" i="1"/>
  <c r="L487" i="1"/>
  <c r="S487" i="1" s="1"/>
  <c r="P483" i="1"/>
  <c r="O483" i="1"/>
  <c r="N483" i="1"/>
  <c r="M483" i="1"/>
  <c r="L483" i="1"/>
  <c r="S483" i="1" s="1"/>
  <c r="P362" i="1"/>
  <c r="O362" i="1"/>
  <c r="N362" i="1"/>
  <c r="M362" i="1"/>
  <c r="L362" i="1"/>
  <c r="S362" i="1" s="1"/>
  <c r="P361" i="1"/>
  <c r="O361" i="1"/>
  <c r="N361" i="1"/>
  <c r="M361" i="1"/>
  <c r="L361" i="1"/>
  <c r="S361" i="1" s="1"/>
  <c r="P360" i="1"/>
  <c r="O360" i="1"/>
  <c r="N360" i="1"/>
  <c r="M360" i="1"/>
  <c r="L360" i="1"/>
  <c r="S360" i="1" s="1"/>
  <c r="P776" i="1"/>
  <c r="O776" i="1"/>
  <c r="N776" i="1"/>
  <c r="M776" i="1"/>
  <c r="L776" i="1"/>
  <c r="S776" i="1" s="1"/>
  <c r="P775" i="1"/>
  <c r="O775" i="1"/>
  <c r="N775" i="1"/>
  <c r="M775" i="1"/>
  <c r="L775" i="1"/>
  <c r="S775" i="1" s="1"/>
  <c r="P774" i="1"/>
  <c r="O774" i="1"/>
  <c r="N774" i="1"/>
  <c r="M774" i="1"/>
  <c r="L774" i="1"/>
  <c r="S774" i="1" s="1"/>
  <c r="P773" i="1"/>
  <c r="O773" i="1"/>
  <c r="N773" i="1"/>
  <c r="M773" i="1"/>
  <c r="L773" i="1"/>
  <c r="S773" i="1" s="1"/>
  <c r="P772" i="1"/>
  <c r="O772" i="1"/>
  <c r="N772" i="1"/>
  <c r="M772" i="1"/>
  <c r="L772" i="1"/>
  <c r="S772" i="1" s="1"/>
  <c r="P771" i="1"/>
  <c r="O771" i="1"/>
  <c r="N771" i="1"/>
  <c r="M771" i="1"/>
  <c r="L771" i="1"/>
  <c r="S771" i="1" s="1"/>
  <c r="P359" i="1"/>
  <c r="O359" i="1"/>
  <c r="N359" i="1"/>
  <c r="M359" i="1"/>
  <c r="L359" i="1"/>
  <c r="S359" i="1" s="1"/>
  <c r="P769" i="1"/>
  <c r="O769" i="1"/>
  <c r="N769" i="1"/>
  <c r="M769" i="1"/>
  <c r="L769" i="1"/>
  <c r="S769" i="1" s="1"/>
  <c r="P358" i="1"/>
  <c r="O358" i="1"/>
  <c r="N358" i="1"/>
  <c r="M358" i="1"/>
  <c r="L358" i="1"/>
  <c r="S358" i="1" s="1"/>
  <c r="P767" i="1"/>
  <c r="O767" i="1"/>
  <c r="N767" i="1"/>
  <c r="M767" i="1"/>
  <c r="L767" i="1"/>
  <c r="S767" i="1" s="1"/>
  <c r="P357" i="1"/>
  <c r="O357" i="1"/>
  <c r="N357" i="1"/>
  <c r="M357" i="1"/>
  <c r="L357" i="1"/>
  <c r="S357" i="1" s="1"/>
  <c r="P765" i="1"/>
  <c r="O765" i="1"/>
  <c r="N765" i="1"/>
  <c r="M765" i="1"/>
  <c r="L765" i="1"/>
  <c r="S765" i="1" s="1"/>
  <c r="P764" i="1"/>
  <c r="O764" i="1"/>
  <c r="N764" i="1"/>
  <c r="M764" i="1"/>
  <c r="L764" i="1"/>
  <c r="S764" i="1" s="1"/>
  <c r="P763" i="1"/>
  <c r="O763" i="1"/>
  <c r="N763" i="1"/>
  <c r="M763" i="1"/>
  <c r="L763" i="1"/>
  <c r="S763" i="1" s="1"/>
  <c r="P762" i="1"/>
  <c r="O762" i="1"/>
  <c r="N762" i="1"/>
  <c r="M762" i="1"/>
  <c r="L762" i="1"/>
  <c r="S762" i="1" s="1"/>
  <c r="P761" i="1"/>
  <c r="O761" i="1"/>
  <c r="N761" i="1"/>
  <c r="M761" i="1"/>
  <c r="L761" i="1"/>
  <c r="S761" i="1" s="1"/>
  <c r="P760" i="1"/>
  <c r="O760" i="1"/>
  <c r="N760" i="1"/>
  <c r="M760" i="1"/>
  <c r="L760" i="1"/>
  <c r="S760" i="1" s="1"/>
  <c r="P759" i="1"/>
  <c r="O759" i="1"/>
  <c r="N759" i="1"/>
  <c r="M759" i="1"/>
  <c r="L759" i="1"/>
  <c r="S759" i="1" s="1"/>
  <c r="P758" i="1"/>
  <c r="O758" i="1"/>
  <c r="N758" i="1"/>
  <c r="M758" i="1"/>
  <c r="L758" i="1"/>
  <c r="S758" i="1" s="1"/>
  <c r="P757" i="1"/>
  <c r="O757" i="1"/>
  <c r="N757" i="1"/>
  <c r="M757" i="1"/>
  <c r="L757" i="1"/>
  <c r="S757" i="1" s="1"/>
  <c r="P756" i="1"/>
  <c r="O756" i="1"/>
  <c r="N756" i="1"/>
  <c r="M756" i="1"/>
  <c r="L756" i="1"/>
  <c r="S756" i="1" s="1"/>
  <c r="P755" i="1"/>
  <c r="O755" i="1"/>
  <c r="N755" i="1"/>
  <c r="M755" i="1"/>
  <c r="L755" i="1"/>
  <c r="S755" i="1" s="1"/>
  <c r="P754" i="1"/>
  <c r="O754" i="1"/>
  <c r="N754" i="1"/>
  <c r="M754" i="1"/>
  <c r="L754" i="1"/>
  <c r="S754" i="1" s="1"/>
  <c r="P753" i="1"/>
  <c r="O753" i="1"/>
  <c r="N753" i="1"/>
  <c r="M753" i="1"/>
  <c r="L753" i="1"/>
  <c r="S753" i="1" s="1"/>
  <c r="P752" i="1"/>
  <c r="O752" i="1"/>
  <c r="N752" i="1"/>
  <c r="M752" i="1"/>
  <c r="L752" i="1"/>
  <c r="S752" i="1" s="1"/>
  <c r="P751" i="1"/>
  <c r="O751" i="1"/>
  <c r="N751" i="1"/>
  <c r="M751" i="1"/>
  <c r="L751" i="1"/>
  <c r="S751" i="1" s="1"/>
  <c r="P750" i="1"/>
  <c r="O750" i="1"/>
  <c r="N750" i="1"/>
  <c r="M750" i="1"/>
  <c r="L750" i="1"/>
  <c r="S750" i="1" s="1"/>
  <c r="P749" i="1"/>
  <c r="O749" i="1"/>
  <c r="N749" i="1"/>
  <c r="M749" i="1"/>
  <c r="L749" i="1"/>
  <c r="S749" i="1" s="1"/>
  <c r="P748" i="1"/>
  <c r="O748" i="1"/>
  <c r="N748" i="1"/>
  <c r="M748" i="1"/>
  <c r="L748" i="1"/>
  <c r="S748" i="1" s="1"/>
  <c r="P747" i="1"/>
  <c r="O747" i="1"/>
  <c r="N747" i="1"/>
  <c r="M747" i="1"/>
  <c r="L747" i="1"/>
  <c r="S747" i="1" s="1"/>
  <c r="P746" i="1"/>
  <c r="O746" i="1"/>
  <c r="N746" i="1"/>
  <c r="M746" i="1"/>
  <c r="L746" i="1"/>
  <c r="S746" i="1" s="1"/>
  <c r="P745" i="1"/>
  <c r="O745" i="1"/>
  <c r="N745" i="1"/>
  <c r="M745" i="1"/>
  <c r="L745" i="1"/>
  <c r="S745" i="1" s="1"/>
  <c r="P356" i="1"/>
  <c r="O356" i="1"/>
  <c r="N356" i="1"/>
  <c r="M356" i="1"/>
  <c r="L356" i="1"/>
  <c r="S356" i="1" s="1"/>
  <c r="P355" i="1"/>
  <c r="O355" i="1"/>
  <c r="N355" i="1"/>
  <c r="M355" i="1"/>
  <c r="L355" i="1"/>
  <c r="S355" i="1" s="1"/>
  <c r="P742" i="1"/>
  <c r="O742" i="1"/>
  <c r="N742" i="1"/>
  <c r="M742" i="1"/>
  <c r="L742" i="1"/>
  <c r="S742" i="1" s="1"/>
  <c r="P741" i="1"/>
  <c r="O741" i="1"/>
  <c r="N741" i="1"/>
  <c r="M741" i="1"/>
  <c r="L741" i="1"/>
  <c r="S741" i="1" s="1"/>
  <c r="P740" i="1"/>
  <c r="O740" i="1"/>
  <c r="N740" i="1"/>
  <c r="M740" i="1"/>
  <c r="L740" i="1"/>
  <c r="S740" i="1" s="1"/>
  <c r="P739" i="1"/>
  <c r="O739" i="1"/>
  <c r="N739" i="1"/>
  <c r="M739" i="1"/>
  <c r="L739" i="1"/>
  <c r="S739" i="1" s="1"/>
  <c r="P738" i="1"/>
  <c r="O738" i="1"/>
  <c r="N738" i="1"/>
  <c r="M738" i="1"/>
  <c r="L738" i="1"/>
  <c r="S738" i="1" s="1"/>
  <c r="P737" i="1"/>
  <c r="O737" i="1"/>
  <c r="N737" i="1"/>
  <c r="M737" i="1"/>
  <c r="L737" i="1"/>
  <c r="S737" i="1" s="1"/>
  <c r="P736" i="1"/>
  <c r="O736" i="1"/>
  <c r="N736" i="1"/>
  <c r="M736" i="1"/>
  <c r="L736" i="1"/>
  <c r="S736" i="1" s="1"/>
  <c r="P735" i="1"/>
  <c r="O735" i="1"/>
  <c r="N735" i="1"/>
  <c r="M735" i="1"/>
  <c r="L735" i="1"/>
  <c r="S735" i="1" s="1"/>
  <c r="P734" i="1"/>
  <c r="O734" i="1"/>
  <c r="N734" i="1"/>
  <c r="M734" i="1"/>
  <c r="L734" i="1"/>
  <c r="S734" i="1" s="1"/>
  <c r="P353" i="1"/>
  <c r="O353" i="1"/>
  <c r="N353" i="1"/>
  <c r="M353" i="1"/>
  <c r="L353" i="1"/>
  <c r="S353" i="1" s="1"/>
  <c r="P732" i="1"/>
  <c r="O732" i="1"/>
  <c r="N732" i="1"/>
  <c r="M732" i="1"/>
  <c r="L732" i="1"/>
  <c r="S732" i="1" s="1"/>
  <c r="P731" i="1"/>
  <c r="O731" i="1"/>
  <c r="N731" i="1"/>
  <c r="M731" i="1"/>
  <c r="L731" i="1"/>
  <c r="S731" i="1" s="1"/>
  <c r="P730" i="1"/>
  <c r="O730" i="1"/>
  <c r="N730" i="1"/>
  <c r="M730" i="1"/>
  <c r="L730" i="1"/>
  <c r="S730" i="1" s="1"/>
  <c r="P729" i="1"/>
  <c r="O729" i="1"/>
  <c r="N729" i="1"/>
  <c r="M729" i="1"/>
  <c r="L729" i="1"/>
  <c r="S729" i="1" s="1"/>
  <c r="P728" i="1"/>
  <c r="O728" i="1"/>
  <c r="N728" i="1"/>
  <c r="M728" i="1"/>
  <c r="L728" i="1"/>
  <c r="S728" i="1" s="1"/>
  <c r="P727" i="1"/>
  <c r="O727" i="1"/>
  <c r="N727" i="1"/>
  <c r="M727" i="1"/>
  <c r="L727" i="1"/>
  <c r="S727" i="1" s="1"/>
  <c r="P726" i="1"/>
  <c r="O726" i="1"/>
  <c r="N726" i="1"/>
  <c r="M726" i="1"/>
  <c r="L726" i="1"/>
  <c r="S726" i="1" s="1"/>
  <c r="P725" i="1"/>
  <c r="O725" i="1"/>
  <c r="N725" i="1"/>
  <c r="M725" i="1"/>
  <c r="L725" i="1"/>
  <c r="S725" i="1" s="1"/>
  <c r="P724" i="1"/>
  <c r="O724" i="1"/>
  <c r="N724" i="1"/>
  <c r="M724" i="1"/>
  <c r="L724" i="1"/>
  <c r="S724" i="1" s="1"/>
  <c r="P723" i="1"/>
  <c r="O723" i="1"/>
  <c r="N723" i="1"/>
  <c r="M723" i="1"/>
  <c r="L723" i="1"/>
  <c r="S723" i="1" s="1"/>
  <c r="P722" i="1"/>
  <c r="O722" i="1"/>
  <c r="N722" i="1"/>
  <c r="M722" i="1"/>
  <c r="L722" i="1"/>
  <c r="S722" i="1" s="1"/>
  <c r="P721" i="1"/>
  <c r="O721" i="1"/>
  <c r="N721" i="1"/>
  <c r="M721" i="1"/>
  <c r="L721" i="1"/>
  <c r="S721" i="1" s="1"/>
  <c r="P720" i="1"/>
  <c r="O720" i="1"/>
  <c r="N720" i="1"/>
  <c r="M720" i="1"/>
  <c r="L720" i="1"/>
  <c r="S720" i="1" s="1"/>
  <c r="P719" i="1"/>
  <c r="O719" i="1"/>
  <c r="N719" i="1"/>
  <c r="M719" i="1"/>
  <c r="L719" i="1"/>
  <c r="S719" i="1" s="1"/>
  <c r="P718" i="1"/>
  <c r="O718" i="1"/>
  <c r="N718" i="1"/>
  <c r="M718" i="1"/>
  <c r="L718" i="1"/>
  <c r="S718" i="1" s="1"/>
  <c r="P717" i="1"/>
  <c r="O717" i="1"/>
  <c r="N717" i="1"/>
  <c r="M717" i="1"/>
  <c r="L717" i="1"/>
  <c r="S717" i="1" s="1"/>
  <c r="P716" i="1"/>
  <c r="O716" i="1"/>
  <c r="N716" i="1"/>
  <c r="M716" i="1"/>
  <c r="L716" i="1"/>
  <c r="S716" i="1" s="1"/>
  <c r="P715" i="1"/>
  <c r="O715" i="1"/>
  <c r="N715" i="1"/>
  <c r="M715" i="1"/>
  <c r="L715" i="1"/>
  <c r="S715" i="1" s="1"/>
  <c r="P714" i="1"/>
  <c r="O714" i="1"/>
  <c r="N714" i="1"/>
  <c r="M714" i="1"/>
  <c r="L714" i="1"/>
  <c r="S714" i="1" s="1"/>
  <c r="P713" i="1"/>
  <c r="O713" i="1"/>
  <c r="N713" i="1"/>
  <c r="M713" i="1"/>
  <c r="L713" i="1"/>
  <c r="S713" i="1" s="1"/>
  <c r="P712" i="1"/>
  <c r="O712" i="1"/>
  <c r="N712" i="1"/>
  <c r="M712" i="1"/>
  <c r="L712" i="1"/>
  <c r="S712" i="1" s="1"/>
  <c r="P711" i="1"/>
  <c r="O711" i="1"/>
  <c r="N711" i="1"/>
  <c r="M711" i="1"/>
  <c r="L711" i="1"/>
  <c r="S711" i="1" s="1"/>
  <c r="P710" i="1"/>
  <c r="O710" i="1"/>
  <c r="N710" i="1"/>
  <c r="M710" i="1"/>
  <c r="L710" i="1"/>
  <c r="S710" i="1" s="1"/>
  <c r="P709" i="1"/>
  <c r="O709" i="1"/>
  <c r="N709" i="1"/>
  <c r="M709" i="1"/>
  <c r="L709" i="1"/>
  <c r="S709" i="1" s="1"/>
  <c r="P708" i="1"/>
  <c r="O708" i="1"/>
  <c r="N708" i="1"/>
  <c r="M708" i="1"/>
  <c r="L708" i="1"/>
  <c r="S708" i="1" s="1"/>
  <c r="P707" i="1"/>
  <c r="O707" i="1"/>
  <c r="N707" i="1"/>
  <c r="M707" i="1"/>
  <c r="L707" i="1"/>
  <c r="S707" i="1" s="1"/>
  <c r="P706" i="1"/>
  <c r="O706" i="1"/>
  <c r="N706" i="1"/>
  <c r="M706" i="1"/>
  <c r="L706" i="1"/>
  <c r="S706" i="1" s="1"/>
  <c r="P705" i="1"/>
  <c r="O705" i="1"/>
  <c r="N705" i="1"/>
  <c r="M705" i="1"/>
  <c r="L705" i="1"/>
  <c r="S705" i="1" s="1"/>
  <c r="P704" i="1"/>
  <c r="O704" i="1"/>
  <c r="N704" i="1"/>
  <c r="M704" i="1"/>
  <c r="L704" i="1"/>
  <c r="S704" i="1" s="1"/>
  <c r="P703" i="1"/>
  <c r="O703" i="1"/>
  <c r="N703" i="1"/>
  <c r="M703" i="1"/>
  <c r="L703" i="1"/>
  <c r="S703" i="1" s="1"/>
  <c r="P702" i="1"/>
  <c r="O702" i="1"/>
  <c r="N702" i="1"/>
  <c r="M702" i="1"/>
  <c r="L702" i="1"/>
  <c r="S702" i="1" s="1"/>
  <c r="P1522" i="1"/>
  <c r="O1522" i="1"/>
  <c r="N1522" i="1"/>
  <c r="M1522" i="1"/>
  <c r="L1522" i="1"/>
  <c r="S1522" i="1" s="1"/>
  <c r="P766" i="1"/>
  <c r="O766" i="1"/>
  <c r="N766" i="1"/>
  <c r="M766" i="1"/>
  <c r="L766" i="1"/>
  <c r="S766" i="1" s="1"/>
  <c r="P744" i="1"/>
  <c r="O744" i="1"/>
  <c r="N744" i="1"/>
  <c r="M744" i="1"/>
  <c r="L744" i="1"/>
  <c r="S744" i="1" s="1"/>
  <c r="P743" i="1"/>
  <c r="O743" i="1"/>
  <c r="N743" i="1"/>
  <c r="M743" i="1"/>
  <c r="L743" i="1"/>
  <c r="S743" i="1" s="1"/>
  <c r="P733" i="1"/>
  <c r="O733" i="1"/>
  <c r="N733" i="1"/>
  <c r="M733" i="1"/>
  <c r="L733" i="1"/>
  <c r="S733" i="1" s="1"/>
  <c r="P701" i="1"/>
  <c r="O701" i="1"/>
  <c r="N701" i="1"/>
  <c r="M701" i="1"/>
  <c r="L701" i="1"/>
  <c r="S701" i="1" s="1"/>
  <c r="P700" i="1"/>
  <c r="O700" i="1"/>
  <c r="N700" i="1"/>
  <c r="M700" i="1"/>
  <c r="L700" i="1"/>
  <c r="S700" i="1" s="1"/>
  <c r="P655" i="1"/>
  <c r="O655" i="1"/>
  <c r="N655" i="1"/>
  <c r="M655" i="1"/>
  <c r="L655" i="1"/>
  <c r="S655" i="1" s="1"/>
  <c r="P699" i="1"/>
  <c r="O699" i="1"/>
  <c r="N699" i="1"/>
  <c r="M699" i="1"/>
  <c r="L699" i="1"/>
  <c r="S699" i="1" s="1"/>
  <c r="P698" i="1"/>
  <c r="O698" i="1"/>
  <c r="N698" i="1"/>
  <c r="M698" i="1"/>
  <c r="L698" i="1"/>
  <c r="S698" i="1" s="1"/>
  <c r="P697" i="1"/>
  <c r="O697" i="1"/>
  <c r="N697" i="1"/>
  <c r="M697" i="1"/>
  <c r="L697" i="1"/>
  <c r="S697" i="1" s="1"/>
  <c r="P696" i="1"/>
  <c r="O696" i="1"/>
  <c r="N696" i="1"/>
  <c r="M696" i="1"/>
  <c r="L696" i="1"/>
  <c r="S696" i="1" s="1"/>
  <c r="P695" i="1"/>
  <c r="O695" i="1"/>
  <c r="N695" i="1"/>
  <c r="M695" i="1"/>
  <c r="L695" i="1"/>
  <c r="S695" i="1" s="1"/>
  <c r="P694" i="1"/>
  <c r="O694" i="1"/>
  <c r="N694" i="1"/>
  <c r="M694" i="1"/>
  <c r="L694" i="1"/>
  <c r="S694" i="1" s="1"/>
  <c r="P693" i="1"/>
  <c r="O693" i="1"/>
  <c r="N693" i="1"/>
  <c r="M693" i="1"/>
  <c r="L693" i="1"/>
  <c r="S693" i="1" s="1"/>
  <c r="P692" i="1"/>
  <c r="O692" i="1"/>
  <c r="N692" i="1"/>
  <c r="M692" i="1"/>
  <c r="L692" i="1"/>
  <c r="S692" i="1" s="1"/>
  <c r="P691" i="1"/>
  <c r="O691" i="1"/>
  <c r="N691" i="1"/>
  <c r="M691" i="1"/>
  <c r="L691" i="1"/>
  <c r="S691" i="1" s="1"/>
  <c r="P690" i="1"/>
  <c r="O690" i="1"/>
  <c r="N690" i="1"/>
  <c r="M690" i="1"/>
  <c r="L690" i="1"/>
  <c r="S690" i="1" s="1"/>
  <c r="P689" i="1"/>
  <c r="O689" i="1"/>
  <c r="N689" i="1"/>
  <c r="M689" i="1"/>
  <c r="L689" i="1"/>
  <c r="S689" i="1" s="1"/>
  <c r="P688" i="1"/>
  <c r="O688" i="1"/>
  <c r="N688" i="1"/>
  <c r="M688" i="1"/>
  <c r="L688" i="1"/>
  <c r="S688" i="1" s="1"/>
  <c r="P687" i="1"/>
  <c r="O687" i="1"/>
  <c r="N687" i="1"/>
  <c r="M687" i="1"/>
  <c r="L687" i="1"/>
  <c r="S687" i="1" s="1"/>
  <c r="P686" i="1"/>
  <c r="O686" i="1"/>
  <c r="N686" i="1"/>
  <c r="M686" i="1"/>
  <c r="L686" i="1"/>
  <c r="S686" i="1" s="1"/>
  <c r="P685" i="1"/>
  <c r="O685" i="1"/>
  <c r="N685" i="1"/>
  <c r="M685" i="1"/>
  <c r="L685" i="1"/>
  <c r="S685" i="1" s="1"/>
  <c r="P684" i="1"/>
  <c r="O684" i="1"/>
  <c r="N684" i="1"/>
  <c r="M684" i="1"/>
  <c r="L684" i="1"/>
  <c r="S684" i="1" s="1"/>
  <c r="P683" i="1"/>
  <c r="O683" i="1"/>
  <c r="N683" i="1"/>
  <c r="M683" i="1"/>
  <c r="L683" i="1"/>
  <c r="S683" i="1" s="1"/>
  <c r="P682" i="1"/>
  <c r="O682" i="1"/>
  <c r="N682" i="1"/>
  <c r="M682" i="1"/>
  <c r="L682" i="1"/>
  <c r="S682" i="1" s="1"/>
  <c r="P681" i="1"/>
  <c r="O681" i="1"/>
  <c r="N681" i="1"/>
  <c r="M681" i="1"/>
  <c r="L681" i="1"/>
  <c r="S681" i="1" s="1"/>
  <c r="P680" i="1"/>
  <c r="O680" i="1"/>
  <c r="N680" i="1"/>
  <c r="M680" i="1"/>
  <c r="L680" i="1"/>
  <c r="S680" i="1" s="1"/>
  <c r="P679" i="1"/>
  <c r="O679" i="1"/>
  <c r="N679" i="1"/>
  <c r="M679" i="1"/>
  <c r="L679" i="1"/>
  <c r="S679" i="1" s="1"/>
  <c r="P678" i="1"/>
  <c r="O678" i="1"/>
  <c r="N678" i="1"/>
  <c r="M678" i="1"/>
  <c r="L678" i="1"/>
  <c r="S678" i="1" s="1"/>
  <c r="P677" i="1"/>
  <c r="O677" i="1"/>
  <c r="N677" i="1"/>
  <c r="M677" i="1"/>
  <c r="L677" i="1"/>
  <c r="S677" i="1" s="1"/>
  <c r="P676" i="1"/>
  <c r="O676" i="1"/>
  <c r="N676" i="1"/>
  <c r="M676" i="1"/>
  <c r="L676" i="1"/>
  <c r="S676" i="1" s="1"/>
  <c r="P352" i="1"/>
  <c r="O352" i="1"/>
  <c r="N352" i="1"/>
  <c r="M352" i="1"/>
  <c r="L352" i="1"/>
  <c r="S352" i="1" s="1"/>
  <c r="P351" i="1"/>
  <c r="O351" i="1"/>
  <c r="N351" i="1"/>
  <c r="M351" i="1"/>
  <c r="L351" i="1"/>
  <c r="S351" i="1" s="1"/>
  <c r="P350" i="1"/>
  <c r="O350" i="1"/>
  <c r="N350" i="1"/>
  <c r="M350" i="1"/>
  <c r="L350" i="1"/>
  <c r="S350" i="1" s="1"/>
  <c r="P349" i="1"/>
  <c r="O349" i="1"/>
  <c r="N349" i="1"/>
  <c r="M349" i="1"/>
  <c r="L349" i="1"/>
  <c r="S349" i="1" s="1"/>
  <c r="P348" i="1"/>
  <c r="O348" i="1"/>
  <c r="N348" i="1"/>
  <c r="M348" i="1"/>
  <c r="L348" i="1"/>
  <c r="S348" i="1" s="1"/>
  <c r="P347" i="1"/>
  <c r="O347" i="1"/>
  <c r="N347" i="1"/>
  <c r="M347" i="1"/>
  <c r="L347" i="1"/>
  <c r="S347" i="1" s="1"/>
  <c r="P346" i="1"/>
  <c r="O346" i="1"/>
  <c r="N346" i="1"/>
  <c r="M346" i="1"/>
  <c r="L346" i="1"/>
  <c r="S346" i="1" s="1"/>
  <c r="P345" i="1"/>
  <c r="O345" i="1"/>
  <c r="N345" i="1"/>
  <c r="M345" i="1"/>
  <c r="L345" i="1"/>
  <c r="S345" i="1" s="1"/>
  <c r="P297" i="1"/>
  <c r="O297" i="1"/>
  <c r="N297" i="1"/>
  <c r="M297" i="1"/>
  <c r="L297" i="1"/>
  <c r="S297" i="1" s="1"/>
  <c r="P295" i="1"/>
  <c r="O295" i="1"/>
  <c r="N295" i="1"/>
  <c r="M295" i="1"/>
  <c r="L295" i="1"/>
  <c r="S295" i="1" s="1"/>
  <c r="P292" i="1"/>
  <c r="O292" i="1"/>
  <c r="N292" i="1"/>
  <c r="M292" i="1"/>
  <c r="L292" i="1"/>
  <c r="S292" i="1" s="1"/>
  <c r="P288" i="1"/>
  <c r="O288" i="1"/>
  <c r="N288" i="1"/>
  <c r="M288" i="1"/>
  <c r="L288" i="1"/>
  <c r="S288" i="1" s="1"/>
  <c r="P169" i="1"/>
  <c r="O169" i="1"/>
  <c r="N169" i="1"/>
  <c r="M169" i="1"/>
  <c r="L169" i="1"/>
  <c r="S169" i="1" s="1"/>
  <c r="P136" i="1"/>
  <c r="O136" i="1"/>
  <c r="N136" i="1"/>
  <c r="M136" i="1"/>
  <c r="L136" i="1"/>
  <c r="S136" i="1" s="1"/>
  <c r="P88" i="1"/>
  <c r="O88" i="1"/>
  <c r="N88" i="1"/>
  <c r="M88" i="1"/>
  <c r="L88" i="1"/>
  <c r="S88" i="1" s="1"/>
  <c r="P86" i="1"/>
  <c r="O86" i="1"/>
  <c r="N86" i="1"/>
  <c r="M86" i="1"/>
  <c r="L86" i="1"/>
  <c r="S86" i="1" s="1"/>
  <c r="P84" i="1"/>
  <c r="O84" i="1"/>
  <c r="N84" i="1"/>
  <c r="M84" i="1"/>
  <c r="L84" i="1"/>
  <c r="S84" i="1" s="1"/>
  <c r="P83" i="1"/>
  <c r="O83" i="1"/>
  <c r="N83" i="1"/>
  <c r="M83" i="1"/>
  <c r="L83" i="1"/>
  <c r="S83" i="1" s="1"/>
  <c r="P55" i="1"/>
  <c r="O55" i="1"/>
  <c r="N55" i="1"/>
  <c r="M55" i="1"/>
  <c r="L55" i="1"/>
  <c r="S55" i="1" s="1"/>
  <c r="P54" i="1"/>
  <c r="O54" i="1"/>
  <c r="N54" i="1"/>
  <c r="M54" i="1"/>
  <c r="L54" i="1"/>
  <c r="S54" i="1" s="1"/>
  <c r="P53" i="1"/>
  <c r="O53" i="1"/>
  <c r="N53" i="1"/>
  <c r="M53" i="1"/>
  <c r="L53" i="1"/>
  <c r="S53" i="1" s="1"/>
  <c r="P39" i="1"/>
  <c r="O39" i="1"/>
  <c r="N39" i="1"/>
  <c r="M39" i="1"/>
  <c r="L39" i="1"/>
  <c r="S39" i="1" s="1"/>
  <c r="P38" i="1"/>
  <c r="O38" i="1"/>
  <c r="N38" i="1"/>
  <c r="M38" i="1"/>
  <c r="L38" i="1"/>
  <c r="S38" i="1" s="1"/>
  <c r="P37" i="1"/>
  <c r="O37" i="1"/>
  <c r="N37" i="1"/>
  <c r="M37" i="1"/>
  <c r="L37" i="1"/>
  <c r="S37" i="1" s="1"/>
  <c r="P36" i="1"/>
  <c r="O36" i="1"/>
  <c r="N36" i="1"/>
  <c r="M36" i="1"/>
  <c r="L36" i="1"/>
  <c r="S36" i="1" s="1"/>
  <c r="P1521" i="1"/>
  <c r="O1521" i="1"/>
  <c r="N1521" i="1"/>
  <c r="M1521" i="1"/>
  <c r="L1521" i="1"/>
  <c r="S1521" i="1" s="1"/>
  <c r="P643" i="1"/>
  <c r="O643" i="1"/>
  <c r="N643" i="1"/>
  <c r="M643" i="1"/>
  <c r="L643" i="1"/>
  <c r="S643" i="1" s="1"/>
  <c r="P642" i="1"/>
  <c r="O642" i="1"/>
  <c r="N642" i="1"/>
  <c r="M642" i="1"/>
  <c r="L642" i="1"/>
  <c r="S642" i="1" s="1"/>
  <c r="P641" i="1"/>
  <c r="O641" i="1"/>
  <c r="N641" i="1"/>
  <c r="M641" i="1"/>
  <c r="L641" i="1"/>
  <c r="S641" i="1" s="1"/>
  <c r="P640" i="1"/>
  <c r="O640" i="1"/>
  <c r="N640" i="1"/>
  <c r="M640" i="1"/>
  <c r="L640" i="1"/>
  <c r="S640" i="1" s="1"/>
  <c r="P639" i="1"/>
  <c r="O639" i="1"/>
  <c r="N639" i="1"/>
  <c r="M639" i="1"/>
  <c r="L639" i="1"/>
  <c r="S639" i="1" s="1"/>
  <c r="P638" i="1"/>
  <c r="O638" i="1"/>
  <c r="N638" i="1"/>
  <c r="M638" i="1"/>
  <c r="L638" i="1"/>
  <c r="S638" i="1" s="1"/>
  <c r="P637" i="1"/>
  <c r="O637" i="1"/>
  <c r="N637" i="1"/>
  <c r="M637" i="1"/>
  <c r="L637" i="1"/>
  <c r="S637" i="1" s="1"/>
  <c r="P636" i="1"/>
  <c r="O636" i="1"/>
  <c r="N636" i="1"/>
  <c r="M636" i="1"/>
  <c r="L636" i="1"/>
  <c r="S636" i="1" s="1"/>
  <c r="P654" i="1"/>
  <c r="O654" i="1"/>
  <c r="N654" i="1"/>
  <c r="M654" i="1"/>
  <c r="L654" i="1"/>
  <c r="S654" i="1" s="1"/>
  <c r="P653" i="1"/>
  <c r="O653" i="1"/>
  <c r="N653" i="1"/>
  <c r="M653" i="1"/>
  <c r="L653" i="1"/>
  <c r="S653" i="1" s="1"/>
  <c r="P652" i="1"/>
  <c r="O652" i="1"/>
  <c r="N652" i="1"/>
  <c r="M652" i="1"/>
  <c r="L652" i="1"/>
  <c r="S652" i="1" s="1"/>
  <c r="P651" i="1"/>
  <c r="O651" i="1"/>
  <c r="N651" i="1"/>
  <c r="M651" i="1"/>
  <c r="L651" i="1"/>
  <c r="S651" i="1" s="1"/>
  <c r="P650" i="1"/>
  <c r="O650" i="1"/>
  <c r="N650" i="1"/>
  <c r="M650" i="1"/>
  <c r="L650" i="1"/>
  <c r="S650" i="1" s="1"/>
  <c r="P649" i="1"/>
  <c r="O649" i="1"/>
  <c r="N649" i="1"/>
  <c r="M649" i="1"/>
  <c r="L649" i="1"/>
  <c r="S649" i="1" s="1"/>
  <c r="P648" i="1"/>
  <c r="O648" i="1"/>
  <c r="N648" i="1"/>
  <c r="M648" i="1"/>
  <c r="L648" i="1"/>
  <c r="S648" i="1" s="1"/>
  <c r="P647" i="1"/>
  <c r="O647" i="1"/>
  <c r="N647" i="1"/>
  <c r="M647" i="1"/>
  <c r="L647" i="1"/>
  <c r="S647" i="1" s="1"/>
  <c r="P646" i="1"/>
  <c r="O646" i="1"/>
  <c r="N646" i="1"/>
  <c r="M646" i="1"/>
  <c r="L646" i="1"/>
  <c r="S646" i="1" s="1"/>
  <c r="P645" i="1"/>
  <c r="O645" i="1"/>
  <c r="N645" i="1"/>
  <c r="M645" i="1"/>
  <c r="L645" i="1"/>
  <c r="S645" i="1" s="1"/>
  <c r="P644" i="1"/>
  <c r="O644" i="1"/>
  <c r="N644" i="1"/>
  <c r="M644" i="1"/>
  <c r="L644" i="1"/>
  <c r="S644" i="1" s="1"/>
  <c r="P635" i="1"/>
  <c r="O635" i="1"/>
  <c r="N635" i="1"/>
  <c r="M635" i="1"/>
  <c r="L635" i="1"/>
  <c r="S635" i="1" s="1"/>
  <c r="P634" i="1"/>
  <c r="O634" i="1"/>
  <c r="N634" i="1"/>
  <c r="M634" i="1"/>
  <c r="L634" i="1"/>
  <c r="S634" i="1" s="1"/>
  <c r="P633" i="1"/>
  <c r="O633" i="1"/>
  <c r="N633" i="1"/>
  <c r="M633" i="1"/>
  <c r="L633" i="1"/>
  <c r="S633" i="1" s="1"/>
  <c r="P632" i="1"/>
  <c r="O632" i="1"/>
  <c r="N632" i="1"/>
  <c r="M632" i="1"/>
  <c r="L632" i="1"/>
  <c r="S632" i="1" s="1"/>
  <c r="P620" i="1"/>
  <c r="O620" i="1"/>
  <c r="N620" i="1"/>
  <c r="M620" i="1"/>
  <c r="L620" i="1"/>
  <c r="S620" i="1" s="1"/>
  <c r="P619" i="1"/>
  <c r="O619" i="1"/>
  <c r="N619" i="1"/>
  <c r="M619" i="1"/>
  <c r="L619" i="1"/>
  <c r="S619" i="1" s="1"/>
  <c r="P618" i="1"/>
  <c r="O618" i="1"/>
  <c r="N618" i="1"/>
  <c r="M618" i="1"/>
  <c r="L618" i="1"/>
  <c r="S618" i="1" s="1"/>
  <c r="P617" i="1"/>
  <c r="O617" i="1"/>
  <c r="N617" i="1"/>
  <c r="M617" i="1"/>
  <c r="L617" i="1"/>
  <c r="S617" i="1" s="1"/>
  <c r="P616" i="1"/>
  <c r="O616" i="1"/>
  <c r="N616" i="1"/>
  <c r="M616" i="1"/>
  <c r="L616" i="1"/>
  <c r="S616" i="1" s="1"/>
  <c r="P615" i="1"/>
  <c r="O615" i="1"/>
  <c r="N615" i="1"/>
  <c r="M615" i="1"/>
  <c r="L615" i="1"/>
  <c r="S615" i="1" s="1"/>
  <c r="P614" i="1"/>
  <c r="O614" i="1"/>
  <c r="N614" i="1"/>
  <c r="M614" i="1"/>
  <c r="L614" i="1"/>
  <c r="S614" i="1" s="1"/>
  <c r="P613" i="1"/>
  <c r="O613" i="1"/>
  <c r="N613" i="1"/>
  <c r="M613" i="1"/>
  <c r="L613" i="1"/>
  <c r="S613" i="1" s="1"/>
  <c r="P612" i="1"/>
  <c r="O612" i="1"/>
  <c r="N612" i="1"/>
  <c r="M612" i="1"/>
  <c r="L612" i="1"/>
  <c r="S612" i="1" s="1"/>
  <c r="P611" i="1"/>
  <c r="O611" i="1"/>
  <c r="N611" i="1"/>
  <c r="M611" i="1"/>
  <c r="L611" i="1"/>
  <c r="S611" i="1" s="1"/>
  <c r="P610" i="1"/>
  <c r="O610" i="1"/>
  <c r="N610" i="1"/>
  <c r="M610" i="1"/>
  <c r="L610" i="1"/>
  <c r="S610" i="1" s="1"/>
  <c r="P609" i="1"/>
  <c r="O609" i="1"/>
  <c r="N609" i="1"/>
  <c r="M609" i="1"/>
  <c r="L609" i="1"/>
  <c r="S609" i="1" s="1"/>
  <c r="P608" i="1"/>
  <c r="O608" i="1"/>
  <c r="N608" i="1"/>
  <c r="M608" i="1"/>
  <c r="L608" i="1"/>
  <c r="S608" i="1" s="1"/>
  <c r="P607" i="1"/>
  <c r="O607" i="1"/>
  <c r="N607" i="1"/>
  <c r="M607" i="1"/>
  <c r="L607" i="1"/>
  <c r="S607" i="1" s="1"/>
  <c r="P606" i="1"/>
  <c r="O606" i="1"/>
  <c r="N606" i="1"/>
  <c r="M606" i="1"/>
  <c r="L606" i="1"/>
  <c r="S606" i="1" s="1"/>
  <c r="P605" i="1"/>
  <c r="O605" i="1"/>
  <c r="N605" i="1"/>
  <c r="M605" i="1"/>
  <c r="L605" i="1"/>
  <c r="S605" i="1" s="1"/>
  <c r="P604" i="1"/>
  <c r="O604" i="1"/>
  <c r="N604" i="1"/>
  <c r="M604" i="1"/>
  <c r="L604" i="1"/>
  <c r="S604" i="1" s="1"/>
  <c r="P603" i="1"/>
  <c r="O603" i="1"/>
  <c r="N603" i="1"/>
  <c r="M603" i="1"/>
  <c r="L603" i="1"/>
  <c r="S603" i="1" s="1"/>
  <c r="P602" i="1"/>
  <c r="O602" i="1"/>
  <c r="N602" i="1"/>
  <c r="M602" i="1"/>
  <c r="L602" i="1"/>
  <c r="S602" i="1" s="1"/>
  <c r="P601" i="1"/>
  <c r="O601" i="1"/>
  <c r="N601" i="1"/>
  <c r="M601" i="1"/>
  <c r="L601" i="1"/>
  <c r="S601" i="1" s="1"/>
  <c r="P600" i="1"/>
  <c r="O600" i="1"/>
  <c r="N600" i="1"/>
  <c r="M600" i="1"/>
  <c r="L600" i="1"/>
  <c r="S600" i="1" s="1"/>
  <c r="P599" i="1"/>
  <c r="O599" i="1"/>
  <c r="N599" i="1"/>
  <c r="M599" i="1"/>
  <c r="L599" i="1"/>
  <c r="S599" i="1" s="1"/>
  <c r="P598" i="1"/>
  <c r="O598" i="1"/>
  <c r="N598" i="1"/>
  <c r="M598" i="1"/>
  <c r="L598" i="1"/>
  <c r="S598" i="1" s="1"/>
  <c r="P597" i="1"/>
  <c r="O597" i="1"/>
  <c r="N597" i="1"/>
  <c r="M597" i="1"/>
  <c r="L597" i="1"/>
  <c r="S597" i="1" s="1"/>
  <c r="P596" i="1"/>
  <c r="O596" i="1"/>
  <c r="N596" i="1"/>
  <c r="M596" i="1"/>
  <c r="L596" i="1"/>
  <c r="S596" i="1" s="1"/>
  <c r="P595" i="1"/>
  <c r="O595" i="1"/>
  <c r="N595" i="1"/>
  <c r="M595" i="1"/>
  <c r="L595" i="1"/>
  <c r="S595" i="1" s="1"/>
  <c r="P594" i="1"/>
  <c r="O594" i="1"/>
  <c r="N594" i="1"/>
  <c r="M594" i="1"/>
  <c r="L594" i="1"/>
  <c r="S594" i="1" s="1"/>
  <c r="P593" i="1"/>
  <c r="O593" i="1"/>
  <c r="N593" i="1"/>
  <c r="M593" i="1"/>
  <c r="L593" i="1"/>
  <c r="S593" i="1" s="1"/>
  <c r="P592" i="1"/>
  <c r="O592" i="1"/>
  <c r="N592" i="1"/>
  <c r="M592" i="1"/>
  <c r="L592" i="1"/>
  <c r="S592" i="1" s="1"/>
  <c r="P591" i="1"/>
  <c r="O591" i="1"/>
  <c r="N591" i="1"/>
  <c r="M591" i="1"/>
  <c r="L591" i="1"/>
  <c r="S591" i="1" s="1"/>
  <c r="P590" i="1"/>
  <c r="O590" i="1"/>
  <c r="N590" i="1"/>
  <c r="M590" i="1"/>
  <c r="L590" i="1"/>
  <c r="S590" i="1" s="1"/>
  <c r="P589" i="1"/>
  <c r="O589" i="1"/>
  <c r="N589" i="1"/>
  <c r="M589" i="1"/>
  <c r="L589" i="1"/>
  <c r="S589" i="1" s="1"/>
  <c r="P588" i="1"/>
  <c r="O588" i="1"/>
  <c r="N588" i="1"/>
  <c r="M588" i="1"/>
  <c r="L588" i="1"/>
  <c r="S588" i="1" s="1"/>
  <c r="P587" i="1"/>
  <c r="O587" i="1"/>
  <c r="N587" i="1"/>
  <c r="M587" i="1"/>
  <c r="L587" i="1"/>
  <c r="S587" i="1" s="1"/>
  <c r="P586" i="1"/>
  <c r="O586" i="1"/>
  <c r="N586" i="1"/>
  <c r="M586" i="1"/>
  <c r="L586" i="1"/>
  <c r="S586" i="1" s="1"/>
  <c r="P585" i="1"/>
  <c r="O585" i="1"/>
  <c r="N585" i="1"/>
  <c r="M585" i="1"/>
  <c r="L585" i="1"/>
  <c r="S585" i="1" s="1"/>
  <c r="P584" i="1"/>
  <c r="O584" i="1"/>
  <c r="N584" i="1"/>
  <c r="M584" i="1"/>
  <c r="L584" i="1"/>
  <c r="S584" i="1" s="1"/>
  <c r="P583" i="1"/>
  <c r="O583" i="1"/>
  <c r="N583" i="1"/>
  <c r="M583" i="1"/>
  <c r="L583" i="1"/>
  <c r="S583" i="1" s="1"/>
  <c r="P582" i="1"/>
  <c r="O582" i="1"/>
  <c r="N582" i="1"/>
  <c r="M582" i="1"/>
  <c r="L582" i="1"/>
  <c r="S582" i="1" s="1"/>
  <c r="P581" i="1"/>
  <c r="O581" i="1"/>
  <c r="N581" i="1"/>
  <c r="M581" i="1"/>
  <c r="L581" i="1"/>
  <c r="S581" i="1" s="1"/>
  <c r="P580" i="1"/>
  <c r="O580" i="1"/>
  <c r="N580" i="1"/>
  <c r="M580" i="1"/>
  <c r="L580" i="1"/>
  <c r="S580" i="1" s="1"/>
  <c r="P579" i="1"/>
  <c r="O579" i="1"/>
  <c r="N579" i="1"/>
  <c r="M579" i="1"/>
  <c r="L579" i="1"/>
  <c r="S579" i="1" s="1"/>
  <c r="P578" i="1"/>
  <c r="O578" i="1"/>
  <c r="N578" i="1"/>
  <c r="M578" i="1"/>
  <c r="L578" i="1"/>
  <c r="S578" i="1" s="1"/>
  <c r="P577" i="1"/>
  <c r="O577" i="1"/>
  <c r="N577" i="1"/>
  <c r="M577" i="1"/>
  <c r="L577" i="1"/>
  <c r="S577" i="1" s="1"/>
  <c r="P576" i="1"/>
  <c r="O576" i="1"/>
  <c r="N576" i="1"/>
  <c r="M576" i="1"/>
  <c r="L576" i="1"/>
  <c r="S576" i="1" s="1"/>
  <c r="P575" i="1"/>
  <c r="O575" i="1"/>
  <c r="N575" i="1"/>
  <c r="M575" i="1"/>
  <c r="L575" i="1"/>
  <c r="S575" i="1" s="1"/>
  <c r="P574" i="1"/>
  <c r="O574" i="1"/>
  <c r="N574" i="1"/>
  <c r="M574" i="1"/>
  <c r="L574" i="1"/>
  <c r="S574" i="1" s="1"/>
  <c r="P573" i="1"/>
  <c r="O573" i="1"/>
  <c r="N573" i="1"/>
  <c r="M573" i="1"/>
  <c r="L573" i="1"/>
  <c r="S573" i="1" s="1"/>
  <c r="P572" i="1"/>
  <c r="O572" i="1"/>
  <c r="N572" i="1"/>
  <c r="M572" i="1"/>
  <c r="L572" i="1"/>
  <c r="S572" i="1" s="1"/>
  <c r="P571" i="1"/>
  <c r="O571" i="1"/>
  <c r="N571" i="1"/>
  <c r="M571" i="1"/>
  <c r="L571" i="1"/>
  <c r="S571" i="1" s="1"/>
  <c r="P570" i="1"/>
  <c r="O570" i="1"/>
  <c r="N570" i="1"/>
  <c r="M570" i="1"/>
  <c r="L570" i="1"/>
  <c r="S570" i="1" s="1"/>
  <c r="P569" i="1"/>
  <c r="O569" i="1"/>
  <c r="N569" i="1"/>
  <c r="M569" i="1"/>
  <c r="L569" i="1"/>
  <c r="S569" i="1" s="1"/>
  <c r="P568" i="1"/>
  <c r="O568" i="1"/>
  <c r="N568" i="1"/>
  <c r="M568" i="1"/>
  <c r="L568" i="1"/>
  <c r="S568" i="1" s="1"/>
  <c r="P567" i="1"/>
  <c r="O567" i="1"/>
  <c r="N567" i="1"/>
  <c r="M567" i="1"/>
  <c r="L567" i="1"/>
  <c r="S567" i="1" s="1"/>
  <c r="P566" i="1"/>
  <c r="O566" i="1"/>
  <c r="N566" i="1"/>
  <c r="M566" i="1"/>
  <c r="L566" i="1"/>
  <c r="S566" i="1" s="1"/>
  <c r="P565" i="1"/>
  <c r="O565" i="1"/>
  <c r="N565" i="1"/>
  <c r="M565" i="1"/>
  <c r="L565" i="1"/>
  <c r="S565" i="1" s="1"/>
  <c r="P564" i="1"/>
  <c r="O564" i="1"/>
  <c r="N564" i="1"/>
  <c r="M564" i="1"/>
  <c r="L564" i="1"/>
  <c r="S564" i="1" s="1"/>
  <c r="P563" i="1"/>
  <c r="O563" i="1"/>
  <c r="N563" i="1"/>
  <c r="M563" i="1"/>
  <c r="L563" i="1"/>
  <c r="S563" i="1" s="1"/>
  <c r="P562" i="1"/>
  <c r="O562" i="1"/>
  <c r="N562" i="1"/>
  <c r="M562" i="1"/>
  <c r="L562" i="1"/>
  <c r="S562" i="1" s="1"/>
  <c r="P561" i="1"/>
  <c r="O561" i="1"/>
  <c r="N561" i="1"/>
  <c r="M561" i="1"/>
  <c r="L561" i="1"/>
  <c r="S561" i="1" s="1"/>
  <c r="P560" i="1"/>
  <c r="O560" i="1"/>
  <c r="N560" i="1"/>
  <c r="M560" i="1"/>
  <c r="L560" i="1"/>
  <c r="S560" i="1" s="1"/>
  <c r="P559" i="1"/>
  <c r="O559" i="1"/>
  <c r="N559" i="1"/>
  <c r="M559" i="1"/>
  <c r="L559" i="1"/>
  <c r="S559" i="1" s="1"/>
  <c r="P558" i="1"/>
  <c r="O558" i="1"/>
  <c r="N558" i="1"/>
  <c r="M558" i="1"/>
  <c r="L558" i="1"/>
  <c r="S558" i="1" s="1"/>
  <c r="P557" i="1"/>
  <c r="O557" i="1"/>
  <c r="N557" i="1"/>
  <c r="M557" i="1"/>
  <c r="L557" i="1"/>
  <c r="S557" i="1" s="1"/>
  <c r="P556" i="1"/>
  <c r="O556" i="1"/>
  <c r="N556" i="1"/>
  <c r="M556" i="1"/>
  <c r="L556" i="1"/>
  <c r="S556" i="1" s="1"/>
  <c r="P555" i="1"/>
  <c r="O555" i="1"/>
  <c r="N555" i="1"/>
  <c r="M555" i="1"/>
  <c r="L555" i="1"/>
  <c r="S555" i="1" s="1"/>
  <c r="P554" i="1"/>
  <c r="O554" i="1"/>
  <c r="N554" i="1"/>
  <c r="M554" i="1"/>
  <c r="L554" i="1"/>
  <c r="S554" i="1" s="1"/>
  <c r="P553" i="1"/>
  <c r="O553" i="1"/>
  <c r="N553" i="1"/>
  <c r="M553" i="1"/>
  <c r="L553" i="1"/>
  <c r="S553" i="1" s="1"/>
  <c r="P552" i="1"/>
  <c r="O552" i="1"/>
  <c r="N552" i="1"/>
  <c r="M552" i="1"/>
  <c r="L552" i="1"/>
  <c r="S552" i="1" s="1"/>
  <c r="P551" i="1"/>
  <c r="O551" i="1"/>
  <c r="N551" i="1"/>
  <c r="M551" i="1"/>
  <c r="L551" i="1"/>
  <c r="S551" i="1" s="1"/>
  <c r="P550" i="1"/>
  <c r="O550" i="1"/>
  <c r="N550" i="1"/>
  <c r="M550" i="1"/>
  <c r="L550" i="1"/>
  <c r="S550" i="1" s="1"/>
  <c r="P549" i="1"/>
  <c r="O549" i="1"/>
  <c r="N549" i="1"/>
  <c r="M549" i="1"/>
  <c r="L549" i="1"/>
  <c r="S549" i="1" s="1"/>
  <c r="P548" i="1"/>
  <c r="O548" i="1"/>
  <c r="N548" i="1"/>
  <c r="M548" i="1"/>
  <c r="L548" i="1"/>
  <c r="S548" i="1" s="1"/>
  <c r="P547" i="1"/>
  <c r="O547" i="1"/>
  <c r="N547" i="1"/>
  <c r="M547" i="1"/>
  <c r="L547" i="1"/>
  <c r="S547" i="1" s="1"/>
  <c r="P546" i="1"/>
  <c r="O546" i="1"/>
  <c r="N546" i="1"/>
  <c r="M546" i="1"/>
  <c r="L546" i="1"/>
  <c r="S546" i="1" s="1"/>
  <c r="P545" i="1"/>
  <c r="O545" i="1"/>
  <c r="N545" i="1"/>
  <c r="M545" i="1"/>
  <c r="L545" i="1"/>
  <c r="S545" i="1" s="1"/>
  <c r="P544" i="1"/>
  <c r="O544" i="1"/>
  <c r="N544" i="1"/>
  <c r="M544" i="1"/>
  <c r="L544" i="1"/>
  <c r="S544" i="1" s="1"/>
  <c r="P543" i="1"/>
  <c r="O543" i="1"/>
  <c r="N543" i="1"/>
  <c r="M543" i="1"/>
  <c r="L543" i="1"/>
  <c r="S543" i="1" s="1"/>
  <c r="P542" i="1"/>
  <c r="O542" i="1"/>
  <c r="N542" i="1"/>
  <c r="M542" i="1"/>
  <c r="L542" i="1"/>
  <c r="S542" i="1" s="1"/>
  <c r="P541" i="1"/>
  <c r="O541" i="1"/>
  <c r="N541" i="1"/>
  <c r="M541" i="1"/>
  <c r="L541" i="1"/>
  <c r="S541" i="1" s="1"/>
  <c r="P540" i="1"/>
  <c r="O540" i="1"/>
  <c r="N540" i="1"/>
  <c r="M540" i="1"/>
  <c r="L540" i="1"/>
  <c r="S540" i="1" s="1"/>
  <c r="P539" i="1"/>
  <c r="O539" i="1"/>
  <c r="N539" i="1"/>
  <c r="M539" i="1"/>
  <c r="L539" i="1"/>
  <c r="S539" i="1" s="1"/>
  <c r="P538" i="1"/>
  <c r="O538" i="1"/>
  <c r="N538" i="1"/>
  <c r="M538" i="1"/>
  <c r="L538" i="1"/>
  <c r="S538" i="1" s="1"/>
  <c r="P537" i="1"/>
  <c r="O537" i="1"/>
  <c r="N537" i="1"/>
  <c r="M537" i="1"/>
  <c r="L537" i="1"/>
  <c r="S537" i="1" s="1"/>
  <c r="P536" i="1"/>
  <c r="O536" i="1"/>
  <c r="N536" i="1"/>
  <c r="M536" i="1"/>
  <c r="L536" i="1"/>
  <c r="S536" i="1" s="1"/>
  <c r="P535" i="1"/>
  <c r="O535" i="1"/>
  <c r="N535" i="1"/>
  <c r="M535" i="1"/>
  <c r="L535" i="1"/>
  <c r="S535" i="1" s="1"/>
  <c r="P534" i="1"/>
  <c r="O534" i="1"/>
  <c r="N534" i="1"/>
  <c r="M534" i="1"/>
  <c r="L534" i="1"/>
  <c r="S534" i="1" s="1"/>
  <c r="P533" i="1"/>
  <c r="O533" i="1"/>
  <c r="N533" i="1"/>
  <c r="M533" i="1"/>
  <c r="L533" i="1"/>
  <c r="S533" i="1" s="1"/>
  <c r="P532" i="1"/>
  <c r="O532" i="1"/>
  <c r="N532" i="1"/>
  <c r="M532" i="1"/>
  <c r="L532" i="1"/>
  <c r="S532" i="1" s="1"/>
  <c r="P531" i="1"/>
  <c r="O531" i="1"/>
  <c r="N531" i="1"/>
  <c r="M531" i="1"/>
  <c r="L531" i="1"/>
  <c r="S531" i="1" s="1"/>
  <c r="P530" i="1"/>
  <c r="O530" i="1"/>
  <c r="N530" i="1"/>
  <c r="M530" i="1"/>
  <c r="L530" i="1"/>
  <c r="S530" i="1" s="1"/>
  <c r="P529" i="1"/>
  <c r="O529" i="1"/>
  <c r="N529" i="1"/>
  <c r="M529" i="1"/>
  <c r="L529" i="1"/>
  <c r="S529" i="1" s="1"/>
  <c r="P528" i="1"/>
  <c r="O528" i="1"/>
  <c r="N528" i="1"/>
  <c r="M528" i="1"/>
  <c r="L528" i="1"/>
  <c r="S528" i="1" s="1"/>
  <c r="P527" i="1"/>
  <c r="O527" i="1"/>
  <c r="N527" i="1"/>
  <c r="M527" i="1"/>
  <c r="L527" i="1"/>
  <c r="S527" i="1" s="1"/>
  <c r="P526" i="1"/>
  <c r="O526" i="1"/>
  <c r="N526" i="1"/>
  <c r="M526" i="1"/>
  <c r="L526" i="1"/>
  <c r="S526" i="1" s="1"/>
  <c r="P525" i="1"/>
  <c r="O525" i="1"/>
  <c r="N525" i="1"/>
  <c r="M525" i="1"/>
  <c r="L525" i="1"/>
  <c r="S525" i="1" s="1"/>
  <c r="P524" i="1"/>
  <c r="O524" i="1"/>
  <c r="N524" i="1"/>
  <c r="M524" i="1"/>
  <c r="L524" i="1"/>
  <c r="S524" i="1" s="1"/>
  <c r="P523" i="1"/>
  <c r="O523" i="1"/>
  <c r="N523" i="1"/>
  <c r="M523" i="1"/>
  <c r="L523" i="1"/>
  <c r="S523" i="1" s="1"/>
  <c r="P522" i="1"/>
  <c r="O522" i="1"/>
  <c r="N522" i="1"/>
  <c r="M522" i="1"/>
  <c r="L522" i="1"/>
  <c r="S522" i="1" s="1"/>
  <c r="P521" i="1"/>
  <c r="O521" i="1"/>
  <c r="N521" i="1"/>
  <c r="M521" i="1"/>
  <c r="L521" i="1"/>
  <c r="S521" i="1" s="1"/>
  <c r="P520" i="1"/>
  <c r="O520" i="1"/>
  <c r="N520" i="1"/>
  <c r="M520" i="1"/>
  <c r="L520" i="1"/>
  <c r="S520" i="1" s="1"/>
  <c r="P519" i="1"/>
  <c r="O519" i="1"/>
  <c r="N519" i="1"/>
  <c r="M519" i="1"/>
  <c r="L519" i="1"/>
  <c r="S519" i="1" s="1"/>
  <c r="P518" i="1"/>
  <c r="O518" i="1"/>
  <c r="N518" i="1"/>
  <c r="M518" i="1"/>
  <c r="L518" i="1"/>
  <c r="S518" i="1" s="1"/>
  <c r="P517" i="1"/>
  <c r="O517" i="1"/>
  <c r="N517" i="1"/>
  <c r="M517" i="1"/>
  <c r="L517" i="1"/>
  <c r="S517" i="1" s="1"/>
  <c r="P516" i="1"/>
  <c r="O516" i="1"/>
  <c r="N516" i="1"/>
  <c r="M516" i="1"/>
  <c r="L516" i="1"/>
  <c r="S516" i="1" s="1"/>
  <c r="P515" i="1"/>
  <c r="O515" i="1"/>
  <c r="N515" i="1"/>
  <c r="M515" i="1"/>
  <c r="L515" i="1"/>
  <c r="S515" i="1" s="1"/>
  <c r="P514" i="1"/>
  <c r="O514" i="1"/>
  <c r="N514" i="1"/>
  <c r="M514" i="1"/>
  <c r="L514" i="1"/>
  <c r="S514" i="1" s="1"/>
  <c r="P513" i="1"/>
  <c r="O513" i="1"/>
  <c r="N513" i="1"/>
  <c r="M513" i="1"/>
  <c r="L513" i="1"/>
  <c r="S513" i="1" s="1"/>
  <c r="P512" i="1"/>
  <c r="O512" i="1"/>
  <c r="N512" i="1"/>
  <c r="M512" i="1"/>
  <c r="L512" i="1"/>
  <c r="S512" i="1" s="1"/>
  <c r="P511" i="1"/>
  <c r="O511" i="1"/>
  <c r="N511" i="1"/>
  <c r="M511" i="1"/>
  <c r="L511" i="1"/>
  <c r="S511" i="1" s="1"/>
  <c r="P510" i="1"/>
  <c r="O510" i="1"/>
  <c r="N510" i="1"/>
  <c r="M510" i="1"/>
  <c r="L510" i="1"/>
  <c r="S510" i="1" s="1"/>
  <c r="P509" i="1"/>
  <c r="O509" i="1"/>
  <c r="N509" i="1"/>
  <c r="M509" i="1"/>
  <c r="L509" i="1"/>
  <c r="S509" i="1" s="1"/>
  <c r="P508" i="1"/>
  <c r="O508" i="1"/>
  <c r="N508" i="1"/>
  <c r="M508" i="1"/>
  <c r="L508" i="1"/>
  <c r="S508" i="1" s="1"/>
  <c r="P507" i="1"/>
  <c r="O507" i="1"/>
  <c r="N507" i="1"/>
  <c r="M507" i="1"/>
  <c r="L507" i="1"/>
  <c r="S507" i="1" s="1"/>
  <c r="P506" i="1"/>
  <c r="O506" i="1"/>
  <c r="N506" i="1"/>
  <c r="M506" i="1"/>
  <c r="L506" i="1"/>
  <c r="S506" i="1" s="1"/>
  <c r="P505" i="1"/>
  <c r="O505" i="1"/>
  <c r="N505" i="1"/>
  <c r="M505" i="1"/>
  <c r="L505" i="1"/>
  <c r="S505" i="1" s="1"/>
  <c r="P504" i="1"/>
  <c r="O504" i="1"/>
  <c r="N504" i="1"/>
  <c r="M504" i="1"/>
  <c r="L504" i="1"/>
  <c r="S504" i="1" s="1"/>
  <c r="P503" i="1"/>
  <c r="O503" i="1"/>
  <c r="N503" i="1"/>
  <c r="M503" i="1"/>
  <c r="L503" i="1"/>
  <c r="S503" i="1" s="1"/>
  <c r="P502" i="1"/>
  <c r="O502" i="1"/>
  <c r="N502" i="1"/>
  <c r="M502" i="1"/>
  <c r="L502" i="1"/>
  <c r="S502" i="1" s="1"/>
  <c r="P501" i="1"/>
  <c r="O501" i="1"/>
  <c r="N501" i="1"/>
  <c r="M501" i="1"/>
  <c r="L501" i="1"/>
  <c r="S501" i="1" s="1"/>
  <c r="P500" i="1"/>
  <c r="O500" i="1"/>
  <c r="N500" i="1"/>
  <c r="M500" i="1"/>
  <c r="L500" i="1"/>
  <c r="S500" i="1" s="1"/>
  <c r="P499" i="1"/>
  <c r="O499" i="1"/>
  <c r="N499" i="1"/>
  <c r="M499" i="1"/>
  <c r="L499" i="1"/>
  <c r="S499" i="1" s="1"/>
  <c r="P498" i="1"/>
  <c r="O498" i="1"/>
  <c r="N498" i="1"/>
  <c r="M498" i="1"/>
  <c r="L498" i="1"/>
  <c r="S498" i="1" s="1"/>
  <c r="P497" i="1"/>
  <c r="O497" i="1"/>
  <c r="N497" i="1"/>
  <c r="M497" i="1"/>
  <c r="L497" i="1"/>
  <c r="S497" i="1" s="1"/>
  <c r="P496" i="1"/>
  <c r="O496" i="1"/>
  <c r="N496" i="1"/>
  <c r="M496" i="1"/>
  <c r="L496" i="1"/>
  <c r="S496" i="1" s="1"/>
  <c r="P495" i="1"/>
  <c r="O495" i="1"/>
  <c r="N495" i="1"/>
  <c r="M495" i="1"/>
  <c r="L495" i="1"/>
  <c r="S495" i="1" s="1"/>
  <c r="P494" i="1"/>
  <c r="O494" i="1"/>
  <c r="N494" i="1"/>
  <c r="M494" i="1"/>
  <c r="L494" i="1"/>
  <c r="S494" i="1" s="1"/>
  <c r="P493" i="1"/>
  <c r="O493" i="1"/>
  <c r="N493" i="1"/>
  <c r="M493" i="1"/>
  <c r="L493" i="1"/>
  <c r="S493" i="1" s="1"/>
  <c r="P492" i="1"/>
  <c r="O492" i="1"/>
  <c r="N492" i="1"/>
  <c r="M492" i="1"/>
  <c r="L492" i="1"/>
  <c r="S492" i="1" s="1"/>
  <c r="P491" i="1"/>
  <c r="O491" i="1"/>
  <c r="N491" i="1"/>
  <c r="M491" i="1"/>
  <c r="L491" i="1"/>
  <c r="S491" i="1" s="1"/>
  <c r="P490" i="1"/>
  <c r="O490" i="1"/>
  <c r="N490" i="1"/>
  <c r="M490" i="1"/>
  <c r="L490" i="1"/>
  <c r="S490" i="1" s="1"/>
  <c r="P489" i="1"/>
  <c r="O489" i="1"/>
  <c r="N489" i="1"/>
  <c r="M489" i="1"/>
  <c r="L489" i="1"/>
  <c r="S489" i="1" s="1"/>
  <c r="P488" i="1"/>
  <c r="O488" i="1"/>
  <c r="N488" i="1"/>
  <c r="M488" i="1"/>
  <c r="L488" i="1"/>
  <c r="S488" i="1" s="1"/>
  <c r="P836" i="1"/>
  <c r="O836" i="1"/>
  <c r="N836" i="1"/>
  <c r="M836" i="1"/>
  <c r="L836" i="1"/>
  <c r="S836" i="1" s="1"/>
  <c r="P486" i="1"/>
  <c r="O486" i="1"/>
  <c r="N486" i="1"/>
  <c r="M486" i="1"/>
  <c r="L486" i="1"/>
  <c r="S486" i="1" s="1"/>
  <c r="P485" i="1"/>
  <c r="O485" i="1"/>
  <c r="N485" i="1"/>
  <c r="M485" i="1"/>
  <c r="L485" i="1"/>
  <c r="S485" i="1" s="1"/>
  <c r="P484" i="1"/>
  <c r="O484" i="1"/>
  <c r="N484" i="1"/>
  <c r="M484" i="1"/>
  <c r="L484" i="1"/>
  <c r="S484" i="1" s="1"/>
  <c r="P835" i="1"/>
  <c r="O835" i="1"/>
  <c r="N835" i="1"/>
  <c r="M835" i="1"/>
  <c r="L835" i="1"/>
  <c r="S835" i="1" s="1"/>
  <c r="P482" i="1"/>
  <c r="O482" i="1"/>
  <c r="N482" i="1"/>
  <c r="M482" i="1"/>
  <c r="L482" i="1"/>
  <c r="S482" i="1" s="1"/>
  <c r="P481" i="1"/>
  <c r="O481" i="1"/>
  <c r="N481" i="1"/>
  <c r="M481" i="1"/>
  <c r="L481" i="1"/>
  <c r="S481" i="1" s="1"/>
  <c r="P480" i="1"/>
  <c r="O480" i="1"/>
  <c r="N480" i="1"/>
  <c r="M480" i="1"/>
  <c r="L480" i="1"/>
  <c r="S480" i="1" s="1"/>
  <c r="P479" i="1"/>
  <c r="O479" i="1"/>
  <c r="N479" i="1"/>
  <c r="M479" i="1"/>
  <c r="L479" i="1"/>
  <c r="S479" i="1" s="1"/>
  <c r="P478" i="1"/>
  <c r="O478" i="1"/>
  <c r="N478" i="1"/>
  <c r="M478" i="1"/>
  <c r="L478" i="1"/>
  <c r="S478" i="1" s="1"/>
  <c r="P477" i="1"/>
  <c r="O477" i="1"/>
  <c r="N477" i="1"/>
  <c r="M477" i="1"/>
  <c r="L477" i="1"/>
  <c r="S477" i="1" s="1"/>
  <c r="P476" i="1"/>
  <c r="O476" i="1"/>
  <c r="N476" i="1"/>
  <c r="M476" i="1"/>
  <c r="L476" i="1"/>
  <c r="S476" i="1" s="1"/>
  <c r="P475" i="1"/>
  <c r="O475" i="1"/>
  <c r="N475" i="1"/>
  <c r="M475" i="1"/>
  <c r="L475" i="1"/>
  <c r="S475" i="1" s="1"/>
  <c r="P474" i="1"/>
  <c r="O474" i="1"/>
  <c r="N474" i="1"/>
  <c r="M474" i="1"/>
  <c r="L474" i="1"/>
  <c r="S474" i="1" s="1"/>
  <c r="P473" i="1"/>
  <c r="O473" i="1"/>
  <c r="N473" i="1"/>
  <c r="M473" i="1"/>
  <c r="L473" i="1"/>
  <c r="S473" i="1" s="1"/>
  <c r="P472" i="1"/>
  <c r="O472" i="1"/>
  <c r="N472" i="1"/>
  <c r="M472" i="1"/>
  <c r="L472" i="1"/>
  <c r="S472" i="1" s="1"/>
  <c r="P471" i="1"/>
  <c r="O471" i="1"/>
  <c r="N471" i="1"/>
  <c r="M471" i="1"/>
  <c r="L471" i="1"/>
  <c r="S471" i="1" s="1"/>
  <c r="P470" i="1"/>
  <c r="O470" i="1"/>
  <c r="N470" i="1"/>
  <c r="M470" i="1"/>
  <c r="L470" i="1"/>
  <c r="S470" i="1" s="1"/>
  <c r="P469" i="1"/>
  <c r="O469" i="1"/>
  <c r="N469" i="1"/>
  <c r="M469" i="1"/>
  <c r="L469" i="1"/>
  <c r="S469" i="1" s="1"/>
  <c r="P468" i="1"/>
  <c r="O468" i="1"/>
  <c r="N468" i="1"/>
  <c r="M468" i="1"/>
  <c r="L468" i="1"/>
  <c r="S468" i="1" s="1"/>
  <c r="P467" i="1"/>
  <c r="O467" i="1"/>
  <c r="N467" i="1"/>
  <c r="M467" i="1"/>
  <c r="L467" i="1"/>
  <c r="S467" i="1" s="1"/>
  <c r="P466" i="1"/>
  <c r="O466" i="1"/>
  <c r="N466" i="1"/>
  <c r="M466" i="1"/>
  <c r="L466" i="1"/>
  <c r="S466" i="1" s="1"/>
  <c r="P465" i="1"/>
  <c r="O465" i="1"/>
  <c r="N465" i="1"/>
  <c r="M465" i="1"/>
  <c r="L465" i="1"/>
  <c r="S465" i="1" s="1"/>
  <c r="P464" i="1"/>
  <c r="O464" i="1"/>
  <c r="N464" i="1"/>
  <c r="M464" i="1"/>
  <c r="L464" i="1"/>
  <c r="S464" i="1" s="1"/>
  <c r="P463" i="1"/>
  <c r="O463" i="1"/>
  <c r="N463" i="1"/>
  <c r="M463" i="1"/>
  <c r="L463" i="1"/>
  <c r="S463" i="1" s="1"/>
  <c r="P462" i="1"/>
  <c r="O462" i="1"/>
  <c r="N462" i="1"/>
  <c r="M462" i="1"/>
  <c r="L462" i="1"/>
  <c r="S462" i="1" s="1"/>
  <c r="P461" i="1"/>
  <c r="O461" i="1"/>
  <c r="N461" i="1"/>
  <c r="M461" i="1"/>
  <c r="L461" i="1"/>
  <c r="S461" i="1" s="1"/>
  <c r="P460" i="1"/>
  <c r="O460" i="1"/>
  <c r="N460" i="1"/>
  <c r="M460" i="1"/>
  <c r="L460" i="1"/>
  <c r="S460" i="1" s="1"/>
  <c r="P459" i="1"/>
  <c r="O459" i="1"/>
  <c r="N459" i="1"/>
  <c r="M459" i="1"/>
  <c r="L459" i="1"/>
  <c r="S459" i="1" s="1"/>
  <c r="P458" i="1"/>
  <c r="O458" i="1"/>
  <c r="N458" i="1"/>
  <c r="M458" i="1"/>
  <c r="L458" i="1"/>
  <c r="S458" i="1" s="1"/>
  <c r="P457" i="1"/>
  <c r="O457" i="1"/>
  <c r="N457" i="1"/>
  <c r="M457" i="1"/>
  <c r="L457" i="1"/>
  <c r="S457" i="1" s="1"/>
  <c r="P456" i="1"/>
  <c r="O456" i="1"/>
  <c r="N456" i="1"/>
  <c r="M456" i="1"/>
  <c r="L456" i="1"/>
  <c r="S456" i="1" s="1"/>
  <c r="P455" i="1"/>
  <c r="O455" i="1"/>
  <c r="N455" i="1"/>
  <c r="M455" i="1"/>
  <c r="L455" i="1"/>
  <c r="S455" i="1" s="1"/>
  <c r="P454" i="1"/>
  <c r="O454" i="1"/>
  <c r="N454" i="1"/>
  <c r="M454" i="1"/>
  <c r="L454" i="1"/>
  <c r="S454" i="1" s="1"/>
  <c r="P453" i="1"/>
  <c r="O453" i="1"/>
  <c r="N453" i="1"/>
  <c r="M453" i="1"/>
  <c r="L453" i="1"/>
  <c r="S453" i="1" s="1"/>
  <c r="P452" i="1"/>
  <c r="O452" i="1"/>
  <c r="N452" i="1"/>
  <c r="M452" i="1"/>
  <c r="L452" i="1"/>
  <c r="S452" i="1" s="1"/>
  <c r="P451" i="1"/>
  <c r="O451" i="1"/>
  <c r="N451" i="1"/>
  <c r="M451" i="1"/>
  <c r="L451" i="1"/>
  <c r="S451" i="1" s="1"/>
  <c r="P450" i="1"/>
  <c r="O450" i="1"/>
  <c r="N450" i="1"/>
  <c r="M450" i="1"/>
  <c r="L450" i="1"/>
  <c r="S450" i="1" s="1"/>
  <c r="P449" i="1"/>
  <c r="O449" i="1"/>
  <c r="N449" i="1"/>
  <c r="M449" i="1"/>
  <c r="L449" i="1"/>
  <c r="S449" i="1" s="1"/>
  <c r="P448" i="1"/>
  <c r="O448" i="1"/>
  <c r="N448" i="1"/>
  <c r="M448" i="1"/>
  <c r="L448" i="1"/>
  <c r="S448" i="1" s="1"/>
  <c r="P447" i="1"/>
  <c r="O447" i="1"/>
  <c r="N447" i="1"/>
  <c r="M447" i="1"/>
  <c r="L447" i="1"/>
  <c r="S447" i="1" s="1"/>
  <c r="P446" i="1"/>
  <c r="O446" i="1"/>
  <c r="N446" i="1"/>
  <c r="M446" i="1"/>
  <c r="L446" i="1"/>
  <c r="S446" i="1" s="1"/>
  <c r="P445" i="1"/>
  <c r="O445" i="1"/>
  <c r="N445" i="1"/>
  <c r="M445" i="1"/>
  <c r="L445" i="1"/>
  <c r="S445" i="1" s="1"/>
  <c r="P444" i="1"/>
  <c r="O444" i="1"/>
  <c r="N444" i="1"/>
  <c r="M444" i="1"/>
  <c r="L444" i="1"/>
  <c r="S444" i="1" s="1"/>
  <c r="P443" i="1"/>
  <c r="O443" i="1"/>
  <c r="N443" i="1"/>
  <c r="M443" i="1"/>
  <c r="L443" i="1"/>
  <c r="S443" i="1" s="1"/>
  <c r="P442" i="1"/>
  <c r="O442" i="1"/>
  <c r="N442" i="1"/>
  <c r="M442" i="1"/>
  <c r="L442" i="1"/>
  <c r="S442" i="1" s="1"/>
  <c r="P441" i="1"/>
  <c r="O441" i="1"/>
  <c r="N441" i="1"/>
  <c r="M441" i="1"/>
  <c r="L441" i="1"/>
  <c r="S441" i="1" s="1"/>
  <c r="P440" i="1"/>
  <c r="O440" i="1"/>
  <c r="N440" i="1"/>
  <c r="M440" i="1"/>
  <c r="L440" i="1"/>
  <c r="S440" i="1" s="1"/>
  <c r="P439" i="1"/>
  <c r="O439" i="1"/>
  <c r="N439" i="1"/>
  <c r="M439" i="1"/>
  <c r="L439" i="1"/>
  <c r="S439" i="1" s="1"/>
  <c r="P438" i="1"/>
  <c r="O438" i="1"/>
  <c r="N438" i="1"/>
  <c r="M438" i="1"/>
  <c r="L438" i="1"/>
  <c r="S438" i="1" s="1"/>
  <c r="P437" i="1"/>
  <c r="O437" i="1"/>
  <c r="N437" i="1"/>
  <c r="M437" i="1"/>
  <c r="L437" i="1"/>
  <c r="S437" i="1" s="1"/>
  <c r="P436" i="1"/>
  <c r="O436" i="1"/>
  <c r="N436" i="1"/>
  <c r="M436" i="1"/>
  <c r="L436" i="1"/>
  <c r="S436" i="1" s="1"/>
  <c r="P435" i="1"/>
  <c r="O435" i="1"/>
  <c r="N435" i="1"/>
  <c r="M435" i="1"/>
  <c r="L435" i="1"/>
  <c r="S435" i="1" s="1"/>
  <c r="P434" i="1"/>
  <c r="O434" i="1"/>
  <c r="N434" i="1"/>
  <c r="M434" i="1"/>
  <c r="L434" i="1"/>
  <c r="S434" i="1" s="1"/>
  <c r="P433" i="1"/>
  <c r="O433" i="1"/>
  <c r="N433" i="1"/>
  <c r="M433" i="1"/>
  <c r="L433" i="1"/>
  <c r="S433" i="1" s="1"/>
  <c r="P432" i="1"/>
  <c r="O432" i="1"/>
  <c r="N432" i="1"/>
  <c r="M432" i="1"/>
  <c r="L432" i="1"/>
  <c r="S432" i="1" s="1"/>
  <c r="P431" i="1"/>
  <c r="O431" i="1"/>
  <c r="N431" i="1"/>
  <c r="M431" i="1"/>
  <c r="L431" i="1"/>
  <c r="S431" i="1" s="1"/>
  <c r="P430" i="1"/>
  <c r="O430" i="1"/>
  <c r="N430" i="1"/>
  <c r="M430" i="1"/>
  <c r="L430" i="1"/>
  <c r="S430" i="1" s="1"/>
  <c r="P429" i="1"/>
  <c r="O429" i="1"/>
  <c r="N429" i="1"/>
  <c r="M429" i="1"/>
  <c r="L429" i="1"/>
  <c r="S429" i="1" s="1"/>
  <c r="P428" i="1"/>
  <c r="O428" i="1"/>
  <c r="N428" i="1"/>
  <c r="M428" i="1"/>
  <c r="L428" i="1"/>
  <c r="S428" i="1" s="1"/>
  <c r="P427" i="1"/>
  <c r="O427" i="1"/>
  <c r="N427" i="1"/>
  <c r="M427" i="1"/>
  <c r="L427" i="1"/>
  <c r="S427" i="1" s="1"/>
  <c r="P426" i="1"/>
  <c r="O426" i="1"/>
  <c r="N426" i="1"/>
  <c r="M426" i="1"/>
  <c r="L426" i="1"/>
  <c r="S426" i="1" s="1"/>
  <c r="P425" i="1"/>
  <c r="O425" i="1"/>
  <c r="N425" i="1"/>
  <c r="M425" i="1"/>
  <c r="L425" i="1"/>
  <c r="S425" i="1" s="1"/>
  <c r="P424" i="1"/>
  <c r="O424" i="1"/>
  <c r="N424" i="1"/>
  <c r="M424" i="1"/>
  <c r="L424" i="1"/>
  <c r="S424" i="1" s="1"/>
  <c r="P423" i="1"/>
  <c r="O423" i="1"/>
  <c r="N423" i="1"/>
  <c r="M423" i="1"/>
  <c r="L423" i="1"/>
  <c r="S423" i="1" s="1"/>
  <c r="P422" i="1"/>
  <c r="O422" i="1"/>
  <c r="N422" i="1"/>
  <c r="M422" i="1"/>
  <c r="L422" i="1"/>
  <c r="S422" i="1" s="1"/>
  <c r="P421" i="1"/>
  <c r="O421" i="1"/>
  <c r="N421" i="1"/>
  <c r="M421" i="1"/>
  <c r="L421" i="1"/>
  <c r="S421" i="1" s="1"/>
  <c r="P420" i="1"/>
  <c r="O420" i="1"/>
  <c r="N420" i="1"/>
  <c r="M420" i="1"/>
  <c r="L420" i="1"/>
  <c r="S420" i="1" s="1"/>
  <c r="P419" i="1"/>
  <c r="O419" i="1"/>
  <c r="N419" i="1"/>
  <c r="M419" i="1"/>
  <c r="L419" i="1"/>
  <c r="S419" i="1" s="1"/>
  <c r="P418" i="1"/>
  <c r="O418" i="1"/>
  <c r="N418" i="1"/>
  <c r="M418" i="1"/>
  <c r="L418" i="1"/>
  <c r="S418" i="1" s="1"/>
  <c r="P417" i="1"/>
  <c r="O417" i="1"/>
  <c r="N417" i="1"/>
  <c r="M417" i="1"/>
  <c r="L417" i="1"/>
  <c r="S417" i="1" s="1"/>
  <c r="P416" i="1"/>
  <c r="O416" i="1"/>
  <c r="N416" i="1"/>
  <c r="M416" i="1"/>
  <c r="L416" i="1"/>
  <c r="S416" i="1" s="1"/>
  <c r="P415" i="1"/>
  <c r="O415" i="1"/>
  <c r="N415" i="1"/>
  <c r="M415" i="1"/>
  <c r="L415" i="1"/>
  <c r="S415" i="1" s="1"/>
  <c r="P414" i="1"/>
  <c r="O414" i="1"/>
  <c r="N414" i="1"/>
  <c r="M414" i="1"/>
  <c r="L414" i="1"/>
  <c r="S414" i="1" s="1"/>
  <c r="P413" i="1"/>
  <c r="O413" i="1"/>
  <c r="N413" i="1"/>
  <c r="M413" i="1"/>
  <c r="L413" i="1"/>
  <c r="S413" i="1" s="1"/>
  <c r="P412" i="1"/>
  <c r="O412" i="1"/>
  <c r="N412" i="1"/>
  <c r="M412" i="1"/>
  <c r="L412" i="1"/>
  <c r="S412" i="1" s="1"/>
  <c r="P411" i="1"/>
  <c r="O411" i="1"/>
  <c r="N411" i="1"/>
  <c r="M411" i="1"/>
  <c r="L411" i="1"/>
  <c r="S411" i="1" s="1"/>
  <c r="P410" i="1"/>
  <c r="O410" i="1"/>
  <c r="N410" i="1"/>
  <c r="M410" i="1"/>
  <c r="L410" i="1"/>
  <c r="S410" i="1" s="1"/>
  <c r="P409" i="1"/>
  <c r="O409" i="1"/>
  <c r="N409" i="1"/>
  <c r="M409" i="1"/>
  <c r="L409" i="1"/>
  <c r="S409" i="1" s="1"/>
  <c r="P408" i="1"/>
  <c r="O408" i="1"/>
  <c r="N408" i="1"/>
  <c r="M408" i="1"/>
  <c r="L408" i="1"/>
  <c r="S408" i="1" s="1"/>
  <c r="P407" i="1"/>
  <c r="O407" i="1"/>
  <c r="N407" i="1"/>
  <c r="M407" i="1"/>
  <c r="L407" i="1"/>
  <c r="S407" i="1" s="1"/>
  <c r="P406" i="1"/>
  <c r="O406" i="1"/>
  <c r="N406" i="1"/>
  <c r="M406" i="1"/>
  <c r="L406" i="1"/>
  <c r="S406" i="1" s="1"/>
  <c r="P405" i="1"/>
  <c r="O405" i="1"/>
  <c r="N405" i="1"/>
  <c r="M405" i="1"/>
  <c r="L405" i="1"/>
  <c r="S405" i="1" s="1"/>
  <c r="P404" i="1"/>
  <c r="O404" i="1"/>
  <c r="N404" i="1"/>
  <c r="M404" i="1"/>
  <c r="L404" i="1"/>
  <c r="S404" i="1" s="1"/>
  <c r="P403" i="1"/>
  <c r="O403" i="1"/>
  <c r="N403" i="1"/>
  <c r="M403" i="1"/>
  <c r="L403" i="1"/>
  <c r="S403" i="1" s="1"/>
  <c r="P402" i="1"/>
  <c r="O402" i="1"/>
  <c r="N402" i="1"/>
  <c r="M402" i="1"/>
  <c r="L402" i="1"/>
  <c r="S402" i="1" s="1"/>
  <c r="P401" i="1"/>
  <c r="O401" i="1"/>
  <c r="N401" i="1"/>
  <c r="M401" i="1"/>
  <c r="L401" i="1"/>
  <c r="S401" i="1" s="1"/>
  <c r="P400" i="1"/>
  <c r="O400" i="1"/>
  <c r="N400" i="1"/>
  <c r="M400" i="1"/>
  <c r="L400" i="1"/>
  <c r="S400" i="1" s="1"/>
  <c r="P399" i="1"/>
  <c r="O399" i="1"/>
  <c r="N399" i="1"/>
  <c r="M399" i="1"/>
  <c r="L399" i="1"/>
  <c r="S399" i="1" s="1"/>
  <c r="P398" i="1"/>
  <c r="O398" i="1"/>
  <c r="N398" i="1"/>
  <c r="M398" i="1"/>
  <c r="L398" i="1"/>
  <c r="S398" i="1" s="1"/>
  <c r="P397" i="1"/>
  <c r="O397" i="1"/>
  <c r="N397" i="1"/>
  <c r="M397" i="1"/>
  <c r="L397" i="1"/>
  <c r="S397" i="1" s="1"/>
  <c r="P396" i="1"/>
  <c r="O396" i="1"/>
  <c r="N396" i="1"/>
  <c r="M396" i="1"/>
  <c r="L396" i="1"/>
  <c r="S396" i="1" s="1"/>
  <c r="P395" i="1"/>
  <c r="O395" i="1"/>
  <c r="N395" i="1"/>
  <c r="M395" i="1"/>
  <c r="L395" i="1"/>
  <c r="S395" i="1" s="1"/>
  <c r="P394" i="1"/>
  <c r="O394" i="1"/>
  <c r="N394" i="1"/>
  <c r="M394" i="1"/>
  <c r="L394" i="1"/>
  <c r="S394" i="1" s="1"/>
  <c r="P393" i="1"/>
  <c r="O393" i="1"/>
  <c r="N393" i="1"/>
  <c r="M393" i="1"/>
  <c r="L393" i="1"/>
  <c r="S393" i="1" s="1"/>
  <c r="P392" i="1"/>
  <c r="O392" i="1"/>
  <c r="N392" i="1"/>
  <c r="M392" i="1"/>
  <c r="L392" i="1"/>
  <c r="S392" i="1" s="1"/>
  <c r="P391" i="1"/>
  <c r="O391" i="1"/>
  <c r="N391" i="1"/>
  <c r="M391" i="1"/>
  <c r="L391" i="1"/>
  <c r="S391" i="1" s="1"/>
  <c r="P390" i="1"/>
  <c r="O390" i="1"/>
  <c r="N390" i="1"/>
  <c r="M390" i="1"/>
  <c r="L390" i="1"/>
  <c r="S390" i="1" s="1"/>
  <c r="P389" i="1"/>
  <c r="O389" i="1"/>
  <c r="N389" i="1"/>
  <c r="M389" i="1"/>
  <c r="L389" i="1"/>
  <c r="S389" i="1" s="1"/>
  <c r="P388" i="1"/>
  <c r="O388" i="1"/>
  <c r="N388" i="1"/>
  <c r="M388" i="1"/>
  <c r="L388" i="1"/>
  <c r="S388" i="1" s="1"/>
  <c r="P387" i="1"/>
  <c r="O387" i="1"/>
  <c r="N387" i="1"/>
  <c r="M387" i="1"/>
  <c r="L387" i="1"/>
  <c r="S387" i="1" s="1"/>
  <c r="P386" i="1"/>
  <c r="O386" i="1"/>
  <c r="N386" i="1"/>
  <c r="M386" i="1"/>
  <c r="L386" i="1"/>
  <c r="S386" i="1" s="1"/>
  <c r="P385" i="1"/>
  <c r="O385" i="1"/>
  <c r="N385" i="1"/>
  <c r="M385" i="1"/>
  <c r="L385" i="1"/>
  <c r="S385" i="1" s="1"/>
  <c r="P384" i="1"/>
  <c r="O384" i="1"/>
  <c r="N384" i="1"/>
  <c r="M384" i="1"/>
  <c r="L384" i="1"/>
  <c r="S384" i="1" s="1"/>
  <c r="P383" i="1"/>
  <c r="O383" i="1"/>
  <c r="N383" i="1"/>
  <c r="M383" i="1"/>
  <c r="L383" i="1"/>
  <c r="S383" i="1" s="1"/>
  <c r="P382" i="1"/>
  <c r="O382" i="1"/>
  <c r="N382" i="1"/>
  <c r="M382" i="1"/>
  <c r="L382" i="1"/>
  <c r="S382" i="1" s="1"/>
  <c r="P381" i="1"/>
  <c r="O381" i="1"/>
  <c r="N381" i="1"/>
  <c r="M381" i="1"/>
  <c r="L381" i="1"/>
  <c r="S381" i="1" s="1"/>
  <c r="P380" i="1"/>
  <c r="O380" i="1"/>
  <c r="N380" i="1"/>
  <c r="M380" i="1"/>
  <c r="L380" i="1"/>
  <c r="S380" i="1" s="1"/>
  <c r="P379" i="1"/>
  <c r="O379" i="1"/>
  <c r="N379" i="1"/>
  <c r="M379" i="1"/>
  <c r="L379" i="1"/>
  <c r="S379" i="1" s="1"/>
  <c r="P378" i="1"/>
  <c r="O378" i="1"/>
  <c r="N378" i="1"/>
  <c r="M378" i="1"/>
  <c r="L378" i="1"/>
  <c r="S378" i="1" s="1"/>
  <c r="P377" i="1"/>
  <c r="O377" i="1"/>
  <c r="N377" i="1"/>
  <c r="M377" i="1"/>
  <c r="L377" i="1"/>
  <c r="S377" i="1" s="1"/>
  <c r="P376" i="1"/>
  <c r="O376" i="1"/>
  <c r="N376" i="1"/>
  <c r="M376" i="1"/>
  <c r="L376" i="1"/>
  <c r="S376" i="1" s="1"/>
  <c r="P375" i="1"/>
  <c r="O375" i="1"/>
  <c r="N375" i="1"/>
  <c r="M375" i="1"/>
  <c r="L375" i="1"/>
  <c r="S375" i="1" s="1"/>
  <c r="P374" i="1"/>
  <c r="O374" i="1"/>
  <c r="N374" i="1"/>
  <c r="M374" i="1"/>
  <c r="L374" i="1"/>
  <c r="S374" i="1" s="1"/>
  <c r="P373" i="1"/>
  <c r="O373" i="1"/>
  <c r="N373" i="1"/>
  <c r="M373" i="1"/>
  <c r="L373" i="1"/>
  <c r="S373" i="1" s="1"/>
  <c r="P372" i="1"/>
  <c r="O372" i="1"/>
  <c r="N372" i="1"/>
  <c r="M372" i="1"/>
  <c r="L372" i="1"/>
  <c r="S372" i="1" s="1"/>
  <c r="P371" i="1"/>
  <c r="O371" i="1"/>
  <c r="N371" i="1"/>
  <c r="M371" i="1"/>
  <c r="L371" i="1"/>
  <c r="S371" i="1" s="1"/>
  <c r="P370" i="1"/>
  <c r="O370" i="1"/>
  <c r="N370" i="1"/>
  <c r="M370" i="1"/>
  <c r="L370" i="1"/>
  <c r="S370" i="1" s="1"/>
  <c r="P369" i="1"/>
  <c r="O369" i="1"/>
  <c r="N369" i="1"/>
  <c r="M369" i="1"/>
  <c r="L369" i="1"/>
  <c r="S369" i="1" s="1"/>
  <c r="P368" i="1"/>
  <c r="O368" i="1"/>
  <c r="N368" i="1"/>
  <c r="M368" i="1"/>
  <c r="L368" i="1"/>
  <c r="S368" i="1" s="1"/>
  <c r="P367" i="1"/>
  <c r="O367" i="1"/>
  <c r="N367" i="1"/>
  <c r="M367" i="1"/>
  <c r="L367" i="1"/>
  <c r="S367" i="1" s="1"/>
  <c r="P366" i="1"/>
  <c r="O366" i="1"/>
  <c r="N366" i="1"/>
  <c r="M366" i="1"/>
  <c r="L366" i="1"/>
  <c r="S366" i="1" s="1"/>
  <c r="P365" i="1"/>
  <c r="O365" i="1"/>
  <c r="N365" i="1"/>
  <c r="M365" i="1"/>
  <c r="L365" i="1"/>
  <c r="S365" i="1" s="1"/>
  <c r="P364" i="1"/>
  <c r="O364" i="1"/>
  <c r="N364" i="1"/>
  <c r="M364" i="1"/>
  <c r="L364" i="1"/>
  <c r="S364" i="1" s="1"/>
  <c r="P363" i="1"/>
  <c r="O363" i="1"/>
  <c r="N363" i="1"/>
  <c r="M363" i="1"/>
  <c r="L363" i="1"/>
  <c r="S363" i="1" s="1"/>
  <c r="P834" i="1"/>
  <c r="O834" i="1"/>
  <c r="N834" i="1"/>
  <c r="M834" i="1"/>
  <c r="L834" i="1"/>
  <c r="S834" i="1" s="1"/>
  <c r="P833" i="1"/>
  <c r="O833" i="1"/>
  <c r="N833" i="1"/>
  <c r="M833" i="1"/>
  <c r="L833" i="1"/>
  <c r="S833" i="1" s="1"/>
  <c r="P35" i="1"/>
  <c r="O35" i="1"/>
  <c r="N35" i="1"/>
  <c r="M35" i="1"/>
  <c r="L35" i="1"/>
  <c r="S35" i="1" s="1"/>
  <c r="P673" i="1"/>
  <c r="O673" i="1"/>
  <c r="N673" i="1"/>
  <c r="M673" i="1"/>
  <c r="L673" i="1"/>
  <c r="S673" i="1" s="1"/>
  <c r="P832" i="1"/>
  <c r="O832" i="1"/>
  <c r="N832" i="1"/>
  <c r="M832" i="1"/>
  <c r="L832" i="1"/>
  <c r="S832" i="1" s="1"/>
  <c r="P831" i="1"/>
  <c r="O831" i="1"/>
  <c r="N831" i="1"/>
  <c r="M831" i="1"/>
  <c r="L831" i="1"/>
  <c r="S831" i="1" s="1"/>
  <c r="P33" i="1"/>
  <c r="O33" i="1"/>
  <c r="N33" i="1"/>
  <c r="M33" i="1"/>
  <c r="L33" i="1"/>
  <c r="S33" i="1" s="1"/>
  <c r="P781" i="1"/>
  <c r="O781" i="1"/>
  <c r="N781" i="1"/>
  <c r="M781" i="1"/>
  <c r="L781" i="1"/>
  <c r="S781" i="1" s="1"/>
  <c r="P354" i="1"/>
  <c r="O354" i="1"/>
  <c r="N354" i="1"/>
  <c r="M354" i="1"/>
  <c r="L354" i="1"/>
  <c r="S354" i="1" s="1"/>
  <c r="P780" i="1"/>
  <c r="O780" i="1"/>
  <c r="N780" i="1"/>
  <c r="M780" i="1"/>
  <c r="L780" i="1"/>
  <c r="S780" i="1" s="1"/>
  <c r="P672" i="1"/>
  <c r="O672" i="1"/>
  <c r="N672" i="1"/>
  <c r="M672" i="1"/>
  <c r="L672" i="1"/>
  <c r="S672" i="1" s="1"/>
  <c r="P29" i="1"/>
  <c r="O29" i="1"/>
  <c r="N29" i="1"/>
  <c r="M29" i="1"/>
  <c r="L29" i="1"/>
  <c r="S29" i="1" s="1"/>
  <c r="P671" i="1"/>
  <c r="O671" i="1"/>
  <c r="N671" i="1"/>
  <c r="M671" i="1"/>
  <c r="L671" i="1"/>
  <c r="S671" i="1" s="1"/>
  <c r="P779" i="1"/>
  <c r="O779" i="1"/>
  <c r="N779" i="1"/>
  <c r="M779" i="1"/>
  <c r="L779" i="1"/>
  <c r="S779" i="1" s="1"/>
  <c r="P3" i="1"/>
  <c r="O3" i="1"/>
  <c r="N3" i="1"/>
  <c r="M3" i="1"/>
  <c r="L3" i="1"/>
  <c r="S3" i="1" s="1"/>
  <c r="P778" i="1"/>
  <c r="O778" i="1"/>
  <c r="N778" i="1"/>
  <c r="M778" i="1"/>
  <c r="L778" i="1"/>
  <c r="S778" i="1" s="1"/>
  <c r="P777" i="1"/>
  <c r="O777" i="1"/>
  <c r="N777" i="1"/>
  <c r="M777" i="1"/>
  <c r="L777" i="1"/>
  <c r="S777" i="1" s="1"/>
  <c r="P670" i="1"/>
  <c r="O670" i="1"/>
  <c r="N670" i="1"/>
  <c r="M670" i="1"/>
  <c r="L670" i="1"/>
  <c r="S670" i="1" s="1"/>
  <c r="P344" i="1"/>
  <c r="O344" i="1"/>
  <c r="N344" i="1"/>
  <c r="M344" i="1"/>
  <c r="L344" i="1"/>
  <c r="S344" i="1" s="1"/>
  <c r="P343" i="1"/>
  <c r="O343" i="1"/>
  <c r="N343" i="1"/>
  <c r="M343" i="1"/>
  <c r="L343" i="1"/>
  <c r="S343" i="1" s="1"/>
  <c r="P342" i="1"/>
  <c r="O342" i="1"/>
  <c r="N342" i="1"/>
  <c r="M342" i="1"/>
  <c r="L342" i="1"/>
  <c r="S342" i="1" s="1"/>
  <c r="P341" i="1"/>
  <c r="O341" i="1"/>
  <c r="N341" i="1"/>
  <c r="M341" i="1"/>
  <c r="L341" i="1"/>
  <c r="S341" i="1" s="1"/>
  <c r="P340" i="1"/>
  <c r="O340" i="1"/>
  <c r="N340" i="1"/>
  <c r="M340" i="1"/>
  <c r="L340" i="1"/>
  <c r="S340" i="1" s="1"/>
  <c r="P339" i="1"/>
  <c r="O339" i="1"/>
  <c r="N339" i="1"/>
  <c r="M339" i="1"/>
  <c r="L339" i="1"/>
  <c r="S339" i="1" s="1"/>
  <c r="P338" i="1"/>
  <c r="O338" i="1"/>
  <c r="N338" i="1"/>
  <c r="M338" i="1"/>
  <c r="L338" i="1"/>
  <c r="S338" i="1" s="1"/>
  <c r="P337" i="1"/>
  <c r="O337" i="1"/>
  <c r="N337" i="1"/>
  <c r="M337" i="1"/>
  <c r="L337" i="1"/>
  <c r="S337" i="1" s="1"/>
  <c r="P336" i="1"/>
  <c r="O336" i="1"/>
  <c r="N336" i="1"/>
  <c r="M336" i="1"/>
  <c r="L336" i="1"/>
  <c r="S336" i="1" s="1"/>
  <c r="P335" i="1"/>
  <c r="O335" i="1"/>
  <c r="N335" i="1"/>
  <c r="M335" i="1"/>
  <c r="L335" i="1"/>
  <c r="S335" i="1" s="1"/>
  <c r="P334" i="1"/>
  <c r="O334" i="1"/>
  <c r="N334" i="1"/>
  <c r="M334" i="1"/>
  <c r="L334" i="1"/>
  <c r="S334" i="1" s="1"/>
  <c r="P333" i="1"/>
  <c r="O333" i="1"/>
  <c r="N333" i="1"/>
  <c r="M333" i="1"/>
  <c r="L333" i="1"/>
  <c r="S333" i="1" s="1"/>
  <c r="P332" i="1"/>
  <c r="O332" i="1"/>
  <c r="N332" i="1"/>
  <c r="M332" i="1"/>
  <c r="L332" i="1"/>
  <c r="S332" i="1" s="1"/>
  <c r="P331" i="1"/>
  <c r="O331" i="1"/>
  <c r="N331" i="1"/>
  <c r="M331" i="1"/>
  <c r="L331" i="1"/>
  <c r="S331" i="1" s="1"/>
  <c r="P330" i="1"/>
  <c r="O330" i="1"/>
  <c r="N330" i="1"/>
  <c r="M330" i="1"/>
  <c r="L330" i="1"/>
  <c r="S330" i="1" s="1"/>
  <c r="P329" i="1"/>
  <c r="O329" i="1"/>
  <c r="N329" i="1"/>
  <c r="M329" i="1"/>
  <c r="L329" i="1"/>
  <c r="S329" i="1" s="1"/>
  <c r="P328" i="1"/>
  <c r="O328" i="1"/>
  <c r="N328" i="1"/>
  <c r="M328" i="1"/>
  <c r="L328" i="1"/>
  <c r="S328" i="1" s="1"/>
  <c r="P327" i="1"/>
  <c r="O327" i="1"/>
  <c r="N327" i="1"/>
  <c r="M327" i="1"/>
  <c r="L327" i="1"/>
  <c r="S327" i="1" s="1"/>
  <c r="P326" i="1"/>
  <c r="O326" i="1"/>
  <c r="N326" i="1"/>
  <c r="M326" i="1"/>
  <c r="L326" i="1"/>
  <c r="S326" i="1" s="1"/>
  <c r="P325" i="1"/>
  <c r="O325" i="1"/>
  <c r="N325" i="1"/>
  <c r="M325" i="1"/>
  <c r="L325" i="1"/>
  <c r="S325" i="1" s="1"/>
  <c r="P324" i="1"/>
  <c r="O324" i="1"/>
  <c r="N324" i="1"/>
  <c r="M324" i="1"/>
  <c r="L324" i="1"/>
  <c r="S324" i="1" s="1"/>
  <c r="P323" i="1"/>
  <c r="O323" i="1"/>
  <c r="N323" i="1"/>
  <c r="M323" i="1"/>
  <c r="L323" i="1"/>
  <c r="S323" i="1" s="1"/>
  <c r="P322" i="1"/>
  <c r="O322" i="1"/>
  <c r="N322" i="1"/>
  <c r="M322" i="1"/>
  <c r="L322" i="1"/>
  <c r="S322" i="1" s="1"/>
  <c r="P321" i="1"/>
  <c r="O321" i="1"/>
  <c r="N321" i="1"/>
  <c r="M321" i="1"/>
  <c r="L321" i="1"/>
  <c r="S321" i="1" s="1"/>
  <c r="P320" i="1"/>
  <c r="O320" i="1"/>
  <c r="N320" i="1"/>
  <c r="M320" i="1"/>
  <c r="L320" i="1"/>
  <c r="S320" i="1" s="1"/>
  <c r="P319" i="1"/>
  <c r="O319" i="1"/>
  <c r="N319" i="1"/>
  <c r="M319" i="1"/>
  <c r="L319" i="1"/>
  <c r="S319" i="1" s="1"/>
  <c r="P318" i="1"/>
  <c r="O318" i="1"/>
  <c r="N318" i="1"/>
  <c r="M318" i="1"/>
  <c r="L318" i="1"/>
  <c r="S318" i="1" s="1"/>
  <c r="P317" i="1"/>
  <c r="O317" i="1"/>
  <c r="N317" i="1"/>
  <c r="M317" i="1"/>
  <c r="L317" i="1"/>
  <c r="S317" i="1" s="1"/>
  <c r="P316" i="1"/>
  <c r="O316" i="1"/>
  <c r="N316" i="1"/>
  <c r="M316" i="1"/>
  <c r="L316" i="1"/>
  <c r="S316" i="1" s="1"/>
  <c r="P315" i="1"/>
  <c r="O315" i="1"/>
  <c r="N315" i="1"/>
  <c r="M315" i="1"/>
  <c r="L315" i="1"/>
  <c r="S315" i="1" s="1"/>
  <c r="P314" i="1"/>
  <c r="O314" i="1"/>
  <c r="N314" i="1"/>
  <c r="M314" i="1"/>
  <c r="L314" i="1"/>
  <c r="S314" i="1" s="1"/>
  <c r="P313" i="1"/>
  <c r="O313" i="1"/>
  <c r="N313" i="1"/>
  <c r="M313" i="1"/>
  <c r="L313" i="1"/>
  <c r="S313" i="1" s="1"/>
  <c r="P312" i="1"/>
  <c r="O312" i="1"/>
  <c r="N312" i="1"/>
  <c r="M312" i="1"/>
  <c r="L312" i="1"/>
  <c r="S312" i="1" s="1"/>
  <c r="P311" i="1"/>
  <c r="O311" i="1"/>
  <c r="N311" i="1"/>
  <c r="M311" i="1"/>
  <c r="L311" i="1"/>
  <c r="S311" i="1" s="1"/>
  <c r="P310" i="1"/>
  <c r="O310" i="1"/>
  <c r="N310" i="1"/>
  <c r="M310" i="1"/>
  <c r="L310" i="1"/>
  <c r="S310" i="1" s="1"/>
  <c r="P309" i="1"/>
  <c r="O309" i="1"/>
  <c r="N309" i="1"/>
  <c r="M309" i="1"/>
  <c r="L309" i="1"/>
  <c r="S309" i="1" s="1"/>
  <c r="P308" i="1"/>
  <c r="O308" i="1"/>
  <c r="N308" i="1"/>
  <c r="M308" i="1"/>
  <c r="L308" i="1"/>
  <c r="S308" i="1" s="1"/>
  <c r="P307" i="1"/>
  <c r="O307" i="1"/>
  <c r="N307" i="1"/>
  <c r="M307" i="1"/>
  <c r="L307" i="1"/>
  <c r="S307" i="1" s="1"/>
  <c r="P306" i="1"/>
  <c r="O306" i="1"/>
  <c r="N306" i="1"/>
  <c r="M306" i="1"/>
  <c r="L306" i="1"/>
  <c r="S306" i="1" s="1"/>
  <c r="P305" i="1"/>
  <c r="O305" i="1"/>
  <c r="N305" i="1"/>
  <c r="M305" i="1"/>
  <c r="L305" i="1"/>
  <c r="S305" i="1" s="1"/>
  <c r="P304" i="1"/>
  <c r="O304" i="1"/>
  <c r="N304" i="1"/>
  <c r="M304" i="1"/>
  <c r="L304" i="1"/>
  <c r="S304" i="1" s="1"/>
  <c r="P303" i="1"/>
  <c r="O303" i="1"/>
  <c r="N303" i="1"/>
  <c r="M303" i="1"/>
  <c r="L303" i="1"/>
  <c r="S303" i="1" s="1"/>
  <c r="P302" i="1"/>
  <c r="O302" i="1"/>
  <c r="N302" i="1"/>
  <c r="M302" i="1"/>
  <c r="L302" i="1"/>
  <c r="S302" i="1" s="1"/>
  <c r="P301" i="1"/>
  <c r="O301" i="1"/>
  <c r="N301" i="1"/>
  <c r="M301" i="1"/>
  <c r="L301" i="1"/>
  <c r="S301" i="1" s="1"/>
  <c r="P300" i="1"/>
  <c r="O300" i="1"/>
  <c r="N300" i="1"/>
  <c r="M300" i="1"/>
  <c r="L300" i="1"/>
  <c r="S300" i="1" s="1"/>
  <c r="P299" i="1"/>
  <c r="O299" i="1"/>
  <c r="N299" i="1"/>
  <c r="M299" i="1"/>
  <c r="L299" i="1"/>
  <c r="S299" i="1" s="1"/>
  <c r="P298" i="1"/>
  <c r="O298" i="1"/>
  <c r="N298" i="1"/>
  <c r="M298" i="1"/>
  <c r="L298" i="1"/>
  <c r="S298" i="1" s="1"/>
  <c r="P1520" i="1"/>
  <c r="O1520" i="1"/>
  <c r="N1520" i="1"/>
  <c r="M1520" i="1"/>
  <c r="L1520" i="1"/>
  <c r="S1520" i="1" s="1"/>
  <c r="P296" i="1"/>
  <c r="O296" i="1"/>
  <c r="N296" i="1"/>
  <c r="M296" i="1"/>
  <c r="L296" i="1"/>
  <c r="S296" i="1" s="1"/>
  <c r="P1518" i="1"/>
  <c r="O1518" i="1"/>
  <c r="N1518" i="1"/>
  <c r="M1518" i="1"/>
  <c r="L1518" i="1"/>
  <c r="S1518" i="1" s="1"/>
  <c r="P294" i="1"/>
  <c r="O294" i="1"/>
  <c r="N294" i="1"/>
  <c r="M294" i="1"/>
  <c r="L294" i="1"/>
  <c r="S294" i="1" s="1"/>
  <c r="P293" i="1"/>
  <c r="O293" i="1"/>
  <c r="N293" i="1"/>
  <c r="M293" i="1"/>
  <c r="L293" i="1"/>
  <c r="S293" i="1" s="1"/>
  <c r="P1517" i="1"/>
  <c r="O1517" i="1"/>
  <c r="N1517" i="1"/>
  <c r="M1517" i="1"/>
  <c r="L1517" i="1"/>
  <c r="S1517" i="1" s="1"/>
  <c r="P291" i="1"/>
  <c r="O291" i="1"/>
  <c r="N291" i="1"/>
  <c r="M291" i="1"/>
  <c r="L291" i="1"/>
  <c r="S291" i="1" s="1"/>
  <c r="P290" i="1"/>
  <c r="O290" i="1"/>
  <c r="N290" i="1"/>
  <c r="M290" i="1"/>
  <c r="L290" i="1"/>
  <c r="S290" i="1" s="1"/>
  <c r="P289" i="1"/>
  <c r="O289" i="1"/>
  <c r="N289" i="1"/>
  <c r="M289" i="1"/>
  <c r="L289" i="1"/>
  <c r="S289" i="1" s="1"/>
  <c r="P1516" i="1"/>
  <c r="O1516" i="1"/>
  <c r="N1516" i="1"/>
  <c r="M1516" i="1"/>
  <c r="L1516" i="1"/>
  <c r="S1516" i="1" s="1"/>
  <c r="P287" i="1"/>
  <c r="O287" i="1"/>
  <c r="N287" i="1"/>
  <c r="M287" i="1"/>
  <c r="L287" i="1"/>
  <c r="S287" i="1" s="1"/>
  <c r="P286" i="1"/>
  <c r="O286" i="1"/>
  <c r="N286" i="1"/>
  <c r="M286" i="1"/>
  <c r="L286" i="1"/>
  <c r="S286" i="1" s="1"/>
  <c r="P285" i="1"/>
  <c r="O285" i="1"/>
  <c r="N285" i="1"/>
  <c r="M285" i="1"/>
  <c r="L285" i="1"/>
  <c r="S285" i="1" s="1"/>
  <c r="P284" i="1"/>
  <c r="O284" i="1"/>
  <c r="N284" i="1"/>
  <c r="M284" i="1"/>
  <c r="L284" i="1"/>
  <c r="S284" i="1" s="1"/>
  <c r="P283" i="1"/>
  <c r="O283" i="1"/>
  <c r="N283" i="1"/>
  <c r="M283" i="1"/>
  <c r="L283" i="1"/>
  <c r="S283" i="1" s="1"/>
  <c r="P282" i="1"/>
  <c r="O282" i="1"/>
  <c r="N282" i="1"/>
  <c r="M282" i="1"/>
  <c r="L282" i="1"/>
  <c r="S282" i="1" s="1"/>
  <c r="P281" i="1"/>
  <c r="O281" i="1"/>
  <c r="N281" i="1"/>
  <c r="M281" i="1"/>
  <c r="L281" i="1"/>
  <c r="S281" i="1" s="1"/>
  <c r="P280" i="1"/>
  <c r="O280" i="1"/>
  <c r="N280" i="1"/>
  <c r="M280" i="1"/>
  <c r="L280" i="1"/>
  <c r="S280" i="1" s="1"/>
  <c r="P279" i="1"/>
  <c r="O279" i="1"/>
  <c r="N279" i="1"/>
  <c r="M279" i="1"/>
  <c r="L279" i="1"/>
  <c r="S279" i="1" s="1"/>
  <c r="P278" i="1"/>
  <c r="O278" i="1"/>
  <c r="N278" i="1"/>
  <c r="M278" i="1"/>
  <c r="L278" i="1"/>
  <c r="S278" i="1" s="1"/>
  <c r="P277" i="1"/>
  <c r="O277" i="1"/>
  <c r="N277" i="1"/>
  <c r="M277" i="1"/>
  <c r="L277" i="1"/>
  <c r="S277" i="1" s="1"/>
  <c r="P276" i="1"/>
  <c r="O276" i="1"/>
  <c r="N276" i="1"/>
  <c r="M276" i="1"/>
  <c r="L276" i="1"/>
  <c r="S276" i="1" s="1"/>
  <c r="P275" i="1"/>
  <c r="O275" i="1"/>
  <c r="N275" i="1"/>
  <c r="M275" i="1"/>
  <c r="L275" i="1"/>
  <c r="S275" i="1" s="1"/>
  <c r="P274" i="1"/>
  <c r="O274" i="1"/>
  <c r="N274" i="1"/>
  <c r="M274" i="1"/>
  <c r="L274" i="1"/>
  <c r="S274" i="1" s="1"/>
  <c r="P273" i="1"/>
  <c r="O273" i="1"/>
  <c r="N273" i="1"/>
  <c r="M273" i="1"/>
  <c r="L273" i="1"/>
  <c r="S273" i="1" s="1"/>
  <c r="P272" i="1"/>
  <c r="O272" i="1"/>
  <c r="N272" i="1"/>
  <c r="M272" i="1"/>
  <c r="L272" i="1"/>
  <c r="S272" i="1" s="1"/>
  <c r="P271" i="1"/>
  <c r="O271" i="1"/>
  <c r="N271" i="1"/>
  <c r="M271" i="1"/>
  <c r="L271" i="1"/>
  <c r="S271" i="1" s="1"/>
  <c r="P270" i="1"/>
  <c r="O270" i="1"/>
  <c r="N270" i="1"/>
  <c r="M270" i="1"/>
  <c r="L270" i="1"/>
  <c r="S270" i="1" s="1"/>
  <c r="P269" i="1"/>
  <c r="O269" i="1"/>
  <c r="N269" i="1"/>
  <c r="M269" i="1"/>
  <c r="L269" i="1"/>
  <c r="S269" i="1" s="1"/>
  <c r="P268" i="1"/>
  <c r="O268" i="1"/>
  <c r="N268" i="1"/>
  <c r="M268" i="1"/>
  <c r="L268" i="1"/>
  <c r="S268" i="1" s="1"/>
  <c r="P267" i="1"/>
  <c r="O267" i="1"/>
  <c r="N267" i="1"/>
  <c r="M267" i="1"/>
  <c r="L267" i="1"/>
  <c r="S267" i="1" s="1"/>
  <c r="P266" i="1"/>
  <c r="O266" i="1"/>
  <c r="N266" i="1"/>
  <c r="M266" i="1"/>
  <c r="L266" i="1"/>
  <c r="S266" i="1" s="1"/>
  <c r="P265" i="1"/>
  <c r="O265" i="1"/>
  <c r="N265" i="1"/>
  <c r="M265" i="1"/>
  <c r="L265" i="1"/>
  <c r="S265" i="1" s="1"/>
  <c r="P264" i="1"/>
  <c r="O264" i="1"/>
  <c r="N264" i="1"/>
  <c r="M264" i="1"/>
  <c r="L264" i="1"/>
  <c r="S264" i="1" s="1"/>
  <c r="P263" i="1"/>
  <c r="O263" i="1"/>
  <c r="N263" i="1"/>
  <c r="M263" i="1"/>
  <c r="L263" i="1"/>
  <c r="S263" i="1" s="1"/>
  <c r="P262" i="1"/>
  <c r="O262" i="1"/>
  <c r="N262" i="1"/>
  <c r="M262" i="1"/>
  <c r="L262" i="1"/>
  <c r="S262" i="1" s="1"/>
  <c r="P261" i="1"/>
  <c r="O261" i="1"/>
  <c r="N261" i="1"/>
  <c r="M261" i="1"/>
  <c r="L261" i="1"/>
  <c r="S261" i="1" s="1"/>
  <c r="P260" i="1"/>
  <c r="O260" i="1"/>
  <c r="N260" i="1"/>
  <c r="M260" i="1"/>
  <c r="L260" i="1"/>
  <c r="S260" i="1" s="1"/>
  <c r="P259" i="1"/>
  <c r="O259" i="1"/>
  <c r="N259" i="1"/>
  <c r="M259" i="1"/>
  <c r="L259" i="1"/>
  <c r="S259" i="1" s="1"/>
  <c r="P258" i="1"/>
  <c r="O258" i="1"/>
  <c r="N258" i="1"/>
  <c r="M258" i="1"/>
  <c r="L258" i="1"/>
  <c r="S258" i="1" s="1"/>
  <c r="P257" i="1"/>
  <c r="O257" i="1"/>
  <c r="N257" i="1"/>
  <c r="M257" i="1"/>
  <c r="L257" i="1"/>
  <c r="S257" i="1" s="1"/>
  <c r="P256" i="1"/>
  <c r="O256" i="1"/>
  <c r="N256" i="1"/>
  <c r="M256" i="1"/>
  <c r="L256" i="1"/>
  <c r="S256" i="1" s="1"/>
  <c r="P255" i="1"/>
  <c r="O255" i="1"/>
  <c r="N255" i="1"/>
  <c r="M255" i="1"/>
  <c r="L255" i="1"/>
  <c r="S255" i="1" s="1"/>
  <c r="P254" i="1"/>
  <c r="O254" i="1"/>
  <c r="N254" i="1"/>
  <c r="M254" i="1"/>
  <c r="L254" i="1"/>
  <c r="S254" i="1" s="1"/>
  <c r="P253" i="1"/>
  <c r="O253" i="1"/>
  <c r="N253" i="1"/>
  <c r="M253" i="1"/>
  <c r="L253" i="1"/>
  <c r="S253" i="1" s="1"/>
  <c r="P252" i="1"/>
  <c r="O252" i="1"/>
  <c r="N252" i="1"/>
  <c r="M252" i="1"/>
  <c r="L252" i="1"/>
  <c r="S252" i="1" s="1"/>
  <c r="P251" i="1"/>
  <c r="O251" i="1"/>
  <c r="N251" i="1"/>
  <c r="M251" i="1"/>
  <c r="L251" i="1"/>
  <c r="S251" i="1" s="1"/>
  <c r="P250" i="1"/>
  <c r="O250" i="1"/>
  <c r="N250" i="1"/>
  <c r="M250" i="1"/>
  <c r="L250" i="1"/>
  <c r="S250" i="1" s="1"/>
  <c r="P249" i="1"/>
  <c r="O249" i="1"/>
  <c r="N249" i="1"/>
  <c r="M249" i="1"/>
  <c r="L249" i="1"/>
  <c r="S249" i="1" s="1"/>
  <c r="P248" i="1"/>
  <c r="O248" i="1"/>
  <c r="N248" i="1"/>
  <c r="M248" i="1"/>
  <c r="L248" i="1"/>
  <c r="S248" i="1" s="1"/>
  <c r="P247" i="1"/>
  <c r="O247" i="1"/>
  <c r="N247" i="1"/>
  <c r="M247" i="1"/>
  <c r="L247" i="1"/>
  <c r="S247" i="1" s="1"/>
  <c r="P246" i="1"/>
  <c r="O246" i="1"/>
  <c r="N246" i="1"/>
  <c r="M246" i="1"/>
  <c r="L246" i="1"/>
  <c r="S246" i="1" s="1"/>
  <c r="P245" i="1"/>
  <c r="O245" i="1"/>
  <c r="N245" i="1"/>
  <c r="M245" i="1"/>
  <c r="L245" i="1"/>
  <c r="S245" i="1" s="1"/>
  <c r="P244" i="1"/>
  <c r="O244" i="1"/>
  <c r="N244" i="1"/>
  <c r="M244" i="1"/>
  <c r="L244" i="1"/>
  <c r="S244" i="1" s="1"/>
  <c r="P243" i="1"/>
  <c r="O243" i="1"/>
  <c r="N243" i="1"/>
  <c r="M243" i="1"/>
  <c r="L243" i="1"/>
  <c r="S243" i="1" s="1"/>
  <c r="P242" i="1"/>
  <c r="O242" i="1"/>
  <c r="N242" i="1"/>
  <c r="M242" i="1"/>
  <c r="L242" i="1"/>
  <c r="S242" i="1" s="1"/>
  <c r="P241" i="1"/>
  <c r="O241" i="1"/>
  <c r="N241" i="1"/>
  <c r="M241" i="1"/>
  <c r="L241" i="1"/>
  <c r="S241" i="1" s="1"/>
  <c r="P240" i="1"/>
  <c r="O240" i="1"/>
  <c r="N240" i="1"/>
  <c r="M240" i="1"/>
  <c r="L240" i="1"/>
  <c r="S240" i="1" s="1"/>
  <c r="P239" i="1"/>
  <c r="O239" i="1"/>
  <c r="N239" i="1"/>
  <c r="M239" i="1"/>
  <c r="L239" i="1"/>
  <c r="S239" i="1" s="1"/>
  <c r="P238" i="1"/>
  <c r="O238" i="1"/>
  <c r="N238" i="1"/>
  <c r="M238" i="1"/>
  <c r="L238" i="1"/>
  <c r="S238" i="1" s="1"/>
  <c r="P237" i="1"/>
  <c r="O237" i="1"/>
  <c r="N237" i="1"/>
  <c r="M237" i="1"/>
  <c r="L237" i="1"/>
  <c r="S237" i="1" s="1"/>
  <c r="P236" i="1"/>
  <c r="O236" i="1"/>
  <c r="N236" i="1"/>
  <c r="M236" i="1"/>
  <c r="L236" i="1"/>
  <c r="S236" i="1" s="1"/>
  <c r="P235" i="1"/>
  <c r="O235" i="1"/>
  <c r="N235" i="1"/>
  <c r="M235" i="1"/>
  <c r="L235" i="1"/>
  <c r="S235" i="1" s="1"/>
  <c r="P234" i="1"/>
  <c r="O234" i="1"/>
  <c r="N234" i="1"/>
  <c r="M234" i="1"/>
  <c r="L234" i="1"/>
  <c r="S234" i="1" s="1"/>
  <c r="P233" i="1"/>
  <c r="O233" i="1"/>
  <c r="N233" i="1"/>
  <c r="M233" i="1"/>
  <c r="L233" i="1"/>
  <c r="S233" i="1" s="1"/>
  <c r="P232" i="1"/>
  <c r="O232" i="1"/>
  <c r="N232" i="1"/>
  <c r="M232" i="1"/>
  <c r="L232" i="1"/>
  <c r="S232" i="1" s="1"/>
  <c r="P231" i="1"/>
  <c r="O231" i="1"/>
  <c r="N231" i="1"/>
  <c r="M231" i="1"/>
  <c r="L231" i="1"/>
  <c r="S231" i="1" s="1"/>
  <c r="P230" i="1"/>
  <c r="O230" i="1"/>
  <c r="N230" i="1"/>
  <c r="M230" i="1"/>
  <c r="L230" i="1"/>
  <c r="S230" i="1" s="1"/>
  <c r="P229" i="1"/>
  <c r="O229" i="1"/>
  <c r="N229" i="1"/>
  <c r="M229" i="1"/>
  <c r="L229" i="1"/>
  <c r="S229" i="1" s="1"/>
  <c r="P228" i="1"/>
  <c r="O228" i="1"/>
  <c r="N228" i="1"/>
  <c r="M228" i="1"/>
  <c r="L228" i="1"/>
  <c r="S228" i="1" s="1"/>
  <c r="P227" i="1"/>
  <c r="O227" i="1"/>
  <c r="N227" i="1"/>
  <c r="M227" i="1"/>
  <c r="L227" i="1"/>
  <c r="S227" i="1" s="1"/>
  <c r="P226" i="1"/>
  <c r="O226" i="1"/>
  <c r="N226" i="1"/>
  <c r="M226" i="1"/>
  <c r="L226" i="1"/>
  <c r="S226" i="1" s="1"/>
  <c r="P225" i="1"/>
  <c r="O225" i="1"/>
  <c r="N225" i="1"/>
  <c r="M225" i="1"/>
  <c r="L225" i="1"/>
  <c r="S225" i="1" s="1"/>
  <c r="P224" i="1"/>
  <c r="O224" i="1"/>
  <c r="N224" i="1"/>
  <c r="M224" i="1"/>
  <c r="L224" i="1"/>
  <c r="S224" i="1" s="1"/>
  <c r="P223" i="1"/>
  <c r="O223" i="1"/>
  <c r="N223" i="1"/>
  <c r="M223" i="1"/>
  <c r="L223" i="1"/>
  <c r="S223" i="1" s="1"/>
  <c r="P222" i="1"/>
  <c r="O222" i="1"/>
  <c r="N222" i="1"/>
  <c r="M222" i="1"/>
  <c r="L222" i="1"/>
  <c r="S222" i="1" s="1"/>
  <c r="P221" i="1"/>
  <c r="O221" i="1"/>
  <c r="N221" i="1"/>
  <c r="M221" i="1"/>
  <c r="L221" i="1"/>
  <c r="S221" i="1" s="1"/>
  <c r="P220" i="1"/>
  <c r="O220" i="1"/>
  <c r="N220" i="1"/>
  <c r="M220" i="1"/>
  <c r="L220" i="1"/>
  <c r="S220" i="1" s="1"/>
  <c r="P219" i="1"/>
  <c r="O219" i="1"/>
  <c r="N219" i="1"/>
  <c r="M219" i="1"/>
  <c r="L219" i="1"/>
  <c r="S219" i="1" s="1"/>
  <c r="P218" i="1"/>
  <c r="O218" i="1"/>
  <c r="N218" i="1"/>
  <c r="M218" i="1"/>
  <c r="L218" i="1"/>
  <c r="S218" i="1" s="1"/>
  <c r="P217" i="1"/>
  <c r="O217" i="1"/>
  <c r="N217" i="1"/>
  <c r="M217" i="1"/>
  <c r="L217" i="1"/>
  <c r="S217" i="1" s="1"/>
  <c r="P216" i="1"/>
  <c r="O216" i="1"/>
  <c r="N216" i="1"/>
  <c r="M216" i="1"/>
  <c r="L216" i="1"/>
  <c r="S216" i="1" s="1"/>
  <c r="P215" i="1"/>
  <c r="O215" i="1"/>
  <c r="N215" i="1"/>
  <c r="M215" i="1"/>
  <c r="L215" i="1"/>
  <c r="S215" i="1" s="1"/>
  <c r="P214" i="1"/>
  <c r="O214" i="1"/>
  <c r="N214" i="1"/>
  <c r="M214" i="1"/>
  <c r="L214" i="1"/>
  <c r="S214" i="1" s="1"/>
  <c r="P213" i="1"/>
  <c r="O213" i="1"/>
  <c r="N213" i="1"/>
  <c r="M213" i="1"/>
  <c r="L213" i="1"/>
  <c r="S213" i="1" s="1"/>
  <c r="P212" i="1"/>
  <c r="O212" i="1"/>
  <c r="N212" i="1"/>
  <c r="M212" i="1"/>
  <c r="L212" i="1"/>
  <c r="S212" i="1" s="1"/>
  <c r="P211" i="1"/>
  <c r="O211" i="1"/>
  <c r="N211" i="1"/>
  <c r="M211" i="1"/>
  <c r="L211" i="1"/>
  <c r="S211" i="1" s="1"/>
  <c r="P210" i="1"/>
  <c r="O210" i="1"/>
  <c r="N210" i="1"/>
  <c r="M210" i="1"/>
  <c r="L210" i="1"/>
  <c r="S210" i="1" s="1"/>
  <c r="P209" i="1"/>
  <c r="O209" i="1"/>
  <c r="N209" i="1"/>
  <c r="M209" i="1"/>
  <c r="L209" i="1"/>
  <c r="S209" i="1" s="1"/>
  <c r="P208" i="1"/>
  <c r="O208" i="1"/>
  <c r="N208" i="1"/>
  <c r="M208" i="1"/>
  <c r="L208" i="1"/>
  <c r="S208" i="1" s="1"/>
  <c r="P207" i="1"/>
  <c r="O207" i="1"/>
  <c r="N207" i="1"/>
  <c r="M207" i="1"/>
  <c r="L207" i="1"/>
  <c r="S207" i="1" s="1"/>
  <c r="P206" i="1"/>
  <c r="O206" i="1"/>
  <c r="N206" i="1"/>
  <c r="M206" i="1"/>
  <c r="L206" i="1"/>
  <c r="S206" i="1" s="1"/>
  <c r="P205" i="1"/>
  <c r="O205" i="1"/>
  <c r="N205" i="1"/>
  <c r="M205" i="1"/>
  <c r="L205" i="1"/>
  <c r="S205" i="1" s="1"/>
  <c r="P204" i="1"/>
  <c r="O204" i="1"/>
  <c r="N204" i="1"/>
  <c r="M204" i="1"/>
  <c r="L204" i="1"/>
  <c r="S204" i="1" s="1"/>
  <c r="P203" i="1"/>
  <c r="O203" i="1"/>
  <c r="N203" i="1"/>
  <c r="M203" i="1"/>
  <c r="L203" i="1"/>
  <c r="S203" i="1" s="1"/>
  <c r="P202" i="1"/>
  <c r="O202" i="1"/>
  <c r="N202" i="1"/>
  <c r="M202" i="1"/>
  <c r="L202" i="1"/>
  <c r="S202" i="1" s="1"/>
  <c r="P201" i="1"/>
  <c r="O201" i="1"/>
  <c r="N201" i="1"/>
  <c r="M201" i="1"/>
  <c r="L201" i="1"/>
  <c r="S201" i="1" s="1"/>
  <c r="P200" i="1"/>
  <c r="O200" i="1"/>
  <c r="N200" i="1"/>
  <c r="M200" i="1"/>
  <c r="L200" i="1"/>
  <c r="S200" i="1" s="1"/>
  <c r="P199" i="1"/>
  <c r="O199" i="1"/>
  <c r="N199" i="1"/>
  <c r="M199" i="1"/>
  <c r="L199" i="1"/>
  <c r="S199" i="1" s="1"/>
  <c r="P198" i="1"/>
  <c r="O198" i="1"/>
  <c r="N198" i="1"/>
  <c r="M198" i="1"/>
  <c r="L198" i="1"/>
  <c r="S198" i="1" s="1"/>
  <c r="P197" i="1"/>
  <c r="O197" i="1"/>
  <c r="N197" i="1"/>
  <c r="M197" i="1"/>
  <c r="L197" i="1"/>
  <c r="S197" i="1" s="1"/>
  <c r="P196" i="1"/>
  <c r="O196" i="1"/>
  <c r="N196" i="1"/>
  <c r="M196" i="1"/>
  <c r="L196" i="1"/>
  <c r="S196" i="1" s="1"/>
  <c r="P195" i="1"/>
  <c r="O195" i="1"/>
  <c r="N195" i="1"/>
  <c r="M195" i="1"/>
  <c r="L195" i="1"/>
  <c r="S195" i="1" s="1"/>
  <c r="P194" i="1"/>
  <c r="O194" i="1"/>
  <c r="N194" i="1"/>
  <c r="M194" i="1"/>
  <c r="L194" i="1"/>
  <c r="S194" i="1" s="1"/>
  <c r="P193" i="1"/>
  <c r="O193" i="1"/>
  <c r="N193" i="1"/>
  <c r="M193" i="1"/>
  <c r="L193" i="1"/>
  <c r="S193" i="1" s="1"/>
  <c r="P192" i="1"/>
  <c r="O192" i="1"/>
  <c r="N192" i="1"/>
  <c r="M192" i="1"/>
  <c r="L192" i="1"/>
  <c r="S192" i="1" s="1"/>
  <c r="P191" i="1"/>
  <c r="O191" i="1"/>
  <c r="N191" i="1"/>
  <c r="M191" i="1"/>
  <c r="L191" i="1"/>
  <c r="S191" i="1" s="1"/>
  <c r="P190" i="1"/>
  <c r="O190" i="1"/>
  <c r="N190" i="1"/>
  <c r="M190" i="1"/>
  <c r="L190" i="1"/>
  <c r="S190" i="1" s="1"/>
  <c r="P189" i="1"/>
  <c r="O189" i="1"/>
  <c r="N189" i="1"/>
  <c r="M189" i="1"/>
  <c r="L189" i="1"/>
  <c r="S189" i="1" s="1"/>
  <c r="P188" i="1"/>
  <c r="O188" i="1"/>
  <c r="N188" i="1"/>
  <c r="M188" i="1"/>
  <c r="L188" i="1"/>
  <c r="S188" i="1" s="1"/>
  <c r="P187" i="1"/>
  <c r="O187" i="1"/>
  <c r="N187" i="1"/>
  <c r="M187" i="1"/>
  <c r="L187" i="1"/>
  <c r="S187" i="1" s="1"/>
  <c r="P186" i="1"/>
  <c r="O186" i="1"/>
  <c r="N186" i="1"/>
  <c r="M186" i="1"/>
  <c r="L186" i="1"/>
  <c r="S186" i="1" s="1"/>
  <c r="P185" i="1"/>
  <c r="O185" i="1"/>
  <c r="N185" i="1"/>
  <c r="M185" i="1"/>
  <c r="L185" i="1"/>
  <c r="S185" i="1" s="1"/>
  <c r="P184" i="1"/>
  <c r="O184" i="1"/>
  <c r="N184" i="1"/>
  <c r="M184" i="1"/>
  <c r="L184" i="1"/>
  <c r="S184" i="1" s="1"/>
  <c r="P183" i="1"/>
  <c r="O183" i="1"/>
  <c r="N183" i="1"/>
  <c r="M183" i="1"/>
  <c r="L183" i="1"/>
  <c r="S183" i="1" s="1"/>
  <c r="P182" i="1"/>
  <c r="O182" i="1"/>
  <c r="N182" i="1"/>
  <c r="M182" i="1"/>
  <c r="L182" i="1"/>
  <c r="S182" i="1" s="1"/>
  <c r="P181" i="1"/>
  <c r="O181" i="1"/>
  <c r="N181" i="1"/>
  <c r="M181" i="1"/>
  <c r="L181" i="1"/>
  <c r="S181" i="1" s="1"/>
  <c r="P180" i="1"/>
  <c r="O180" i="1"/>
  <c r="N180" i="1"/>
  <c r="M180" i="1"/>
  <c r="L180" i="1"/>
  <c r="S180" i="1" s="1"/>
  <c r="P179" i="1"/>
  <c r="O179" i="1"/>
  <c r="N179" i="1"/>
  <c r="M179" i="1"/>
  <c r="L179" i="1"/>
  <c r="S179" i="1" s="1"/>
  <c r="P178" i="1"/>
  <c r="O178" i="1"/>
  <c r="N178" i="1"/>
  <c r="M178" i="1"/>
  <c r="L178" i="1"/>
  <c r="S178" i="1" s="1"/>
  <c r="P177" i="1"/>
  <c r="O177" i="1"/>
  <c r="N177" i="1"/>
  <c r="M177" i="1"/>
  <c r="L177" i="1"/>
  <c r="S177" i="1" s="1"/>
  <c r="P176" i="1"/>
  <c r="O176" i="1"/>
  <c r="N176" i="1"/>
  <c r="M176" i="1"/>
  <c r="L176" i="1"/>
  <c r="S176" i="1" s="1"/>
  <c r="P175" i="1"/>
  <c r="O175" i="1"/>
  <c r="N175" i="1"/>
  <c r="M175" i="1"/>
  <c r="L175" i="1"/>
  <c r="S175" i="1" s="1"/>
  <c r="P174" i="1"/>
  <c r="O174" i="1"/>
  <c r="N174" i="1"/>
  <c r="M174" i="1"/>
  <c r="L174" i="1"/>
  <c r="S174" i="1" s="1"/>
  <c r="P173" i="1"/>
  <c r="O173" i="1"/>
  <c r="N173" i="1"/>
  <c r="M173" i="1"/>
  <c r="L173" i="1"/>
  <c r="S173" i="1" s="1"/>
  <c r="P172" i="1"/>
  <c r="O172" i="1"/>
  <c r="N172" i="1"/>
  <c r="M172" i="1"/>
  <c r="L172" i="1"/>
  <c r="S172" i="1" s="1"/>
  <c r="P171" i="1"/>
  <c r="O171" i="1"/>
  <c r="N171" i="1"/>
  <c r="M171" i="1"/>
  <c r="L171" i="1"/>
  <c r="S171" i="1" s="1"/>
  <c r="P170" i="1"/>
  <c r="O170" i="1"/>
  <c r="N170" i="1"/>
  <c r="M170" i="1"/>
  <c r="L170" i="1"/>
  <c r="S170" i="1" s="1"/>
  <c r="P669" i="1"/>
  <c r="O669" i="1"/>
  <c r="N669" i="1"/>
  <c r="M669" i="1"/>
  <c r="L669" i="1"/>
  <c r="S669" i="1" s="1"/>
  <c r="P168" i="1"/>
  <c r="O168" i="1"/>
  <c r="N168" i="1"/>
  <c r="M168" i="1"/>
  <c r="L168" i="1"/>
  <c r="S168" i="1" s="1"/>
  <c r="P167" i="1"/>
  <c r="O167" i="1"/>
  <c r="N167" i="1"/>
  <c r="M167" i="1"/>
  <c r="L167" i="1"/>
  <c r="S167" i="1" s="1"/>
  <c r="P166" i="1"/>
  <c r="O166" i="1"/>
  <c r="N166" i="1"/>
  <c r="M166" i="1"/>
  <c r="L166" i="1"/>
  <c r="S166" i="1" s="1"/>
  <c r="P165" i="1"/>
  <c r="O165" i="1"/>
  <c r="N165" i="1"/>
  <c r="M165" i="1"/>
  <c r="L165" i="1"/>
  <c r="S165" i="1" s="1"/>
  <c r="P164" i="1"/>
  <c r="O164" i="1"/>
  <c r="N164" i="1"/>
  <c r="M164" i="1"/>
  <c r="L164" i="1"/>
  <c r="S164" i="1" s="1"/>
  <c r="P163" i="1"/>
  <c r="O163" i="1"/>
  <c r="N163" i="1"/>
  <c r="M163" i="1"/>
  <c r="L163" i="1"/>
  <c r="S163" i="1" s="1"/>
  <c r="P162" i="1"/>
  <c r="O162" i="1"/>
  <c r="N162" i="1"/>
  <c r="M162" i="1"/>
  <c r="L162" i="1"/>
  <c r="S162" i="1" s="1"/>
  <c r="P161" i="1"/>
  <c r="O161" i="1"/>
  <c r="N161" i="1"/>
  <c r="M161" i="1"/>
  <c r="L161" i="1"/>
  <c r="S161" i="1" s="1"/>
  <c r="P160" i="1"/>
  <c r="O160" i="1"/>
  <c r="N160" i="1"/>
  <c r="M160" i="1"/>
  <c r="L160" i="1"/>
  <c r="S160" i="1" s="1"/>
  <c r="P159" i="1"/>
  <c r="O159" i="1"/>
  <c r="N159" i="1"/>
  <c r="M159" i="1"/>
  <c r="L159" i="1"/>
  <c r="S159" i="1" s="1"/>
  <c r="P158" i="1"/>
  <c r="O158" i="1"/>
  <c r="N158" i="1"/>
  <c r="M158" i="1"/>
  <c r="L158" i="1"/>
  <c r="S158" i="1" s="1"/>
  <c r="P157" i="1"/>
  <c r="O157" i="1"/>
  <c r="N157" i="1"/>
  <c r="M157" i="1"/>
  <c r="L157" i="1"/>
  <c r="S157" i="1" s="1"/>
  <c r="P156" i="1"/>
  <c r="O156" i="1"/>
  <c r="N156" i="1"/>
  <c r="M156" i="1"/>
  <c r="L156" i="1"/>
  <c r="S156" i="1" s="1"/>
  <c r="P155" i="1"/>
  <c r="O155" i="1"/>
  <c r="N155" i="1"/>
  <c r="M155" i="1"/>
  <c r="L155" i="1"/>
  <c r="S155" i="1" s="1"/>
  <c r="P154" i="1"/>
  <c r="O154" i="1"/>
  <c r="N154" i="1"/>
  <c r="M154" i="1"/>
  <c r="L154" i="1"/>
  <c r="S154" i="1" s="1"/>
  <c r="P153" i="1"/>
  <c r="O153" i="1"/>
  <c r="N153" i="1"/>
  <c r="M153" i="1"/>
  <c r="L153" i="1"/>
  <c r="S153" i="1" s="1"/>
  <c r="P152" i="1"/>
  <c r="O152" i="1"/>
  <c r="N152" i="1"/>
  <c r="M152" i="1"/>
  <c r="L152" i="1"/>
  <c r="S152" i="1" s="1"/>
  <c r="P151" i="1"/>
  <c r="O151" i="1"/>
  <c r="N151" i="1"/>
  <c r="M151" i="1"/>
  <c r="L151" i="1"/>
  <c r="S151" i="1" s="1"/>
  <c r="P150" i="1"/>
  <c r="O150" i="1"/>
  <c r="N150" i="1"/>
  <c r="M150" i="1"/>
  <c r="L150" i="1"/>
  <c r="S150" i="1" s="1"/>
  <c r="P149" i="1"/>
  <c r="O149" i="1"/>
  <c r="N149" i="1"/>
  <c r="M149" i="1"/>
  <c r="L149" i="1"/>
  <c r="S149" i="1" s="1"/>
  <c r="P148" i="1"/>
  <c r="O148" i="1"/>
  <c r="N148" i="1"/>
  <c r="M148" i="1"/>
  <c r="L148" i="1"/>
  <c r="S148" i="1" s="1"/>
  <c r="P147" i="1"/>
  <c r="O147" i="1"/>
  <c r="N147" i="1"/>
  <c r="M147" i="1"/>
  <c r="L147" i="1"/>
  <c r="S147" i="1" s="1"/>
  <c r="P146" i="1"/>
  <c r="O146" i="1"/>
  <c r="N146" i="1"/>
  <c r="M146" i="1"/>
  <c r="L146" i="1"/>
  <c r="S146" i="1" s="1"/>
  <c r="P145" i="1"/>
  <c r="O145" i="1"/>
  <c r="N145" i="1"/>
  <c r="M145" i="1"/>
  <c r="L145" i="1"/>
  <c r="S145" i="1" s="1"/>
  <c r="P144" i="1"/>
  <c r="O144" i="1"/>
  <c r="N144" i="1"/>
  <c r="M144" i="1"/>
  <c r="L144" i="1"/>
  <c r="S144" i="1" s="1"/>
  <c r="P143" i="1"/>
  <c r="O143" i="1"/>
  <c r="N143" i="1"/>
  <c r="M143" i="1"/>
  <c r="L143" i="1"/>
  <c r="S143" i="1" s="1"/>
  <c r="P142" i="1"/>
  <c r="O142" i="1"/>
  <c r="N142" i="1"/>
  <c r="M142" i="1"/>
  <c r="L142" i="1"/>
  <c r="S142" i="1" s="1"/>
  <c r="P141" i="1"/>
  <c r="O141" i="1"/>
  <c r="N141" i="1"/>
  <c r="M141" i="1"/>
  <c r="L141" i="1"/>
  <c r="S141" i="1" s="1"/>
  <c r="P140" i="1"/>
  <c r="O140" i="1"/>
  <c r="N140" i="1"/>
  <c r="M140" i="1"/>
  <c r="L140" i="1"/>
  <c r="S140" i="1" s="1"/>
  <c r="P139" i="1"/>
  <c r="O139" i="1"/>
  <c r="N139" i="1"/>
  <c r="M139" i="1"/>
  <c r="L139" i="1"/>
  <c r="S139" i="1" s="1"/>
  <c r="P138" i="1"/>
  <c r="O138" i="1"/>
  <c r="N138" i="1"/>
  <c r="M138" i="1"/>
  <c r="L138" i="1"/>
  <c r="S138" i="1" s="1"/>
  <c r="P137" i="1"/>
  <c r="O137" i="1"/>
  <c r="N137" i="1"/>
  <c r="M137" i="1"/>
  <c r="L137" i="1"/>
  <c r="S137" i="1" s="1"/>
  <c r="P662" i="1"/>
  <c r="O662" i="1"/>
  <c r="N662" i="1"/>
  <c r="M662" i="1"/>
  <c r="L662" i="1"/>
  <c r="S662" i="1" s="1"/>
  <c r="P135" i="1"/>
  <c r="O135" i="1"/>
  <c r="N135" i="1"/>
  <c r="M135" i="1"/>
  <c r="L135" i="1"/>
  <c r="S135" i="1" s="1"/>
  <c r="P134" i="1"/>
  <c r="O134" i="1"/>
  <c r="N134" i="1"/>
  <c r="M134" i="1"/>
  <c r="L134" i="1"/>
  <c r="S134" i="1" s="1"/>
  <c r="P133" i="1"/>
  <c r="O133" i="1"/>
  <c r="N133" i="1"/>
  <c r="M133" i="1"/>
  <c r="L133" i="1"/>
  <c r="S133" i="1" s="1"/>
  <c r="P132" i="1"/>
  <c r="O132" i="1"/>
  <c r="N132" i="1"/>
  <c r="M132" i="1"/>
  <c r="L132" i="1"/>
  <c r="S132" i="1" s="1"/>
  <c r="P131" i="1"/>
  <c r="O131" i="1"/>
  <c r="N131" i="1"/>
  <c r="M131" i="1"/>
  <c r="L131" i="1"/>
  <c r="S131" i="1" s="1"/>
  <c r="P130" i="1"/>
  <c r="O130" i="1"/>
  <c r="N130" i="1"/>
  <c r="M130" i="1"/>
  <c r="L130" i="1"/>
  <c r="S130" i="1" s="1"/>
  <c r="P129" i="1"/>
  <c r="O129" i="1"/>
  <c r="N129" i="1"/>
  <c r="M129" i="1"/>
  <c r="L129" i="1"/>
  <c r="S129" i="1" s="1"/>
  <c r="P128" i="1"/>
  <c r="O128" i="1"/>
  <c r="N128" i="1"/>
  <c r="M128" i="1"/>
  <c r="L128" i="1"/>
  <c r="S128" i="1" s="1"/>
  <c r="P127" i="1"/>
  <c r="O127" i="1"/>
  <c r="N127" i="1"/>
  <c r="M127" i="1"/>
  <c r="L127" i="1"/>
  <c r="S127" i="1" s="1"/>
  <c r="P126" i="1"/>
  <c r="O126" i="1"/>
  <c r="N126" i="1"/>
  <c r="M126" i="1"/>
  <c r="L126" i="1"/>
  <c r="S126" i="1" s="1"/>
  <c r="P125" i="1"/>
  <c r="O125" i="1"/>
  <c r="N125" i="1"/>
  <c r="M125" i="1"/>
  <c r="L125" i="1"/>
  <c r="S125" i="1" s="1"/>
  <c r="P124" i="1"/>
  <c r="O124" i="1"/>
  <c r="N124" i="1"/>
  <c r="M124" i="1"/>
  <c r="L124" i="1"/>
  <c r="S124" i="1" s="1"/>
  <c r="P123" i="1"/>
  <c r="O123" i="1"/>
  <c r="N123" i="1"/>
  <c r="M123" i="1"/>
  <c r="L123" i="1"/>
  <c r="S123" i="1" s="1"/>
  <c r="P122" i="1"/>
  <c r="O122" i="1"/>
  <c r="N122" i="1"/>
  <c r="M122" i="1"/>
  <c r="L122" i="1"/>
  <c r="S122" i="1" s="1"/>
  <c r="P121" i="1"/>
  <c r="O121" i="1"/>
  <c r="N121" i="1"/>
  <c r="M121" i="1"/>
  <c r="L121" i="1"/>
  <c r="S121" i="1" s="1"/>
  <c r="P120" i="1"/>
  <c r="O120" i="1"/>
  <c r="N120" i="1"/>
  <c r="M120" i="1"/>
  <c r="L120" i="1"/>
  <c r="S120" i="1" s="1"/>
  <c r="P119" i="1"/>
  <c r="O119" i="1"/>
  <c r="N119" i="1"/>
  <c r="M119" i="1"/>
  <c r="L119" i="1"/>
  <c r="S119" i="1" s="1"/>
  <c r="P118" i="1"/>
  <c r="O118" i="1"/>
  <c r="N118" i="1"/>
  <c r="M118" i="1"/>
  <c r="L118" i="1"/>
  <c r="S118" i="1" s="1"/>
  <c r="P117" i="1"/>
  <c r="O117" i="1"/>
  <c r="N117" i="1"/>
  <c r="M117" i="1"/>
  <c r="L117" i="1"/>
  <c r="S117" i="1" s="1"/>
  <c r="P116" i="1"/>
  <c r="O116" i="1"/>
  <c r="N116" i="1"/>
  <c r="M116" i="1"/>
  <c r="L116" i="1"/>
  <c r="S116" i="1" s="1"/>
  <c r="P115" i="1"/>
  <c r="O115" i="1"/>
  <c r="N115" i="1"/>
  <c r="M115" i="1"/>
  <c r="L115" i="1"/>
  <c r="S115" i="1" s="1"/>
  <c r="P114" i="1"/>
  <c r="O114" i="1"/>
  <c r="N114" i="1"/>
  <c r="M114" i="1"/>
  <c r="L114" i="1"/>
  <c r="S114" i="1" s="1"/>
  <c r="P113" i="1"/>
  <c r="O113" i="1"/>
  <c r="N113" i="1"/>
  <c r="M113" i="1"/>
  <c r="L113" i="1"/>
  <c r="S113" i="1" s="1"/>
  <c r="P112" i="1"/>
  <c r="O112" i="1"/>
  <c r="N112" i="1"/>
  <c r="M112" i="1"/>
  <c r="L112" i="1"/>
  <c r="S112" i="1" s="1"/>
  <c r="P111" i="1"/>
  <c r="O111" i="1"/>
  <c r="N111" i="1"/>
  <c r="M111" i="1"/>
  <c r="L111" i="1"/>
  <c r="S111" i="1" s="1"/>
  <c r="P110" i="1"/>
  <c r="O110" i="1"/>
  <c r="N110" i="1"/>
  <c r="M110" i="1"/>
  <c r="L110" i="1"/>
  <c r="S110" i="1" s="1"/>
  <c r="P109" i="1"/>
  <c r="O109" i="1"/>
  <c r="N109" i="1"/>
  <c r="M109" i="1"/>
  <c r="L109" i="1"/>
  <c r="S109" i="1" s="1"/>
  <c r="P108" i="1"/>
  <c r="O108" i="1"/>
  <c r="N108" i="1"/>
  <c r="M108" i="1"/>
  <c r="L108" i="1"/>
  <c r="S108" i="1" s="1"/>
  <c r="P107" i="1"/>
  <c r="O107" i="1"/>
  <c r="N107" i="1"/>
  <c r="M107" i="1"/>
  <c r="L107" i="1"/>
  <c r="S107" i="1" s="1"/>
  <c r="P106" i="1"/>
  <c r="O106" i="1"/>
  <c r="N106" i="1"/>
  <c r="M106" i="1"/>
  <c r="L106" i="1"/>
  <c r="S106" i="1" s="1"/>
  <c r="P105" i="1"/>
  <c r="O105" i="1"/>
  <c r="N105" i="1"/>
  <c r="M105" i="1"/>
  <c r="L105" i="1"/>
  <c r="S105" i="1" s="1"/>
  <c r="P104" i="1"/>
  <c r="O104" i="1"/>
  <c r="N104" i="1"/>
  <c r="M104" i="1"/>
  <c r="L104" i="1"/>
  <c r="S104" i="1" s="1"/>
  <c r="P103" i="1"/>
  <c r="O103" i="1"/>
  <c r="N103" i="1"/>
  <c r="M103" i="1"/>
  <c r="L103" i="1"/>
  <c r="S103" i="1" s="1"/>
  <c r="P102" i="1"/>
  <c r="O102" i="1"/>
  <c r="N102" i="1"/>
  <c r="M102" i="1"/>
  <c r="L102" i="1"/>
  <c r="S102" i="1" s="1"/>
  <c r="P101" i="1"/>
  <c r="O101" i="1"/>
  <c r="N101" i="1"/>
  <c r="M101" i="1"/>
  <c r="L101" i="1"/>
  <c r="S101" i="1" s="1"/>
  <c r="P100" i="1"/>
  <c r="O100" i="1"/>
  <c r="N100" i="1"/>
  <c r="M100" i="1"/>
  <c r="L100" i="1"/>
  <c r="S100" i="1" s="1"/>
  <c r="P99" i="1"/>
  <c r="O99" i="1"/>
  <c r="N99" i="1"/>
  <c r="M99" i="1"/>
  <c r="L99" i="1"/>
  <c r="S99" i="1" s="1"/>
  <c r="P98" i="1"/>
  <c r="O98" i="1"/>
  <c r="N98" i="1"/>
  <c r="M98" i="1"/>
  <c r="L98" i="1"/>
  <c r="S98" i="1" s="1"/>
  <c r="P97" i="1"/>
  <c r="O97" i="1"/>
  <c r="N97" i="1"/>
  <c r="M97" i="1"/>
  <c r="L97" i="1"/>
  <c r="S97" i="1" s="1"/>
  <c r="P96" i="1"/>
  <c r="O96" i="1"/>
  <c r="N96" i="1"/>
  <c r="M96" i="1"/>
  <c r="L96" i="1"/>
  <c r="S96" i="1" s="1"/>
  <c r="P95" i="1"/>
  <c r="O95" i="1"/>
  <c r="N95" i="1"/>
  <c r="M95" i="1"/>
  <c r="L95" i="1"/>
  <c r="S95" i="1" s="1"/>
  <c r="P94" i="1"/>
  <c r="O94" i="1"/>
  <c r="N94" i="1"/>
  <c r="M94" i="1"/>
  <c r="L94" i="1"/>
  <c r="S94" i="1" s="1"/>
  <c r="P93" i="1"/>
  <c r="O93" i="1"/>
  <c r="N93" i="1"/>
  <c r="M93" i="1"/>
  <c r="L93" i="1"/>
  <c r="S93" i="1" s="1"/>
  <c r="P92" i="1"/>
  <c r="O92" i="1"/>
  <c r="N92" i="1"/>
  <c r="M92" i="1"/>
  <c r="L92" i="1"/>
  <c r="S92" i="1" s="1"/>
  <c r="P91" i="1"/>
  <c r="O91" i="1"/>
  <c r="N91" i="1"/>
  <c r="M91" i="1"/>
  <c r="L91" i="1"/>
  <c r="S91" i="1" s="1"/>
  <c r="P90" i="1"/>
  <c r="O90" i="1"/>
  <c r="N90" i="1"/>
  <c r="M90" i="1"/>
  <c r="L90" i="1"/>
  <c r="S90" i="1" s="1"/>
  <c r="P89" i="1"/>
  <c r="O89" i="1"/>
  <c r="N89" i="1"/>
  <c r="M89" i="1"/>
  <c r="L89" i="1"/>
  <c r="S89" i="1" s="1"/>
  <c r="P668" i="1"/>
  <c r="O668" i="1"/>
  <c r="N668" i="1"/>
  <c r="M668" i="1"/>
  <c r="L668" i="1"/>
  <c r="S668" i="1" s="1"/>
  <c r="P87" i="1"/>
  <c r="O87" i="1"/>
  <c r="N87" i="1"/>
  <c r="M87" i="1"/>
  <c r="L87" i="1"/>
  <c r="S87" i="1" s="1"/>
  <c r="P1453" i="1"/>
  <c r="O1453" i="1"/>
  <c r="N1453" i="1"/>
  <c r="M1453" i="1"/>
  <c r="L1453" i="1"/>
  <c r="S1453" i="1" s="1"/>
  <c r="P85" i="1"/>
  <c r="O85" i="1"/>
  <c r="N85" i="1"/>
  <c r="M85" i="1"/>
  <c r="L85" i="1"/>
  <c r="S85" i="1" s="1"/>
  <c r="P667" i="1"/>
  <c r="O667" i="1"/>
  <c r="N667" i="1"/>
  <c r="M667" i="1"/>
  <c r="L667" i="1"/>
  <c r="S667" i="1" s="1"/>
  <c r="P770" i="1"/>
  <c r="O770" i="1"/>
  <c r="N770" i="1"/>
  <c r="M770" i="1"/>
  <c r="L770" i="1"/>
  <c r="S770" i="1" s="1"/>
  <c r="P82" i="1"/>
  <c r="O82" i="1"/>
  <c r="N82" i="1"/>
  <c r="M82" i="1"/>
  <c r="L82" i="1"/>
  <c r="S82" i="1" s="1"/>
  <c r="P81" i="1"/>
  <c r="O81" i="1"/>
  <c r="N81" i="1"/>
  <c r="M81" i="1"/>
  <c r="L81" i="1"/>
  <c r="S81" i="1" s="1"/>
  <c r="P80" i="1"/>
  <c r="O80" i="1"/>
  <c r="N80" i="1"/>
  <c r="M80" i="1"/>
  <c r="L80" i="1"/>
  <c r="S80" i="1" s="1"/>
  <c r="P79" i="1"/>
  <c r="O79" i="1"/>
  <c r="N79" i="1"/>
  <c r="M79" i="1"/>
  <c r="L79" i="1"/>
  <c r="S79" i="1" s="1"/>
  <c r="P78" i="1"/>
  <c r="O78" i="1"/>
  <c r="N78" i="1"/>
  <c r="M78" i="1"/>
  <c r="L78" i="1"/>
  <c r="S78" i="1" s="1"/>
  <c r="P77" i="1"/>
  <c r="O77" i="1"/>
  <c r="N77" i="1"/>
  <c r="M77" i="1"/>
  <c r="L77" i="1"/>
  <c r="S77" i="1" s="1"/>
  <c r="P76" i="1"/>
  <c r="O76" i="1"/>
  <c r="N76" i="1"/>
  <c r="M76" i="1"/>
  <c r="L76" i="1"/>
  <c r="S76" i="1" s="1"/>
  <c r="P75" i="1"/>
  <c r="O75" i="1"/>
  <c r="N75" i="1"/>
  <c r="M75" i="1"/>
  <c r="L75" i="1"/>
  <c r="S75" i="1" s="1"/>
  <c r="P74" i="1"/>
  <c r="O74" i="1"/>
  <c r="N74" i="1"/>
  <c r="M74" i="1"/>
  <c r="L74" i="1"/>
  <c r="S74" i="1" s="1"/>
  <c r="P73" i="1"/>
  <c r="O73" i="1"/>
  <c r="N73" i="1"/>
  <c r="M73" i="1"/>
  <c r="L73" i="1"/>
  <c r="S73" i="1" s="1"/>
  <c r="P72" i="1"/>
  <c r="O72" i="1"/>
  <c r="N72" i="1"/>
  <c r="M72" i="1"/>
  <c r="L72" i="1"/>
  <c r="S72" i="1" s="1"/>
  <c r="P71" i="1"/>
  <c r="O71" i="1"/>
  <c r="N71" i="1"/>
  <c r="M71" i="1"/>
  <c r="L71" i="1"/>
  <c r="S71" i="1" s="1"/>
  <c r="P70" i="1"/>
  <c r="O70" i="1"/>
  <c r="N70" i="1"/>
  <c r="M70" i="1"/>
  <c r="L70" i="1"/>
  <c r="S70" i="1" s="1"/>
  <c r="P69" i="1"/>
  <c r="O69" i="1"/>
  <c r="N69" i="1"/>
  <c r="M69" i="1"/>
  <c r="L69" i="1"/>
  <c r="S69" i="1" s="1"/>
  <c r="P68" i="1"/>
  <c r="O68" i="1"/>
  <c r="N68" i="1"/>
  <c r="M68" i="1"/>
  <c r="L68" i="1"/>
  <c r="S68" i="1" s="1"/>
  <c r="P67" i="1"/>
  <c r="O67" i="1"/>
  <c r="N67" i="1"/>
  <c r="M67" i="1"/>
  <c r="L67" i="1"/>
  <c r="S67" i="1" s="1"/>
  <c r="P66" i="1"/>
  <c r="O66" i="1"/>
  <c r="N66" i="1"/>
  <c r="M66" i="1"/>
  <c r="L66" i="1"/>
  <c r="S66" i="1" s="1"/>
  <c r="P65" i="1"/>
  <c r="O65" i="1"/>
  <c r="N65" i="1"/>
  <c r="M65" i="1"/>
  <c r="L65" i="1"/>
  <c r="S65" i="1" s="1"/>
  <c r="P64" i="1"/>
  <c r="O64" i="1"/>
  <c r="N64" i="1"/>
  <c r="M64" i="1"/>
  <c r="L64" i="1"/>
  <c r="S64" i="1" s="1"/>
  <c r="P63" i="1"/>
  <c r="O63" i="1"/>
  <c r="N63" i="1"/>
  <c r="M63" i="1"/>
  <c r="L63" i="1"/>
  <c r="S63" i="1" s="1"/>
  <c r="P62" i="1"/>
  <c r="O62" i="1"/>
  <c r="N62" i="1"/>
  <c r="M62" i="1"/>
  <c r="L62" i="1"/>
  <c r="S62" i="1" s="1"/>
  <c r="P61" i="1"/>
  <c r="O61" i="1"/>
  <c r="N61" i="1"/>
  <c r="M61" i="1"/>
  <c r="L61" i="1"/>
  <c r="S61" i="1" s="1"/>
  <c r="P60" i="1"/>
  <c r="O60" i="1"/>
  <c r="N60" i="1"/>
  <c r="M60" i="1"/>
  <c r="L60" i="1"/>
  <c r="S60" i="1" s="1"/>
  <c r="P59" i="1"/>
  <c r="O59" i="1"/>
  <c r="N59" i="1"/>
  <c r="M59" i="1"/>
  <c r="L59" i="1"/>
  <c r="S59" i="1" s="1"/>
  <c r="P58" i="1"/>
  <c r="O58" i="1"/>
  <c r="N58" i="1"/>
  <c r="M58" i="1"/>
  <c r="L58" i="1"/>
  <c r="S58" i="1" s="1"/>
  <c r="P57" i="1"/>
  <c r="O57" i="1"/>
  <c r="N57" i="1"/>
  <c r="M57" i="1"/>
  <c r="L57" i="1"/>
  <c r="S57" i="1" s="1"/>
  <c r="P56" i="1"/>
  <c r="O56" i="1"/>
  <c r="N56" i="1"/>
  <c r="M56" i="1"/>
  <c r="L56" i="1"/>
  <c r="S56" i="1" s="1"/>
  <c r="P666" i="1"/>
  <c r="O666" i="1"/>
  <c r="N666" i="1"/>
  <c r="M666" i="1"/>
  <c r="L666" i="1"/>
  <c r="S666" i="1" s="1"/>
  <c r="P1452" i="1"/>
  <c r="O1452" i="1"/>
  <c r="N1452" i="1"/>
  <c r="M1452" i="1"/>
  <c r="L1452" i="1"/>
  <c r="S1452" i="1" s="1"/>
  <c r="P1451" i="1"/>
  <c r="O1451" i="1"/>
  <c r="N1451" i="1"/>
  <c r="M1451" i="1"/>
  <c r="L1451" i="1"/>
  <c r="S1451" i="1" s="1"/>
  <c r="P52" i="1"/>
  <c r="O52" i="1"/>
  <c r="N52" i="1"/>
  <c r="M52" i="1"/>
  <c r="L52" i="1"/>
  <c r="S52" i="1" s="1"/>
  <c r="P51" i="1"/>
  <c r="O51" i="1"/>
  <c r="N51" i="1"/>
  <c r="M51" i="1"/>
  <c r="L51" i="1"/>
  <c r="S51" i="1" s="1"/>
  <c r="P50" i="1"/>
  <c r="O50" i="1"/>
  <c r="N50" i="1"/>
  <c r="M50" i="1"/>
  <c r="L50" i="1"/>
  <c r="S50" i="1" s="1"/>
  <c r="P49" i="1"/>
  <c r="O49" i="1"/>
  <c r="N49" i="1"/>
  <c r="M49" i="1"/>
  <c r="L49" i="1"/>
  <c r="S49" i="1" s="1"/>
  <c r="P48" i="1"/>
  <c r="O48" i="1"/>
  <c r="N48" i="1"/>
  <c r="M48" i="1"/>
  <c r="L48" i="1"/>
  <c r="S48" i="1" s="1"/>
  <c r="P47" i="1"/>
  <c r="O47" i="1"/>
  <c r="N47" i="1"/>
  <c r="M47" i="1"/>
  <c r="L47" i="1"/>
  <c r="S47" i="1" s="1"/>
  <c r="P46" i="1"/>
  <c r="O46" i="1"/>
  <c r="N46" i="1"/>
  <c r="M46" i="1"/>
  <c r="L46" i="1"/>
  <c r="S46" i="1" s="1"/>
  <c r="P45" i="1"/>
  <c r="O45" i="1"/>
  <c r="N45" i="1"/>
  <c r="M45" i="1"/>
  <c r="L45" i="1"/>
  <c r="S45" i="1" s="1"/>
  <c r="P44" i="1"/>
  <c r="O44" i="1"/>
  <c r="N44" i="1"/>
  <c r="M44" i="1"/>
  <c r="L44" i="1"/>
  <c r="S44" i="1" s="1"/>
  <c r="P43" i="1"/>
  <c r="O43" i="1"/>
  <c r="N43" i="1"/>
  <c r="M43" i="1"/>
  <c r="L43" i="1"/>
  <c r="S43" i="1" s="1"/>
  <c r="P42" i="1"/>
  <c r="O42" i="1"/>
  <c r="N42" i="1"/>
  <c r="M42" i="1"/>
  <c r="L42" i="1"/>
  <c r="S42" i="1" s="1"/>
  <c r="P41" i="1"/>
  <c r="O41" i="1"/>
  <c r="N41" i="1"/>
  <c r="M41" i="1"/>
  <c r="L41" i="1"/>
  <c r="S41" i="1" s="1"/>
  <c r="P40" i="1"/>
  <c r="O40" i="1"/>
  <c r="N40" i="1"/>
  <c r="M40" i="1"/>
  <c r="L40" i="1"/>
  <c r="S40" i="1" s="1"/>
  <c r="P768" i="1"/>
  <c r="O768" i="1"/>
  <c r="N768" i="1"/>
  <c r="M768" i="1"/>
  <c r="L768" i="1"/>
  <c r="S768" i="1" s="1"/>
  <c r="P1450" i="1"/>
  <c r="O1450" i="1"/>
  <c r="N1450" i="1"/>
  <c r="M1450" i="1"/>
  <c r="L1450" i="1"/>
  <c r="S1450" i="1" s="1"/>
  <c r="P665" i="1"/>
  <c r="O665" i="1"/>
  <c r="N665" i="1"/>
  <c r="M665" i="1"/>
  <c r="L665" i="1"/>
  <c r="S665" i="1" s="1"/>
  <c r="P1449" i="1"/>
  <c r="O1449" i="1"/>
  <c r="N1449" i="1"/>
  <c r="M1449" i="1"/>
  <c r="L1449" i="1"/>
  <c r="S1449" i="1" s="1"/>
  <c r="P664" i="1"/>
  <c r="O664" i="1"/>
  <c r="N664" i="1"/>
  <c r="M664" i="1"/>
  <c r="L664" i="1"/>
  <c r="S664" i="1" s="1"/>
  <c r="P34" i="1"/>
  <c r="O34" i="1"/>
  <c r="N34" i="1"/>
  <c r="M34" i="1"/>
  <c r="L34" i="1"/>
  <c r="S34" i="1" s="1"/>
  <c r="P1217" i="1"/>
  <c r="O1217" i="1"/>
  <c r="N1217" i="1"/>
  <c r="M1217" i="1"/>
  <c r="L1217" i="1"/>
  <c r="S1217" i="1" s="1"/>
  <c r="P32" i="1"/>
  <c r="O32" i="1"/>
  <c r="N32" i="1"/>
  <c r="M32" i="1"/>
  <c r="L32" i="1"/>
  <c r="S32" i="1" s="1"/>
  <c r="P31" i="1"/>
  <c r="O31" i="1"/>
  <c r="N31" i="1"/>
  <c r="M31" i="1"/>
  <c r="L31" i="1"/>
  <c r="S31" i="1" s="1"/>
  <c r="P30" i="1"/>
  <c r="O30" i="1"/>
  <c r="N30" i="1"/>
  <c r="M30" i="1"/>
  <c r="L30" i="1"/>
  <c r="S30" i="1" s="1"/>
  <c r="P663" i="1"/>
  <c r="O663" i="1"/>
  <c r="N663" i="1"/>
  <c r="M663" i="1"/>
  <c r="L663" i="1"/>
  <c r="S663" i="1" s="1"/>
  <c r="P28" i="1"/>
  <c r="O28" i="1"/>
  <c r="N28" i="1"/>
  <c r="M28" i="1"/>
  <c r="L28" i="1"/>
  <c r="S28" i="1" s="1"/>
  <c r="P27" i="1"/>
  <c r="O27" i="1"/>
  <c r="N27" i="1"/>
  <c r="M27" i="1"/>
  <c r="L27" i="1"/>
  <c r="S27" i="1" s="1"/>
  <c r="P26" i="1"/>
  <c r="O26" i="1"/>
  <c r="N26" i="1"/>
  <c r="M26" i="1"/>
  <c r="L26" i="1"/>
  <c r="S26" i="1" s="1"/>
  <c r="P25" i="1"/>
  <c r="O25" i="1"/>
  <c r="N25" i="1"/>
  <c r="M25" i="1"/>
  <c r="L25" i="1"/>
  <c r="S25" i="1" s="1"/>
  <c r="P24" i="1"/>
  <c r="O24" i="1"/>
  <c r="N24" i="1"/>
  <c r="M24" i="1"/>
  <c r="L24" i="1"/>
  <c r="S24" i="1" s="1"/>
  <c r="P23" i="1"/>
  <c r="O23" i="1"/>
  <c r="N23" i="1"/>
  <c r="M23" i="1"/>
  <c r="L23" i="1"/>
  <c r="S23" i="1" s="1"/>
  <c r="P22" i="1"/>
  <c r="O22" i="1"/>
  <c r="N22" i="1"/>
  <c r="M22" i="1"/>
  <c r="L22" i="1"/>
  <c r="S22" i="1" s="1"/>
  <c r="P21" i="1"/>
  <c r="O21" i="1"/>
  <c r="N21" i="1"/>
  <c r="M21" i="1"/>
  <c r="L21" i="1"/>
  <c r="S21" i="1" s="1"/>
  <c r="P20" i="1"/>
  <c r="O20" i="1"/>
  <c r="N20" i="1"/>
  <c r="M20" i="1"/>
  <c r="L20" i="1"/>
  <c r="S20" i="1" s="1"/>
  <c r="P19" i="1"/>
  <c r="O19" i="1"/>
  <c r="N19" i="1"/>
  <c r="M19" i="1"/>
  <c r="L19" i="1"/>
  <c r="S19" i="1" s="1"/>
  <c r="P18" i="1"/>
  <c r="O18" i="1"/>
  <c r="N18" i="1"/>
  <c r="M18" i="1"/>
  <c r="L18" i="1"/>
  <c r="S18" i="1" s="1"/>
  <c r="P17" i="1"/>
  <c r="O17" i="1"/>
  <c r="N17" i="1"/>
  <c r="M17" i="1"/>
  <c r="L17" i="1"/>
  <c r="S17" i="1" s="1"/>
  <c r="P16" i="1"/>
  <c r="O16" i="1"/>
  <c r="N16" i="1"/>
  <c r="M16" i="1"/>
  <c r="P15" i="1"/>
  <c r="O15" i="1"/>
  <c r="N15" i="1"/>
  <c r="M15" i="1"/>
  <c r="L15" i="1"/>
  <c r="S15" i="1" s="1"/>
  <c r="P14" i="1"/>
  <c r="O14" i="1"/>
  <c r="N14" i="1"/>
  <c r="M14" i="1"/>
  <c r="L14" i="1"/>
  <c r="S14" i="1" s="1"/>
  <c r="P13" i="1"/>
  <c r="O13" i="1"/>
  <c r="N13" i="1"/>
  <c r="M13" i="1"/>
  <c r="L13" i="1"/>
  <c r="S13" i="1" s="1"/>
  <c r="P12" i="1"/>
  <c r="O12" i="1"/>
  <c r="N12" i="1"/>
  <c r="M12" i="1"/>
  <c r="L12" i="1"/>
  <c r="S12" i="1" s="1"/>
  <c r="P11" i="1"/>
  <c r="O11" i="1"/>
  <c r="N11" i="1"/>
  <c r="M11" i="1"/>
  <c r="L11" i="1"/>
  <c r="S11" i="1" s="1"/>
  <c r="P10" i="1"/>
  <c r="O10" i="1"/>
  <c r="N10" i="1"/>
  <c r="M10" i="1"/>
  <c r="L10" i="1"/>
  <c r="S10" i="1" s="1"/>
  <c r="P9" i="1"/>
  <c r="O9" i="1"/>
  <c r="N9" i="1"/>
  <c r="M9" i="1"/>
  <c r="L9" i="1"/>
  <c r="S9" i="1" s="1"/>
  <c r="P8" i="1"/>
  <c r="O8" i="1"/>
  <c r="N8" i="1"/>
  <c r="M8" i="1"/>
  <c r="P7" i="1"/>
  <c r="O7" i="1"/>
  <c r="N7" i="1"/>
  <c r="M7" i="1"/>
  <c r="L7" i="1"/>
  <c r="S7" i="1" s="1"/>
  <c r="P6" i="1"/>
  <c r="O6" i="1"/>
  <c r="N6" i="1"/>
  <c r="M6" i="1"/>
  <c r="L6" i="1"/>
  <c r="S6" i="1" s="1"/>
  <c r="P5" i="1"/>
  <c r="O5" i="1"/>
  <c r="N5" i="1"/>
  <c r="M5" i="1"/>
  <c r="L5" i="1"/>
  <c r="S5" i="1" s="1"/>
  <c r="P4" i="1"/>
  <c r="O4" i="1"/>
  <c r="N4" i="1"/>
  <c r="M4" i="1"/>
  <c r="L4" i="1"/>
  <c r="S4" i="1" s="1"/>
  <c r="O661" i="1"/>
  <c r="N661" i="1"/>
  <c r="M661" i="1"/>
  <c r="L661" i="1"/>
  <c r="S661" i="1" s="1"/>
  <c r="L8" i="1"/>
  <c r="S8" i="1" s="1"/>
  <c r="K66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631" i="1"/>
  <c r="K630" i="1"/>
  <c r="K629" i="1"/>
  <c r="K1519" i="1"/>
  <c r="K628" i="1"/>
  <c r="K627" i="1"/>
  <c r="K62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660" i="1"/>
  <c r="K659" i="1"/>
  <c r="K658" i="1"/>
  <c r="K657" i="1"/>
  <c r="K656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988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887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625" i="1"/>
  <c r="K886" i="1"/>
  <c r="K624" i="1"/>
  <c r="K884" i="1"/>
  <c r="K62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622" i="1"/>
  <c r="K867" i="1"/>
  <c r="K621" i="1"/>
  <c r="K675" i="1"/>
  <c r="K674" i="1"/>
  <c r="K885" i="1"/>
  <c r="K883" i="1"/>
  <c r="K868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487" i="1"/>
  <c r="K483" i="1"/>
  <c r="K362" i="1"/>
  <c r="K361" i="1"/>
  <c r="K360" i="1"/>
  <c r="K776" i="1"/>
  <c r="K775" i="1"/>
  <c r="K774" i="1"/>
  <c r="K773" i="1"/>
  <c r="K772" i="1"/>
  <c r="K771" i="1"/>
  <c r="K359" i="1"/>
  <c r="K769" i="1"/>
  <c r="K358" i="1"/>
  <c r="K767" i="1"/>
  <c r="K357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356" i="1"/>
  <c r="K355" i="1"/>
  <c r="K742" i="1"/>
  <c r="K741" i="1"/>
  <c r="K740" i="1"/>
  <c r="K739" i="1"/>
  <c r="K738" i="1"/>
  <c r="K737" i="1"/>
  <c r="K736" i="1"/>
  <c r="K735" i="1"/>
  <c r="K734" i="1"/>
  <c r="K35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1522" i="1"/>
  <c r="K766" i="1"/>
  <c r="K744" i="1"/>
  <c r="K743" i="1"/>
  <c r="K733" i="1"/>
  <c r="K701" i="1"/>
  <c r="K700" i="1"/>
  <c r="K655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352" i="1"/>
  <c r="K351" i="1"/>
  <c r="K350" i="1"/>
  <c r="K349" i="1"/>
  <c r="K348" i="1"/>
  <c r="K347" i="1"/>
  <c r="K346" i="1"/>
  <c r="K345" i="1"/>
  <c r="K297" i="1"/>
  <c r="K295" i="1"/>
  <c r="K292" i="1"/>
  <c r="K288" i="1"/>
  <c r="K169" i="1"/>
  <c r="K136" i="1"/>
  <c r="K88" i="1"/>
  <c r="K86" i="1"/>
  <c r="K84" i="1"/>
  <c r="K83" i="1"/>
  <c r="K55" i="1"/>
  <c r="K54" i="1"/>
  <c r="K53" i="1"/>
  <c r="K39" i="1"/>
  <c r="K38" i="1"/>
  <c r="K37" i="1"/>
  <c r="K36" i="1"/>
  <c r="K1521" i="1"/>
  <c r="K643" i="1"/>
  <c r="K642" i="1"/>
  <c r="K641" i="1"/>
  <c r="K640" i="1"/>
  <c r="K639" i="1"/>
  <c r="K638" i="1"/>
  <c r="K637" i="1"/>
  <c r="K636" i="1"/>
  <c r="K654" i="1"/>
  <c r="K653" i="1"/>
  <c r="K652" i="1"/>
  <c r="K651" i="1"/>
  <c r="K650" i="1"/>
  <c r="K649" i="1"/>
  <c r="K648" i="1"/>
  <c r="K647" i="1"/>
  <c r="K646" i="1"/>
  <c r="K645" i="1"/>
  <c r="K644" i="1"/>
  <c r="K635" i="1"/>
  <c r="K634" i="1"/>
  <c r="K633" i="1"/>
  <c r="K632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836" i="1"/>
  <c r="K486" i="1"/>
  <c r="K485" i="1"/>
  <c r="K484" i="1"/>
  <c r="K835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834" i="1"/>
  <c r="K833" i="1"/>
  <c r="K35" i="1"/>
  <c r="K673" i="1"/>
  <c r="K832" i="1"/>
  <c r="K831" i="1"/>
  <c r="K33" i="1"/>
  <c r="K781" i="1"/>
  <c r="K354" i="1"/>
  <c r="K780" i="1"/>
  <c r="K672" i="1"/>
  <c r="K29" i="1"/>
  <c r="K671" i="1"/>
  <c r="K779" i="1"/>
  <c r="K3" i="1"/>
  <c r="K778" i="1"/>
  <c r="K777" i="1"/>
  <c r="K670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1520" i="1"/>
  <c r="K296" i="1"/>
  <c r="K1518" i="1"/>
  <c r="K294" i="1"/>
  <c r="K293" i="1"/>
  <c r="K1517" i="1"/>
  <c r="K291" i="1"/>
  <c r="K290" i="1"/>
  <c r="K289" i="1"/>
  <c r="K1516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6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662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668" i="1"/>
  <c r="K87" i="1"/>
  <c r="K1453" i="1"/>
  <c r="K85" i="1"/>
  <c r="K667" i="1"/>
  <c r="K770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666" i="1"/>
  <c r="K1452" i="1"/>
  <c r="K1451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768" i="1"/>
  <c r="K1450" i="1"/>
  <c r="K665" i="1"/>
  <c r="K1449" i="1"/>
  <c r="K664" i="1"/>
  <c r="K34" i="1"/>
  <c r="K1217" i="1"/>
  <c r="K32" i="1"/>
  <c r="K31" i="1"/>
  <c r="K30" i="1"/>
  <c r="K663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J1629" i="1"/>
  <c r="R1629" i="1" s="1"/>
  <c r="T1629" i="1" s="1"/>
  <c r="J1628" i="1"/>
  <c r="R1628" i="1" s="1"/>
  <c r="T1628" i="1" s="1"/>
  <c r="J1627" i="1"/>
  <c r="R1627" i="1" s="1"/>
  <c r="T1627" i="1" s="1"/>
  <c r="J1626" i="1"/>
  <c r="R1626" i="1" s="1"/>
  <c r="T1626" i="1" s="1"/>
  <c r="J1625" i="1"/>
  <c r="R1625" i="1" s="1"/>
  <c r="T1625" i="1" s="1"/>
  <c r="J1624" i="1"/>
  <c r="R1624" i="1" s="1"/>
  <c r="T1624" i="1" s="1"/>
  <c r="J1623" i="1"/>
  <c r="R1623" i="1" s="1"/>
  <c r="J1622" i="1"/>
  <c r="R1622" i="1" s="1"/>
  <c r="T1622" i="1" s="1"/>
  <c r="J1621" i="1"/>
  <c r="R1621" i="1" s="1"/>
  <c r="T1621" i="1" s="1"/>
  <c r="J1620" i="1"/>
  <c r="R1620" i="1" s="1"/>
  <c r="T1620" i="1" s="1"/>
  <c r="J1619" i="1"/>
  <c r="R1619" i="1" s="1"/>
  <c r="T1619" i="1" s="1"/>
  <c r="J1618" i="1"/>
  <c r="R1618" i="1" s="1"/>
  <c r="T1618" i="1" s="1"/>
  <c r="J1617" i="1"/>
  <c r="R1617" i="1" s="1"/>
  <c r="T1617" i="1" s="1"/>
  <c r="J1616" i="1"/>
  <c r="R1616" i="1" s="1"/>
  <c r="T1616" i="1" s="1"/>
  <c r="J1615" i="1"/>
  <c r="R1615" i="1" s="1"/>
  <c r="J1614" i="1"/>
  <c r="R1614" i="1" s="1"/>
  <c r="T1614" i="1" s="1"/>
  <c r="J1613" i="1"/>
  <c r="R1613" i="1" s="1"/>
  <c r="T1613" i="1" s="1"/>
  <c r="J1612" i="1"/>
  <c r="R1612" i="1" s="1"/>
  <c r="T1612" i="1" s="1"/>
  <c r="J1611" i="1"/>
  <c r="R1611" i="1" s="1"/>
  <c r="T1611" i="1" s="1"/>
  <c r="J1610" i="1"/>
  <c r="R1610" i="1" s="1"/>
  <c r="T1610" i="1" s="1"/>
  <c r="J1609" i="1"/>
  <c r="R1609" i="1" s="1"/>
  <c r="T1609" i="1" s="1"/>
  <c r="J1608" i="1"/>
  <c r="R1608" i="1" s="1"/>
  <c r="T1608" i="1" s="1"/>
  <c r="J1607" i="1"/>
  <c r="R1607" i="1" s="1"/>
  <c r="J1606" i="1"/>
  <c r="R1606" i="1" s="1"/>
  <c r="T1606" i="1" s="1"/>
  <c r="J1605" i="1"/>
  <c r="R1605" i="1" s="1"/>
  <c r="T1605" i="1" s="1"/>
  <c r="J1604" i="1"/>
  <c r="R1604" i="1" s="1"/>
  <c r="T1604" i="1" s="1"/>
  <c r="J1603" i="1"/>
  <c r="R1603" i="1" s="1"/>
  <c r="T1603" i="1" s="1"/>
  <c r="J1602" i="1"/>
  <c r="R1602" i="1" s="1"/>
  <c r="T1602" i="1" s="1"/>
  <c r="J1601" i="1"/>
  <c r="R1601" i="1" s="1"/>
  <c r="T1601" i="1" s="1"/>
  <c r="J1600" i="1"/>
  <c r="R1600" i="1" s="1"/>
  <c r="T1600" i="1" s="1"/>
  <c r="J1599" i="1"/>
  <c r="R1599" i="1" s="1"/>
  <c r="J1598" i="1"/>
  <c r="R1598" i="1" s="1"/>
  <c r="T1598" i="1" s="1"/>
  <c r="J1597" i="1"/>
  <c r="R1597" i="1" s="1"/>
  <c r="T1597" i="1" s="1"/>
  <c r="J1596" i="1"/>
  <c r="R1596" i="1" s="1"/>
  <c r="T1596" i="1" s="1"/>
  <c r="J1595" i="1"/>
  <c r="R1595" i="1" s="1"/>
  <c r="T1595" i="1" s="1"/>
  <c r="J1594" i="1"/>
  <c r="R1594" i="1" s="1"/>
  <c r="T1594" i="1" s="1"/>
  <c r="J1593" i="1"/>
  <c r="R1593" i="1" s="1"/>
  <c r="T1593" i="1" s="1"/>
  <c r="J1592" i="1"/>
  <c r="R1592" i="1" s="1"/>
  <c r="T1592" i="1" s="1"/>
  <c r="J1591" i="1"/>
  <c r="R1591" i="1" s="1"/>
  <c r="J1590" i="1"/>
  <c r="R1590" i="1" s="1"/>
  <c r="T1590" i="1" s="1"/>
  <c r="J1589" i="1"/>
  <c r="R1589" i="1" s="1"/>
  <c r="T1589" i="1" s="1"/>
  <c r="J1588" i="1"/>
  <c r="R1588" i="1" s="1"/>
  <c r="T1588" i="1" s="1"/>
  <c r="J1587" i="1"/>
  <c r="R1587" i="1" s="1"/>
  <c r="T1587" i="1" s="1"/>
  <c r="J1586" i="1"/>
  <c r="R1586" i="1" s="1"/>
  <c r="T1586" i="1" s="1"/>
  <c r="J1585" i="1"/>
  <c r="R1585" i="1" s="1"/>
  <c r="T1585" i="1" s="1"/>
  <c r="J1584" i="1"/>
  <c r="R1584" i="1" s="1"/>
  <c r="T1584" i="1" s="1"/>
  <c r="J1583" i="1"/>
  <c r="R1583" i="1" s="1"/>
  <c r="J1582" i="1"/>
  <c r="R1582" i="1" s="1"/>
  <c r="T1582" i="1" s="1"/>
  <c r="J1581" i="1"/>
  <c r="R1581" i="1" s="1"/>
  <c r="T1581" i="1" s="1"/>
  <c r="J1580" i="1"/>
  <c r="R1580" i="1" s="1"/>
  <c r="T1580" i="1" s="1"/>
  <c r="J1579" i="1"/>
  <c r="R1579" i="1" s="1"/>
  <c r="T1579" i="1" s="1"/>
  <c r="J1578" i="1"/>
  <c r="R1578" i="1" s="1"/>
  <c r="T1578" i="1" s="1"/>
  <c r="J1577" i="1"/>
  <c r="R1577" i="1" s="1"/>
  <c r="T1577" i="1" s="1"/>
  <c r="J1576" i="1"/>
  <c r="R1576" i="1" s="1"/>
  <c r="T1576" i="1" s="1"/>
  <c r="J1575" i="1"/>
  <c r="R1575" i="1" s="1"/>
  <c r="J1574" i="1"/>
  <c r="R1574" i="1" s="1"/>
  <c r="T1574" i="1" s="1"/>
  <c r="J1573" i="1"/>
  <c r="R1573" i="1" s="1"/>
  <c r="T1573" i="1" s="1"/>
  <c r="J1572" i="1"/>
  <c r="R1572" i="1" s="1"/>
  <c r="T1572" i="1" s="1"/>
  <c r="J1571" i="1"/>
  <c r="R1571" i="1" s="1"/>
  <c r="T1571" i="1" s="1"/>
  <c r="J1570" i="1"/>
  <c r="R1570" i="1" s="1"/>
  <c r="T1570" i="1" s="1"/>
  <c r="J1569" i="1"/>
  <c r="R1569" i="1" s="1"/>
  <c r="T1569" i="1" s="1"/>
  <c r="J1568" i="1"/>
  <c r="R1568" i="1" s="1"/>
  <c r="T1568" i="1" s="1"/>
  <c r="J1567" i="1"/>
  <c r="R1567" i="1" s="1"/>
  <c r="J1566" i="1"/>
  <c r="R1566" i="1" s="1"/>
  <c r="T1566" i="1" s="1"/>
  <c r="J1565" i="1"/>
  <c r="R1565" i="1" s="1"/>
  <c r="T1565" i="1" s="1"/>
  <c r="J1564" i="1"/>
  <c r="R1564" i="1" s="1"/>
  <c r="T1564" i="1" s="1"/>
  <c r="J1563" i="1"/>
  <c r="R1563" i="1" s="1"/>
  <c r="T1563" i="1" s="1"/>
  <c r="J1562" i="1"/>
  <c r="R1562" i="1" s="1"/>
  <c r="T1562" i="1" s="1"/>
  <c r="J1561" i="1"/>
  <c r="R1561" i="1" s="1"/>
  <c r="T1561" i="1" s="1"/>
  <c r="J1560" i="1"/>
  <c r="R1560" i="1" s="1"/>
  <c r="T1560" i="1" s="1"/>
  <c r="J1559" i="1"/>
  <c r="R1559" i="1" s="1"/>
  <c r="J1558" i="1"/>
  <c r="R1558" i="1" s="1"/>
  <c r="T1558" i="1" s="1"/>
  <c r="J1557" i="1"/>
  <c r="R1557" i="1" s="1"/>
  <c r="T1557" i="1" s="1"/>
  <c r="J1556" i="1"/>
  <c r="R1556" i="1" s="1"/>
  <c r="T1556" i="1" s="1"/>
  <c r="J1555" i="1"/>
  <c r="R1555" i="1" s="1"/>
  <c r="T1555" i="1" s="1"/>
  <c r="J1554" i="1"/>
  <c r="R1554" i="1" s="1"/>
  <c r="T1554" i="1" s="1"/>
  <c r="J1553" i="1"/>
  <c r="R1553" i="1" s="1"/>
  <c r="T1553" i="1" s="1"/>
  <c r="J1552" i="1"/>
  <c r="R1552" i="1" s="1"/>
  <c r="T1552" i="1" s="1"/>
  <c r="J1551" i="1"/>
  <c r="R1551" i="1" s="1"/>
  <c r="J1550" i="1"/>
  <c r="R1550" i="1" s="1"/>
  <c r="T1550" i="1" s="1"/>
  <c r="J1549" i="1"/>
  <c r="R1549" i="1" s="1"/>
  <c r="T1549" i="1" s="1"/>
  <c r="J1548" i="1"/>
  <c r="R1548" i="1" s="1"/>
  <c r="T1548" i="1" s="1"/>
  <c r="J1547" i="1"/>
  <c r="R1547" i="1" s="1"/>
  <c r="T1547" i="1" s="1"/>
  <c r="J1546" i="1"/>
  <c r="R1546" i="1" s="1"/>
  <c r="T1546" i="1" s="1"/>
  <c r="J1545" i="1"/>
  <c r="R1545" i="1" s="1"/>
  <c r="T1545" i="1" s="1"/>
  <c r="J1544" i="1"/>
  <c r="R1544" i="1" s="1"/>
  <c r="T1544" i="1" s="1"/>
  <c r="J1543" i="1"/>
  <c r="R1543" i="1" s="1"/>
  <c r="J1542" i="1"/>
  <c r="R1542" i="1" s="1"/>
  <c r="T1542" i="1" s="1"/>
  <c r="J1541" i="1"/>
  <c r="R1541" i="1" s="1"/>
  <c r="T1541" i="1" s="1"/>
  <c r="J1540" i="1"/>
  <c r="R1540" i="1" s="1"/>
  <c r="T1540" i="1" s="1"/>
  <c r="J1539" i="1"/>
  <c r="R1539" i="1" s="1"/>
  <c r="T1539" i="1" s="1"/>
  <c r="J1538" i="1"/>
  <c r="R1538" i="1" s="1"/>
  <c r="T1538" i="1" s="1"/>
  <c r="J1537" i="1"/>
  <c r="R1537" i="1" s="1"/>
  <c r="T1537" i="1" s="1"/>
  <c r="J1536" i="1"/>
  <c r="R1536" i="1" s="1"/>
  <c r="T1536" i="1" s="1"/>
  <c r="J1535" i="1"/>
  <c r="R1535" i="1" s="1"/>
  <c r="J1534" i="1"/>
  <c r="R1534" i="1" s="1"/>
  <c r="T1534" i="1" s="1"/>
  <c r="J1533" i="1"/>
  <c r="R1533" i="1" s="1"/>
  <c r="T1533" i="1" s="1"/>
  <c r="J1532" i="1"/>
  <c r="R1532" i="1" s="1"/>
  <c r="T1532" i="1" s="1"/>
  <c r="J1531" i="1"/>
  <c r="R1531" i="1" s="1"/>
  <c r="T1531" i="1" s="1"/>
  <c r="J1530" i="1"/>
  <c r="R1530" i="1" s="1"/>
  <c r="T1530" i="1" s="1"/>
  <c r="J1529" i="1"/>
  <c r="R1529" i="1" s="1"/>
  <c r="T1529" i="1" s="1"/>
  <c r="J1528" i="1"/>
  <c r="R1528" i="1" s="1"/>
  <c r="T1528" i="1" s="1"/>
  <c r="J1527" i="1"/>
  <c r="R1527" i="1" s="1"/>
  <c r="J1526" i="1"/>
  <c r="R1526" i="1" s="1"/>
  <c r="T1526" i="1" s="1"/>
  <c r="J1525" i="1"/>
  <c r="R1525" i="1" s="1"/>
  <c r="T1525" i="1" s="1"/>
  <c r="J1524" i="1"/>
  <c r="R1524" i="1" s="1"/>
  <c r="T1524" i="1" s="1"/>
  <c r="J1523" i="1"/>
  <c r="R1523" i="1" s="1"/>
  <c r="T1523" i="1" s="1"/>
  <c r="J631" i="1"/>
  <c r="R631" i="1" s="1"/>
  <c r="T631" i="1" s="1"/>
  <c r="J630" i="1"/>
  <c r="R630" i="1" s="1"/>
  <c r="T630" i="1" s="1"/>
  <c r="J629" i="1"/>
  <c r="R629" i="1" s="1"/>
  <c r="T629" i="1" s="1"/>
  <c r="J1519" i="1"/>
  <c r="R1519" i="1" s="1"/>
  <c r="J628" i="1"/>
  <c r="R628" i="1" s="1"/>
  <c r="T628" i="1" s="1"/>
  <c r="J627" i="1"/>
  <c r="R627" i="1" s="1"/>
  <c r="T627" i="1" s="1"/>
  <c r="J626" i="1"/>
  <c r="R626" i="1" s="1"/>
  <c r="T626" i="1" s="1"/>
  <c r="J1515" i="1"/>
  <c r="R1515" i="1" s="1"/>
  <c r="T1515" i="1" s="1"/>
  <c r="J1514" i="1"/>
  <c r="R1514" i="1" s="1"/>
  <c r="T1514" i="1" s="1"/>
  <c r="J1513" i="1"/>
  <c r="R1513" i="1" s="1"/>
  <c r="T1513" i="1" s="1"/>
  <c r="J1512" i="1"/>
  <c r="R1512" i="1" s="1"/>
  <c r="T1512" i="1" s="1"/>
  <c r="J1511" i="1"/>
  <c r="R1511" i="1" s="1"/>
  <c r="J1510" i="1"/>
  <c r="R1510" i="1" s="1"/>
  <c r="T1510" i="1" s="1"/>
  <c r="J1509" i="1"/>
  <c r="R1509" i="1" s="1"/>
  <c r="T1509" i="1" s="1"/>
  <c r="J1508" i="1"/>
  <c r="R1508" i="1" s="1"/>
  <c r="T1508" i="1" s="1"/>
  <c r="J1507" i="1"/>
  <c r="R1507" i="1" s="1"/>
  <c r="T1507" i="1" s="1"/>
  <c r="J1506" i="1"/>
  <c r="R1506" i="1" s="1"/>
  <c r="T1506" i="1" s="1"/>
  <c r="J1505" i="1"/>
  <c r="R1505" i="1" s="1"/>
  <c r="T1505" i="1" s="1"/>
  <c r="J1504" i="1"/>
  <c r="R1504" i="1" s="1"/>
  <c r="T1504" i="1" s="1"/>
  <c r="J1503" i="1"/>
  <c r="R1503" i="1" s="1"/>
  <c r="J1502" i="1"/>
  <c r="R1502" i="1" s="1"/>
  <c r="T1502" i="1" s="1"/>
  <c r="J1501" i="1"/>
  <c r="R1501" i="1" s="1"/>
  <c r="T1501" i="1" s="1"/>
  <c r="J1500" i="1"/>
  <c r="R1500" i="1" s="1"/>
  <c r="T1500" i="1" s="1"/>
  <c r="J1499" i="1"/>
  <c r="R1499" i="1" s="1"/>
  <c r="T1499" i="1" s="1"/>
  <c r="J1498" i="1"/>
  <c r="R1498" i="1" s="1"/>
  <c r="T1498" i="1" s="1"/>
  <c r="J1497" i="1"/>
  <c r="R1497" i="1" s="1"/>
  <c r="T1497" i="1" s="1"/>
  <c r="J1496" i="1"/>
  <c r="R1496" i="1" s="1"/>
  <c r="T1496" i="1" s="1"/>
  <c r="J1495" i="1"/>
  <c r="R1495" i="1" s="1"/>
  <c r="J1494" i="1"/>
  <c r="R1494" i="1" s="1"/>
  <c r="T1494" i="1" s="1"/>
  <c r="J1493" i="1"/>
  <c r="R1493" i="1" s="1"/>
  <c r="T1493" i="1" s="1"/>
  <c r="J1492" i="1"/>
  <c r="R1492" i="1" s="1"/>
  <c r="T1492" i="1" s="1"/>
  <c r="J1491" i="1"/>
  <c r="R1491" i="1" s="1"/>
  <c r="T1491" i="1" s="1"/>
  <c r="J1490" i="1"/>
  <c r="R1490" i="1" s="1"/>
  <c r="T1490" i="1" s="1"/>
  <c r="J1489" i="1"/>
  <c r="R1489" i="1" s="1"/>
  <c r="T1489" i="1" s="1"/>
  <c r="J1488" i="1"/>
  <c r="R1488" i="1" s="1"/>
  <c r="T1488" i="1" s="1"/>
  <c r="J1487" i="1"/>
  <c r="R1487" i="1" s="1"/>
  <c r="J1486" i="1"/>
  <c r="R1486" i="1" s="1"/>
  <c r="T1486" i="1" s="1"/>
  <c r="J1485" i="1"/>
  <c r="R1485" i="1" s="1"/>
  <c r="T1485" i="1" s="1"/>
  <c r="J1484" i="1"/>
  <c r="R1484" i="1" s="1"/>
  <c r="T1484" i="1" s="1"/>
  <c r="J1483" i="1"/>
  <c r="R1483" i="1" s="1"/>
  <c r="T1483" i="1" s="1"/>
  <c r="J1482" i="1"/>
  <c r="R1482" i="1" s="1"/>
  <c r="T1482" i="1" s="1"/>
  <c r="J1481" i="1"/>
  <c r="R1481" i="1" s="1"/>
  <c r="T1481" i="1" s="1"/>
  <c r="J1480" i="1"/>
  <c r="R1480" i="1" s="1"/>
  <c r="T1480" i="1" s="1"/>
  <c r="J1479" i="1"/>
  <c r="R1479" i="1" s="1"/>
  <c r="J1478" i="1"/>
  <c r="R1478" i="1" s="1"/>
  <c r="T1478" i="1" s="1"/>
  <c r="J1477" i="1"/>
  <c r="R1477" i="1" s="1"/>
  <c r="T1477" i="1" s="1"/>
  <c r="J1476" i="1"/>
  <c r="R1476" i="1" s="1"/>
  <c r="T1476" i="1" s="1"/>
  <c r="J1475" i="1"/>
  <c r="R1475" i="1" s="1"/>
  <c r="T1475" i="1" s="1"/>
  <c r="J1474" i="1"/>
  <c r="R1474" i="1" s="1"/>
  <c r="T1474" i="1" s="1"/>
  <c r="J1473" i="1"/>
  <c r="R1473" i="1" s="1"/>
  <c r="T1473" i="1" s="1"/>
  <c r="J1472" i="1"/>
  <c r="R1472" i="1" s="1"/>
  <c r="T1472" i="1" s="1"/>
  <c r="J1471" i="1"/>
  <c r="R1471" i="1" s="1"/>
  <c r="J1470" i="1"/>
  <c r="R1470" i="1" s="1"/>
  <c r="T1470" i="1" s="1"/>
  <c r="J1469" i="1"/>
  <c r="R1469" i="1" s="1"/>
  <c r="T1469" i="1" s="1"/>
  <c r="J1468" i="1"/>
  <c r="R1468" i="1" s="1"/>
  <c r="T1468" i="1" s="1"/>
  <c r="J1467" i="1"/>
  <c r="R1467" i="1" s="1"/>
  <c r="T1467" i="1" s="1"/>
  <c r="J1466" i="1"/>
  <c r="R1466" i="1" s="1"/>
  <c r="T1466" i="1" s="1"/>
  <c r="J1465" i="1"/>
  <c r="R1465" i="1" s="1"/>
  <c r="T1465" i="1" s="1"/>
  <c r="J1464" i="1"/>
  <c r="R1464" i="1" s="1"/>
  <c r="T1464" i="1" s="1"/>
  <c r="J1463" i="1"/>
  <c r="R1463" i="1" s="1"/>
  <c r="J1462" i="1"/>
  <c r="R1462" i="1" s="1"/>
  <c r="T1462" i="1" s="1"/>
  <c r="J1461" i="1"/>
  <c r="R1461" i="1" s="1"/>
  <c r="T1461" i="1" s="1"/>
  <c r="J1460" i="1"/>
  <c r="R1460" i="1" s="1"/>
  <c r="T1460" i="1" s="1"/>
  <c r="J1459" i="1"/>
  <c r="R1459" i="1" s="1"/>
  <c r="T1459" i="1" s="1"/>
  <c r="J1458" i="1"/>
  <c r="R1458" i="1" s="1"/>
  <c r="T1458" i="1" s="1"/>
  <c r="J1457" i="1"/>
  <c r="R1457" i="1" s="1"/>
  <c r="T1457" i="1" s="1"/>
  <c r="J1456" i="1"/>
  <c r="R1456" i="1" s="1"/>
  <c r="T1456" i="1" s="1"/>
  <c r="J1455" i="1"/>
  <c r="R1455" i="1" s="1"/>
  <c r="J1454" i="1"/>
  <c r="R1454" i="1" s="1"/>
  <c r="T1454" i="1" s="1"/>
  <c r="J660" i="1"/>
  <c r="R660" i="1" s="1"/>
  <c r="T660" i="1" s="1"/>
  <c r="J659" i="1"/>
  <c r="R659" i="1" s="1"/>
  <c r="T659" i="1" s="1"/>
  <c r="J658" i="1"/>
  <c r="R658" i="1" s="1"/>
  <c r="T658" i="1" s="1"/>
  <c r="J657" i="1"/>
  <c r="R657" i="1" s="1"/>
  <c r="T657" i="1" s="1"/>
  <c r="J656" i="1"/>
  <c r="R656" i="1" s="1"/>
  <c r="T656" i="1" s="1"/>
  <c r="J1448" i="1"/>
  <c r="R1448" i="1" s="1"/>
  <c r="T1448" i="1" s="1"/>
  <c r="J1447" i="1"/>
  <c r="R1447" i="1" s="1"/>
  <c r="J1446" i="1"/>
  <c r="R1446" i="1" s="1"/>
  <c r="T1446" i="1" s="1"/>
  <c r="J1445" i="1"/>
  <c r="R1445" i="1" s="1"/>
  <c r="T1445" i="1" s="1"/>
  <c r="J1444" i="1"/>
  <c r="R1444" i="1" s="1"/>
  <c r="T1444" i="1" s="1"/>
  <c r="J1443" i="1"/>
  <c r="R1443" i="1" s="1"/>
  <c r="T1443" i="1" s="1"/>
  <c r="J1442" i="1"/>
  <c r="R1442" i="1" s="1"/>
  <c r="T1442" i="1" s="1"/>
  <c r="J1441" i="1"/>
  <c r="R1441" i="1" s="1"/>
  <c r="T1441" i="1" s="1"/>
  <c r="J1440" i="1"/>
  <c r="R1440" i="1" s="1"/>
  <c r="T1440" i="1" s="1"/>
  <c r="J1439" i="1"/>
  <c r="R1439" i="1" s="1"/>
  <c r="J1438" i="1"/>
  <c r="R1438" i="1" s="1"/>
  <c r="T1438" i="1" s="1"/>
  <c r="J1437" i="1"/>
  <c r="R1437" i="1" s="1"/>
  <c r="T1437" i="1" s="1"/>
  <c r="J1436" i="1"/>
  <c r="R1436" i="1" s="1"/>
  <c r="T1436" i="1" s="1"/>
  <c r="J1435" i="1"/>
  <c r="R1435" i="1" s="1"/>
  <c r="T1435" i="1" s="1"/>
  <c r="J1434" i="1"/>
  <c r="R1434" i="1" s="1"/>
  <c r="T1434" i="1" s="1"/>
  <c r="J1433" i="1"/>
  <c r="R1433" i="1" s="1"/>
  <c r="T1433" i="1" s="1"/>
  <c r="J1432" i="1"/>
  <c r="R1432" i="1" s="1"/>
  <c r="T1432" i="1" s="1"/>
  <c r="J1431" i="1"/>
  <c r="R1431" i="1" s="1"/>
  <c r="J1430" i="1"/>
  <c r="R1430" i="1" s="1"/>
  <c r="T1430" i="1" s="1"/>
  <c r="J1429" i="1"/>
  <c r="R1429" i="1" s="1"/>
  <c r="T1429" i="1" s="1"/>
  <c r="J1428" i="1"/>
  <c r="R1428" i="1" s="1"/>
  <c r="T1428" i="1" s="1"/>
  <c r="J1427" i="1"/>
  <c r="R1427" i="1" s="1"/>
  <c r="T1427" i="1" s="1"/>
  <c r="J1426" i="1"/>
  <c r="R1426" i="1" s="1"/>
  <c r="T1426" i="1" s="1"/>
  <c r="J1425" i="1"/>
  <c r="R1425" i="1" s="1"/>
  <c r="T1425" i="1" s="1"/>
  <c r="J1424" i="1"/>
  <c r="R1424" i="1" s="1"/>
  <c r="T1424" i="1" s="1"/>
  <c r="J1423" i="1"/>
  <c r="R1423" i="1" s="1"/>
  <c r="J1422" i="1"/>
  <c r="R1422" i="1" s="1"/>
  <c r="T1422" i="1" s="1"/>
  <c r="J1421" i="1"/>
  <c r="R1421" i="1" s="1"/>
  <c r="T1421" i="1" s="1"/>
  <c r="J1420" i="1"/>
  <c r="R1420" i="1" s="1"/>
  <c r="T1420" i="1" s="1"/>
  <c r="J1419" i="1"/>
  <c r="R1419" i="1" s="1"/>
  <c r="T1419" i="1" s="1"/>
  <c r="J1418" i="1"/>
  <c r="R1418" i="1" s="1"/>
  <c r="T1418" i="1" s="1"/>
  <c r="J1417" i="1"/>
  <c r="R1417" i="1" s="1"/>
  <c r="T1417" i="1" s="1"/>
  <c r="J1416" i="1"/>
  <c r="R1416" i="1" s="1"/>
  <c r="T1416" i="1" s="1"/>
  <c r="J1415" i="1"/>
  <c r="R1415" i="1" s="1"/>
  <c r="J1414" i="1"/>
  <c r="R1414" i="1" s="1"/>
  <c r="T1414" i="1" s="1"/>
  <c r="J1413" i="1"/>
  <c r="R1413" i="1" s="1"/>
  <c r="T1413" i="1" s="1"/>
  <c r="J1412" i="1"/>
  <c r="R1412" i="1" s="1"/>
  <c r="T1412" i="1" s="1"/>
  <c r="J1411" i="1"/>
  <c r="R1411" i="1" s="1"/>
  <c r="T1411" i="1" s="1"/>
  <c r="J1410" i="1"/>
  <c r="R1410" i="1" s="1"/>
  <c r="T1410" i="1" s="1"/>
  <c r="J1409" i="1"/>
  <c r="R1409" i="1" s="1"/>
  <c r="T1409" i="1" s="1"/>
  <c r="J1408" i="1"/>
  <c r="R1408" i="1" s="1"/>
  <c r="T1408" i="1" s="1"/>
  <c r="J1407" i="1"/>
  <c r="R1407" i="1" s="1"/>
  <c r="J1406" i="1"/>
  <c r="R1406" i="1" s="1"/>
  <c r="T1406" i="1" s="1"/>
  <c r="J1405" i="1"/>
  <c r="R1405" i="1" s="1"/>
  <c r="T1405" i="1" s="1"/>
  <c r="J1404" i="1"/>
  <c r="R1404" i="1" s="1"/>
  <c r="T1404" i="1" s="1"/>
  <c r="J1403" i="1"/>
  <c r="R1403" i="1" s="1"/>
  <c r="T1403" i="1" s="1"/>
  <c r="J1402" i="1"/>
  <c r="R1402" i="1" s="1"/>
  <c r="T1402" i="1" s="1"/>
  <c r="J1401" i="1"/>
  <c r="R1401" i="1" s="1"/>
  <c r="T1401" i="1" s="1"/>
  <c r="J1400" i="1"/>
  <c r="R1400" i="1" s="1"/>
  <c r="T1400" i="1" s="1"/>
  <c r="J1399" i="1"/>
  <c r="R1399" i="1" s="1"/>
  <c r="J1398" i="1"/>
  <c r="R1398" i="1" s="1"/>
  <c r="T1398" i="1" s="1"/>
  <c r="J1397" i="1"/>
  <c r="R1397" i="1" s="1"/>
  <c r="T1397" i="1" s="1"/>
  <c r="J1396" i="1"/>
  <c r="R1396" i="1" s="1"/>
  <c r="T1396" i="1" s="1"/>
  <c r="J1395" i="1"/>
  <c r="R1395" i="1" s="1"/>
  <c r="T1395" i="1" s="1"/>
  <c r="J1394" i="1"/>
  <c r="R1394" i="1" s="1"/>
  <c r="T1394" i="1" s="1"/>
  <c r="J1393" i="1"/>
  <c r="R1393" i="1" s="1"/>
  <c r="T1393" i="1" s="1"/>
  <c r="J1392" i="1"/>
  <c r="R1392" i="1" s="1"/>
  <c r="T1392" i="1" s="1"/>
  <c r="J1391" i="1"/>
  <c r="R1391" i="1" s="1"/>
  <c r="J1390" i="1"/>
  <c r="R1390" i="1" s="1"/>
  <c r="T1390" i="1" s="1"/>
  <c r="J1389" i="1"/>
  <c r="R1389" i="1" s="1"/>
  <c r="T1389" i="1" s="1"/>
  <c r="J1388" i="1"/>
  <c r="R1388" i="1" s="1"/>
  <c r="T1388" i="1" s="1"/>
  <c r="J1387" i="1"/>
  <c r="R1387" i="1" s="1"/>
  <c r="T1387" i="1" s="1"/>
  <c r="J1386" i="1"/>
  <c r="R1386" i="1" s="1"/>
  <c r="T1386" i="1" s="1"/>
  <c r="J1385" i="1"/>
  <c r="R1385" i="1" s="1"/>
  <c r="T1385" i="1" s="1"/>
  <c r="J1384" i="1"/>
  <c r="R1384" i="1" s="1"/>
  <c r="T1384" i="1" s="1"/>
  <c r="J1383" i="1"/>
  <c r="R1383" i="1" s="1"/>
  <c r="J1382" i="1"/>
  <c r="R1382" i="1" s="1"/>
  <c r="T1382" i="1" s="1"/>
  <c r="J1381" i="1"/>
  <c r="R1381" i="1" s="1"/>
  <c r="T1381" i="1" s="1"/>
  <c r="J1380" i="1"/>
  <c r="R1380" i="1" s="1"/>
  <c r="T1380" i="1" s="1"/>
  <c r="J1379" i="1"/>
  <c r="R1379" i="1" s="1"/>
  <c r="T1379" i="1" s="1"/>
  <c r="J1378" i="1"/>
  <c r="R1378" i="1" s="1"/>
  <c r="T1378" i="1" s="1"/>
  <c r="J1377" i="1"/>
  <c r="R1377" i="1" s="1"/>
  <c r="T1377" i="1" s="1"/>
  <c r="J1376" i="1"/>
  <c r="R1376" i="1" s="1"/>
  <c r="T1376" i="1" s="1"/>
  <c r="J1375" i="1"/>
  <c r="R1375" i="1" s="1"/>
  <c r="J1374" i="1"/>
  <c r="R1374" i="1" s="1"/>
  <c r="T1374" i="1" s="1"/>
  <c r="J1373" i="1"/>
  <c r="R1373" i="1" s="1"/>
  <c r="T1373" i="1" s="1"/>
  <c r="J1372" i="1"/>
  <c r="R1372" i="1" s="1"/>
  <c r="T1372" i="1" s="1"/>
  <c r="J1371" i="1"/>
  <c r="R1371" i="1" s="1"/>
  <c r="T1371" i="1" s="1"/>
  <c r="J1370" i="1"/>
  <c r="R1370" i="1" s="1"/>
  <c r="T1370" i="1" s="1"/>
  <c r="J1369" i="1"/>
  <c r="R1369" i="1" s="1"/>
  <c r="T1369" i="1" s="1"/>
  <c r="J1368" i="1"/>
  <c r="R1368" i="1" s="1"/>
  <c r="T1368" i="1" s="1"/>
  <c r="J1367" i="1"/>
  <c r="R1367" i="1" s="1"/>
  <c r="J1366" i="1"/>
  <c r="R1366" i="1" s="1"/>
  <c r="T1366" i="1" s="1"/>
  <c r="J1365" i="1"/>
  <c r="R1365" i="1" s="1"/>
  <c r="T1365" i="1" s="1"/>
  <c r="J1364" i="1"/>
  <c r="R1364" i="1" s="1"/>
  <c r="T1364" i="1" s="1"/>
  <c r="J1363" i="1"/>
  <c r="R1363" i="1" s="1"/>
  <c r="T1363" i="1" s="1"/>
  <c r="J1362" i="1"/>
  <c r="R1362" i="1" s="1"/>
  <c r="T1362" i="1" s="1"/>
  <c r="J1361" i="1"/>
  <c r="R1361" i="1" s="1"/>
  <c r="T1361" i="1" s="1"/>
  <c r="J1360" i="1"/>
  <c r="R1360" i="1" s="1"/>
  <c r="T1360" i="1" s="1"/>
  <c r="J1359" i="1"/>
  <c r="R1359" i="1" s="1"/>
  <c r="J1358" i="1"/>
  <c r="R1358" i="1" s="1"/>
  <c r="T1358" i="1" s="1"/>
  <c r="J1357" i="1"/>
  <c r="R1357" i="1" s="1"/>
  <c r="T1357" i="1" s="1"/>
  <c r="J1356" i="1"/>
  <c r="R1356" i="1" s="1"/>
  <c r="T1356" i="1" s="1"/>
  <c r="J1355" i="1"/>
  <c r="R1355" i="1" s="1"/>
  <c r="T1355" i="1" s="1"/>
  <c r="J1354" i="1"/>
  <c r="R1354" i="1" s="1"/>
  <c r="T1354" i="1" s="1"/>
  <c r="J1353" i="1"/>
  <c r="R1353" i="1" s="1"/>
  <c r="T1353" i="1" s="1"/>
  <c r="J1352" i="1"/>
  <c r="R1352" i="1" s="1"/>
  <c r="T1352" i="1" s="1"/>
  <c r="J1351" i="1"/>
  <c r="R1351" i="1" s="1"/>
  <c r="J1350" i="1"/>
  <c r="R1350" i="1" s="1"/>
  <c r="T1350" i="1" s="1"/>
  <c r="J1349" i="1"/>
  <c r="R1349" i="1" s="1"/>
  <c r="T1349" i="1" s="1"/>
  <c r="J1348" i="1"/>
  <c r="R1348" i="1" s="1"/>
  <c r="T1348" i="1" s="1"/>
  <c r="J1347" i="1"/>
  <c r="R1347" i="1" s="1"/>
  <c r="T1347" i="1" s="1"/>
  <c r="J1346" i="1"/>
  <c r="R1346" i="1" s="1"/>
  <c r="T1346" i="1" s="1"/>
  <c r="J1345" i="1"/>
  <c r="R1345" i="1" s="1"/>
  <c r="T1345" i="1" s="1"/>
  <c r="J1344" i="1"/>
  <c r="R1344" i="1" s="1"/>
  <c r="T1344" i="1" s="1"/>
  <c r="J1343" i="1"/>
  <c r="R1343" i="1" s="1"/>
  <c r="J1342" i="1"/>
  <c r="R1342" i="1" s="1"/>
  <c r="T1342" i="1" s="1"/>
  <c r="J1341" i="1"/>
  <c r="R1341" i="1" s="1"/>
  <c r="T1341" i="1" s="1"/>
  <c r="J1340" i="1"/>
  <c r="R1340" i="1" s="1"/>
  <c r="T1340" i="1" s="1"/>
  <c r="J1339" i="1"/>
  <c r="R1339" i="1" s="1"/>
  <c r="T1339" i="1" s="1"/>
  <c r="J1338" i="1"/>
  <c r="R1338" i="1" s="1"/>
  <c r="T1338" i="1" s="1"/>
  <c r="J1337" i="1"/>
  <c r="R1337" i="1" s="1"/>
  <c r="T1337" i="1" s="1"/>
  <c r="J1336" i="1"/>
  <c r="R1336" i="1" s="1"/>
  <c r="T1336" i="1" s="1"/>
  <c r="J1335" i="1"/>
  <c r="R1335" i="1" s="1"/>
  <c r="J1334" i="1"/>
  <c r="R1334" i="1" s="1"/>
  <c r="T1334" i="1" s="1"/>
  <c r="J1333" i="1"/>
  <c r="R1333" i="1" s="1"/>
  <c r="T1333" i="1" s="1"/>
  <c r="J1332" i="1"/>
  <c r="R1332" i="1" s="1"/>
  <c r="T1332" i="1" s="1"/>
  <c r="J1331" i="1"/>
  <c r="R1331" i="1" s="1"/>
  <c r="T1331" i="1" s="1"/>
  <c r="J1330" i="1"/>
  <c r="R1330" i="1" s="1"/>
  <c r="T1330" i="1" s="1"/>
  <c r="J1329" i="1"/>
  <c r="R1329" i="1" s="1"/>
  <c r="T1329" i="1" s="1"/>
  <c r="J1328" i="1"/>
  <c r="R1328" i="1" s="1"/>
  <c r="T1328" i="1" s="1"/>
  <c r="J1327" i="1"/>
  <c r="R1327" i="1" s="1"/>
  <c r="J1326" i="1"/>
  <c r="R1326" i="1" s="1"/>
  <c r="T1326" i="1" s="1"/>
  <c r="J1325" i="1"/>
  <c r="R1325" i="1" s="1"/>
  <c r="T1325" i="1" s="1"/>
  <c r="J1324" i="1"/>
  <c r="R1324" i="1" s="1"/>
  <c r="T1324" i="1" s="1"/>
  <c r="J1323" i="1"/>
  <c r="R1323" i="1" s="1"/>
  <c r="T1323" i="1" s="1"/>
  <c r="J1322" i="1"/>
  <c r="R1322" i="1" s="1"/>
  <c r="T1322" i="1" s="1"/>
  <c r="J1321" i="1"/>
  <c r="R1321" i="1" s="1"/>
  <c r="T1321" i="1" s="1"/>
  <c r="J1320" i="1"/>
  <c r="R1320" i="1" s="1"/>
  <c r="T1320" i="1" s="1"/>
  <c r="J1319" i="1"/>
  <c r="R1319" i="1" s="1"/>
  <c r="J1318" i="1"/>
  <c r="R1318" i="1" s="1"/>
  <c r="T1318" i="1" s="1"/>
  <c r="J1317" i="1"/>
  <c r="R1317" i="1" s="1"/>
  <c r="T1317" i="1" s="1"/>
  <c r="J1316" i="1"/>
  <c r="R1316" i="1" s="1"/>
  <c r="T1316" i="1" s="1"/>
  <c r="J1315" i="1"/>
  <c r="R1315" i="1" s="1"/>
  <c r="T1315" i="1" s="1"/>
  <c r="J1314" i="1"/>
  <c r="R1314" i="1" s="1"/>
  <c r="T1314" i="1" s="1"/>
  <c r="J1313" i="1"/>
  <c r="R1313" i="1" s="1"/>
  <c r="T1313" i="1" s="1"/>
  <c r="J1312" i="1"/>
  <c r="R1312" i="1" s="1"/>
  <c r="T1312" i="1" s="1"/>
  <c r="J1311" i="1"/>
  <c r="R1311" i="1" s="1"/>
  <c r="J1310" i="1"/>
  <c r="R1310" i="1" s="1"/>
  <c r="T1310" i="1" s="1"/>
  <c r="J1309" i="1"/>
  <c r="R1309" i="1" s="1"/>
  <c r="T1309" i="1" s="1"/>
  <c r="J1308" i="1"/>
  <c r="R1308" i="1" s="1"/>
  <c r="T1308" i="1" s="1"/>
  <c r="J1307" i="1"/>
  <c r="R1307" i="1" s="1"/>
  <c r="T1307" i="1" s="1"/>
  <c r="J1306" i="1"/>
  <c r="R1306" i="1" s="1"/>
  <c r="T1306" i="1" s="1"/>
  <c r="J1305" i="1"/>
  <c r="R1305" i="1" s="1"/>
  <c r="T1305" i="1" s="1"/>
  <c r="J1304" i="1"/>
  <c r="R1304" i="1" s="1"/>
  <c r="T1304" i="1" s="1"/>
  <c r="J1303" i="1"/>
  <c r="R1303" i="1" s="1"/>
  <c r="J1302" i="1"/>
  <c r="R1302" i="1" s="1"/>
  <c r="T1302" i="1" s="1"/>
  <c r="J1301" i="1"/>
  <c r="R1301" i="1" s="1"/>
  <c r="T1301" i="1" s="1"/>
  <c r="J1300" i="1"/>
  <c r="R1300" i="1" s="1"/>
  <c r="T1300" i="1" s="1"/>
  <c r="J1299" i="1"/>
  <c r="R1299" i="1" s="1"/>
  <c r="T1299" i="1" s="1"/>
  <c r="J1298" i="1"/>
  <c r="R1298" i="1" s="1"/>
  <c r="T1298" i="1" s="1"/>
  <c r="J1297" i="1"/>
  <c r="R1297" i="1" s="1"/>
  <c r="T1297" i="1" s="1"/>
  <c r="J1296" i="1"/>
  <c r="R1296" i="1" s="1"/>
  <c r="T1296" i="1" s="1"/>
  <c r="J1295" i="1"/>
  <c r="R1295" i="1" s="1"/>
  <c r="J1294" i="1"/>
  <c r="R1294" i="1" s="1"/>
  <c r="T1294" i="1" s="1"/>
  <c r="J1293" i="1"/>
  <c r="R1293" i="1" s="1"/>
  <c r="T1293" i="1" s="1"/>
  <c r="J1292" i="1"/>
  <c r="R1292" i="1" s="1"/>
  <c r="T1292" i="1" s="1"/>
  <c r="J1291" i="1"/>
  <c r="R1291" i="1" s="1"/>
  <c r="T1291" i="1" s="1"/>
  <c r="J1290" i="1"/>
  <c r="R1290" i="1" s="1"/>
  <c r="T1290" i="1" s="1"/>
  <c r="J1289" i="1"/>
  <c r="R1289" i="1" s="1"/>
  <c r="T1289" i="1" s="1"/>
  <c r="J1288" i="1"/>
  <c r="R1288" i="1" s="1"/>
  <c r="T1288" i="1" s="1"/>
  <c r="J1287" i="1"/>
  <c r="R1287" i="1" s="1"/>
  <c r="J1286" i="1"/>
  <c r="R1286" i="1" s="1"/>
  <c r="T1286" i="1" s="1"/>
  <c r="J1285" i="1"/>
  <c r="R1285" i="1" s="1"/>
  <c r="T1285" i="1" s="1"/>
  <c r="J1284" i="1"/>
  <c r="R1284" i="1" s="1"/>
  <c r="T1284" i="1" s="1"/>
  <c r="J1283" i="1"/>
  <c r="R1283" i="1" s="1"/>
  <c r="T1283" i="1" s="1"/>
  <c r="J1282" i="1"/>
  <c r="R1282" i="1" s="1"/>
  <c r="T1282" i="1" s="1"/>
  <c r="J1281" i="1"/>
  <c r="R1281" i="1" s="1"/>
  <c r="T1281" i="1" s="1"/>
  <c r="J1280" i="1"/>
  <c r="R1280" i="1" s="1"/>
  <c r="T1280" i="1" s="1"/>
  <c r="J1279" i="1"/>
  <c r="R1279" i="1" s="1"/>
  <c r="J1278" i="1"/>
  <c r="R1278" i="1" s="1"/>
  <c r="T1278" i="1" s="1"/>
  <c r="J1277" i="1"/>
  <c r="R1277" i="1" s="1"/>
  <c r="T1277" i="1" s="1"/>
  <c r="J1276" i="1"/>
  <c r="R1276" i="1" s="1"/>
  <c r="T1276" i="1" s="1"/>
  <c r="J1275" i="1"/>
  <c r="R1275" i="1" s="1"/>
  <c r="T1275" i="1" s="1"/>
  <c r="J1274" i="1"/>
  <c r="R1274" i="1" s="1"/>
  <c r="T1274" i="1" s="1"/>
  <c r="J1273" i="1"/>
  <c r="R1273" i="1" s="1"/>
  <c r="T1273" i="1" s="1"/>
  <c r="J1272" i="1"/>
  <c r="R1272" i="1" s="1"/>
  <c r="T1272" i="1" s="1"/>
  <c r="J1271" i="1"/>
  <c r="R1271" i="1" s="1"/>
  <c r="J1270" i="1"/>
  <c r="R1270" i="1" s="1"/>
  <c r="T1270" i="1" s="1"/>
  <c r="J1269" i="1"/>
  <c r="R1269" i="1" s="1"/>
  <c r="T1269" i="1" s="1"/>
  <c r="J1268" i="1"/>
  <c r="R1268" i="1" s="1"/>
  <c r="T1268" i="1" s="1"/>
  <c r="J1267" i="1"/>
  <c r="R1267" i="1" s="1"/>
  <c r="T1267" i="1" s="1"/>
  <c r="J1266" i="1"/>
  <c r="R1266" i="1" s="1"/>
  <c r="T1266" i="1" s="1"/>
  <c r="J1265" i="1"/>
  <c r="R1265" i="1" s="1"/>
  <c r="T1265" i="1" s="1"/>
  <c r="J1264" i="1"/>
  <c r="R1264" i="1" s="1"/>
  <c r="T1264" i="1" s="1"/>
  <c r="J1263" i="1"/>
  <c r="R1263" i="1" s="1"/>
  <c r="J1262" i="1"/>
  <c r="R1262" i="1" s="1"/>
  <c r="T1262" i="1" s="1"/>
  <c r="J1261" i="1"/>
  <c r="R1261" i="1" s="1"/>
  <c r="T1261" i="1" s="1"/>
  <c r="J1260" i="1"/>
  <c r="R1260" i="1" s="1"/>
  <c r="T1260" i="1" s="1"/>
  <c r="J1259" i="1"/>
  <c r="R1259" i="1" s="1"/>
  <c r="T1259" i="1" s="1"/>
  <c r="J1258" i="1"/>
  <c r="R1258" i="1" s="1"/>
  <c r="T1258" i="1" s="1"/>
  <c r="J1257" i="1"/>
  <c r="R1257" i="1" s="1"/>
  <c r="T1257" i="1" s="1"/>
  <c r="J1256" i="1"/>
  <c r="R1256" i="1" s="1"/>
  <c r="T1256" i="1" s="1"/>
  <c r="J1255" i="1"/>
  <c r="R1255" i="1" s="1"/>
  <c r="J1254" i="1"/>
  <c r="R1254" i="1" s="1"/>
  <c r="T1254" i="1" s="1"/>
  <c r="J1253" i="1"/>
  <c r="R1253" i="1" s="1"/>
  <c r="T1253" i="1" s="1"/>
  <c r="J1252" i="1"/>
  <c r="R1252" i="1" s="1"/>
  <c r="T1252" i="1" s="1"/>
  <c r="J1251" i="1"/>
  <c r="R1251" i="1" s="1"/>
  <c r="T1251" i="1" s="1"/>
  <c r="J1250" i="1"/>
  <c r="R1250" i="1" s="1"/>
  <c r="T1250" i="1" s="1"/>
  <c r="J1249" i="1"/>
  <c r="R1249" i="1" s="1"/>
  <c r="T1249" i="1" s="1"/>
  <c r="J1248" i="1"/>
  <c r="R1248" i="1" s="1"/>
  <c r="T1248" i="1" s="1"/>
  <c r="J1247" i="1"/>
  <c r="R1247" i="1" s="1"/>
  <c r="J1246" i="1"/>
  <c r="R1246" i="1" s="1"/>
  <c r="T1246" i="1" s="1"/>
  <c r="J1245" i="1"/>
  <c r="R1245" i="1" s="1"/>
  <c r="T1245" i="1" s="1"/>
  <c r="J1244" i="1"/>
  <c r="R1244" i="1" s="1"/>
  <c r="T1244" i="1" s="1"/>
  <c r="J1243" i="1"/>
  <c r="R1243" i="1" s="1"/>
  <c r="T1243" i="1" s="1"/>
  <c r="J1242" i="1"/>
  <c r="R1242" i="1" s="1"/>
  <c r="T1242" i="1" s="1"/>
  <c r="J1241" i="1"/>
  <c r="R1241" i="1" s="1"/>
  <c r="T1241" i="1" s="1"/>
  <c r="J1240" i="1"/>
  <c r="R1240" i="1" s="1"/>
  <c r="T1240" i="1" s="1"/>
  <c r="J1239" i="1"/>
  <c r="R1239" i="1" s="1"/>
  <c r="J1238" i="1"/>
  <c r="R1238" i="1" s="1"/>
  <c r="T1238" i="1" s="1"/>
  <c r="J1237" i="1"/>
  <c r="R1237" i="1" s="1"/>
  <c r="T1237" i="1" s="1"/>
  <c r="J1236" i="1"/>
  <c r="R1236" i="1" s="1"/>
  <c r="T1236" i="1" s="1"/>
  <c r="J1235" i="1"/>
  <c r="R1235" i="1" s="1"/>
  <c r="T1235" i="1" s="1"/>
  <c r="J1234" i="1"/>
  <c r="R1234" i="1" s="1"/>
  <c r="T1234" i="1" s="1"/>
  <c r="J1233" i="1"/>
  <c r="R1233" i="1" s="1"/>
  <c r="T1233" i="1" s="1"/>
  <c r="J1232" i="1"/>
  <c r="R1232" i="1" s="1"/>
  <c r="T1232" i="1" s="1"/>
  <c r="J1231" i="1"/>
  <c r="R1231" i="1" s="1"/>
  <c r="J1230" i="1"/>
  <c r="R1230" i="1" s="1"/>
  <c r="T1230" i="1" s="1"/>
  <c r="J1229" i="1"/>
  <c r="R1229" i="1" s="1"/>
  <c r="T1229" i="1" s="1"/>
  <c r="J1228" i="1"/>
  <c r="R1228" i="1" s="1"/>
  <c r="T1228" i="1" s="1"/>
  <c r="J1227" i="1"/>
  <c r="R1227" i="1" s="1"/>
  <c r="T1227" i="1" s="1"/>
  <c r="J1226" i="1"/>
  <c r="R1226" i="1" s="1"/>
  <c r="T1226" i="1" s="1"/>
  <c r="J1225" i="1"/>
  <c r="R1225" i="1" s="1"/>
  <c r="T1225" i="1" s="1"/>
  <c r="J1224" i="1"/>
  <c r="R1224" i="1" s="1"/>
  <c r="T1224" i="1" s="1"/>
  <c r="J1223" i="1"/>
  <c r="R1223" i="1" s="1"/>
  <c r="J1222" i="1"/>
  <c r="R1222" i="1" s="1"/>
  <c r="T1222" i="1" s="1"/>
  <c r="J1221" i="1"/>
  <c r="R1221" i="1" s="1"/>
  <c r="T1221" i="1" s="1"/>
  <c r="J1220" i="1"/>
  <c r="R1220" i="1" s="1"/>
  <c r="T1220" i="1" s="1"/>
  <c r="J1219" i="1"/>
  <c r="R1219" i="1" s="1"/>
  <c r="T1219" i="1" s="1"/>
  <c r="J1218" i="1"/>
  <c r="R1218" i="1" s="1"/>
  <c r="T1218" i="1" s="1"/>
  <c r="J1216" i="1"/>
  <c r="R1216" i="1" s="1"/>
  <c r="T1216" i="1" s="1"/>
  <c r="J1215" i="1"/>
  <c r="R1215" i="1" s="1"/>
  <c r="T1215" i="1" s="1"/>
  <c r="J1214" i="1"/>
  <c r="R1214" i="1" s="1"/>
  <c r="J1213" i="1"/>
  <c r="R1213" i="1" s="1"/>
  <c r="T1213" i="1" s="1"/>
  <c r="J1212" i="1"/>
  <c r="R1212" i="1" s="1"/>
  <c r="T1212" i="1" s="1"/>
  <c r="J1211" i="1"/>
  <c r="R1211" i="1" s="1"/>
  <c r="T1211" i="1" s="1"/>
  <c r="J1210" i="1"/>
  <c r="R1210" i="1" s="1"/>
  <c r="T1210" i="1" s="1"/>
  <c r="J1209" i="1"/>
  <c r="R1209" i="1" s="1"/>
  <c r="T1209" i="1" s="1"/>
  <c r="J1208" i="1"/>
  <c r="R1208" i="1" s="1"/>
  <c r="T1208" i="1" s="1"/>
  <c r="J1207" i="1"/>
  <c r="R1207" i="1" s="1"/>
  <c r="T1207" i="1" s="1"/>
  <c r="J1206" i="1"/>
  <c r="R1206" i="1" s="1"/>
  <c r="J1205" i="1"/>
  <c r="R1205" i="1" s="1"/>
  <c r="T1205" i="1" s="1"/>
  <c r="J1204" i="1"/>
  <c r="R1204" i="1" s="1"/>
  <c r="T1204" i="1" s="1"/>
  <c r="J1203" i="1"/>
  <c r="R1203" i="1" s="1"/>
  <c r="T1203" i="1" s="1"/>
  <c r="J1202" i="1"/>
  <c r="R1202" i="1" s="1"/>
  <c r="T1202" i="1" s="1"/>
  <c r="J1201" i="1"/>
  <c r="R1201" i="1" s="1"/>
  <c r="T1201" i="1" s="1"/>
  <c r="J1200" i="1"/>
  <c r="R1200" i="1" s="1"/>
  <c r="T1200" i="1" s="1"/>
  <c r="J1199" i="1"/>
  <c r="R1199" i="1" s="1"/>
  <c r="T1199" i="1" s="1"/>
  <c r="J1198" i="1"/>
  <c r="R1198" i="1" s="1"/>
  <c r="J1197" i="1"/>
  <c r="R1197" i="1" s="1"/>
  <c r="T1197" i="1" s="1"/>
  <c r="J1196" i="1"/>
  <c r="R1196" i="1" s="1"/>
  <c r="T1196" i="1" s="1"/>
  <c r="J1195" i="1"/>
  <c r="R1195" i="1" s="1"/>
  <c r="T1195" i="1" s="1"/>
  <c r="J1194" i="1"/>
  <c r="R1194" i="1" s="1"/>
  <c r="T1194" i="1" s="1"/>
  <c r="J1193" i="1"/>
  <c r="R1193" i="1" s="1"/>
  <c r="T1193" i="1" s="1"/>
  <c r="J1192" i="1"/>
  <c r="R1192" i="1" s="1"/>
  <c r="J1191" i="1"/>
  <c r="R1191" i="1" s="1"/>
  <c r="T1191" i="1" s="1"/>
  <c r="J1190" i="1"/>
  <c r="R1190" i="1" s="1"/>
  <c r="J1189" i="1"/>
  <c r="R1189" i="1" s="1"/>
  <c r="T1189" i="1" s="1"/>
  <c r="J1188" i="1"/>
  <c r="R1188" i="1" s="1"/>
  <c r="T1188" i="1" s="1"/>
  <c r="J1187" i="1"/>
  <c r="R1187" i="1" s="1"/>
  <c r="T1187" i="1" s="1"/>
  <c r="J1186" i="1"/>
  <c r="R1186" i="1" s="1"/>
  <c r="T1186" i="1" s="1"/>
  <c r="J1185" i="1"/>
  <c r="R1185" i="1" s="1"/>
  <c r="T1185" i="1" s="1"/>
  <c r="J1184" i="1"/>
  <c r="R1184" i="1" s="1"/>
  <c r="J1183" i="1"/>
  <c r="R1183" i="1" s="1"/>
  <c r="T1183" i="1" s="1"/>
  <c r="J1182" i="1"/>
  <c r="R1182" i="1" s="1"/>
  <c r="J1181" i="1"/>
  <c r="R1181" i="1" s="1"/>
  <c r="T1181" i="1" s="1"/>
  <c r="J988" i="1"/>
  <c r="R988" i="1" s="1"/>
  <c r="T988" i="1" s="1"/>
  <c r="J1180" i="1"/>
  <c r="R1180" i="1" s="1"/>
  <c r="T1180" i="1" s="1"/>
  <c r="J1179" i="1"/>
  <c r="R1179" i="1" s="1"/>
  <c r="T1179" i="1" s="1"/>
  <c r="J1178" i="1"/>
  <c r="R1178" i="1" s="1"/>
  <c r="T1178" i="1" s="1"/>
  <c r="J1177" i="1"/>
  <c r="R1177" i="1" s="1"/>
  <c r="J1176" i="1"/>
  <c r="R1176" i="1" s="1"/>
  <c r="T1176" i="1" s="1"/>
  <c r="J1175" i="1"/>
  <c r="R1175" i="1" s="1"/>
  <c r="J1174" i="1"/>
  <c r="R1174" i="1" s="1"/>
  <c r="T1174" i="1" s="1"/>
  <c r="J1173" i="1"/>
  <c r="R1173" i="1" s="1"/>
  <c r="T1173" i="1" s="1"/>
  <c r="J1172" i="1"/>
  <c r="R1172" i="1" s="1"/>
  <c r="T1172" i="1" s="1"/>
  <c r="J1171" i="1"/>
  <c r="R1171" i="1" s="1"/>
  <c r="T1171" i="1" s="1"/>
  <c r="J1170" i="1"/>
  <c r="R1170" i="1" s="1"/>
  <c r="T1170" i="1" s="1"/>
  <c r="J1169" i="1"/>
  <c r="R1169" i="1" s="1"/>
  <c r="J1168" i="1"/>
  <c r="R1168" i="1" s="1"/>
  <c r="T1168" i="1" s="1"/>
  <c r="J1167" i="1"/>
  <c r="R1167" i="1" s="1"/>
  <c r="J1166" i="1"/>
  <c r="R1166" i="1" s="1"/>
  <c r="T1166" i="1" s="1"/>
  <c r="J1165" i="1"/>
  <c r="R1165" i="1" s="1"/>
  <c r="T1165" i="1" s="1"/>
  <c r="J1164" i="1"/>
  <c r="R1164" i="1" s="1"/>
  <c r="T1164" i="1" s="1"/>
  <c r="J1163" i="1"/>
  <c r="R1163" i="1" s="1"/>
  <c r="T1163" i="1" s="1"/>
  <c r="J1162" i="1"/>
  <c r="R1162" i="1" s="1"/>
  <c r="T1162" i="1" s="1"/>
  <c r="J1161" i="1"/>
  <c r="R1161" i="1" s="1"/>
  <c r="J1160" i="1"/>
  <c r="R1160" i="1" s="1"/>
  <c r="T1160" i="1" s="1"/>
  <c r="J1159" i="1"/>
  <c r="R1159" i="1" s="1"/>
  <c r="J1158" i="1"/>
  <c r="R1158" i="1" s="1"/>
  <c r="T1158" i="1" s="1"/>
  <c r="J1157" i="1"/>
  <c r="R1157" i="1" s="1"/>
  <c r="T1157" i="1" s="1"/>
  <c r="J1156" i="1"/>
  <c r="R1156" i="1" s="1"/>
  <c r="T1156" i="1" s="1"/>
  <c r="J1155" i="1"/>
  <c r="R1155" i="1" s="1"/>
  <c r="T1155" i="1" s="1"/>
  <c r="J1154" i="1"/>
  <c r="R1154" i="1" s="1"/>
  <c r="T1154" i="1" s="1"/>
  <c r="J1153" i="1"/>
  <c r="R1153" i="1" s="1"/>
  <c r="J1152" i="1"/>
  <c r="R1152" i="1" s="1"/>
  <c r="T1152" i="1" s="1"/>
  <c r="J1151" i="1"/>
  <c r="R1151" i="1" s="1"/>
  <c r="J1150" i="1"/>
  <c r="R1150" i="1" s="1"/>
  <c r="T1150" i="1" s="1"/>
  <c r="J1149" i="1"/>
  <c r="R1149" i="1" s="1"/>
  <c r="T1149" i="1" s="1"/>
  <c r="J1148" i="1"/>
  <c r="R1148" i="1" s="1"/>
  <c r="T1148" i="1" s="1"/>
  <c r="J1147" i="1"/>
  <c r="R1147" i="1" s="1"/>
  <c r="T1147" i="1" s="1"/>
  <c r="J1146" i="1"/>
  <c r="R1146" i="1" s="1"/>
  <c r="T1146" i="1" s="1"/>
  <c r="J1145" i="1"/>
  <c r="R1145" i="1" s="1"/>
  <c r="J1144" i="1"/>
  <c r="R1144" i="1" s="1"/>
  <c r="T1144" i="1" s="1"/>
  <c r="J1143" i="1"/>
  <c r="R1143" i="1" s="1"/>
  <c r="J1142" i="1"/>
  <c r="R1142" i="1" s="1"/>
  <c r="T1142" i="1" s="1"/>
  <c r="J1141" i="1"/>
  <c r="R1141" i="1" s="1"/>
  <c r="T1141" i="1" s="1"/>
  <c r="J1140" i="1"/>
  <c r="R1140" i="1" s="1"/>
  <c r="T1140" i="1" s="1"/>
  <c r="J1139" i="1"/>
  <c r="R1139" i="1" s="1"/>
  <c r="T1139" i="1" s="1"/>
  <c r="J1138" i="1"/>
  <c r="R1138" i="1" s="1"/>
  <c r="T1138" i="1" s="1"/>
  <c r="J1137" i="1"/>
  <c r="R1137" i="1" s="1"/>
  <c r="J1136" i="1"/>
  <c r="R1136" i="1" s="1"/>
  <c r="T1136" i="1" s="1"/>
  <c r="J1135" i="1"/>
  <c r="R1135" i="1" s="1"/>
  <c r="J1134" i="1"/>
  <c r="R1134" i="1" s="1"/>
  <c r="T1134" i="1" s="1"/>
  <c r="J1133" i="1"/>
  <c r="R1133" i="1" s="1"/>
  <c r="T1133" i="1" s="1"/>
  <c r="J1132" i="1"/>
  <c r="R1132" i="1" s="1"/>
  <c r="T1132" i="1" s="1"/>
  <c r="J1131" i="1"/>
  <c r="R1131" i="1" s="1"/>
  <c r="T1131" i="1" s="1"/>
  <c r="J1130" i="1"/>
  <c r="R1130" i="1" s="1"/>
  <c r="T1130" i="1" s="1"/>
  <c r="J1129" i="1"/>
  <c r="R1129" i="1" s="1"/>
  <c r="J1128" i="1"/>
  <c r="R1128" i="1" s="1"/>
  <c r="T1128" i="1" s="1"/>
  <c r="J1127" i="1"/>
  <c r="R1127" i="1" s="1"/>
  <c r="J1126" i="1"/>
  <c r="R1126" i="1" s="1"/>
  <c r="T1126" i="1" s="1"/>
  <c r="J1125" i="1"/>
  <c r="R1125" i="1" s="1"/>
  <c r="T1125" i="1" s="1"/>
  <c r="J1124" i="1"/>
  <c r="R1124" i="1" s="1"/>
  <c r="T1124" i="1" s="1"/>
  <c r="J1123" i="1"/>
  <c r="R1123" i="1" s="1"/>
  <c r="T1123" i="1" s="1"/>
  <c r="J1122" i="1"/>
  <c r="R1122" i="1" s="1"/>
  <c r="T1122" i="1" s="1"/>
  <c r="J1121" i="1"/>
  <c r="R1121" i="1" s="1"/>
  <c r="J1120" i="1"/>
  <c r="R1120" i="1" s="1"/>
  <c r="T1120" i="1" s="1"/>
  <c r="J1119" i="1"/>
  <c r="R1119" i="1" s="1"/>
  <c r="J1118" i="1"/>
  <c r="R1118" i="1" s="1"/>
  <c r="T1118" i="1" s="1"/>
  <c r="J1117" i="1"/>
  <c r="R1117" i="1" s="1"/>
  <c r="T1117" i="1" s="1"/>
  <c r="J1116" i="1"/>
  <c r="R1116" i="1" s="1"/>
  <c r="T1116" i="1" s="1"/>
  <c r="J1115" i="1"/>
  <c r="R1115" i="1" s="1"/>
  <c r="T1115" i="1" s="1"/>
  <c r="J1114" i="1"/>
  <c r="R1114" i="1" s="1"/>
  <c r="T1114" i="1" s="1"/>
  <c r="J1113" i="1"/>
  <c r="R1113" i="1" s="1"/>
  <c r="J1112" i="1"/>
  <c r="R1112" i="1" s="1"/>
  <c r="T1112" i="1" s="1"/>
  <c r="J1111" i="1"/>
  <c r="R1111" i="1" s="1"/>
  <c r="J1110" i="1"/>
  <c r="R1110" i="1" s="1"/>
  <c r="T1110" i="1" s="1"/>
  <c r="J1109" i="1"/>
  <c r="R1109" i="1" s="1"/>
  <c r="T1109" i="1" s="1"/>
  <c r="J1108" i="1"/>
  <c r="R1108" i="1" s="1"/>
  <c r="T1108" i="1" s="1"/>
  <c r="J1107" i="1"/>
  <c r="R1107" i="1" s="1"/>
  <c r="T1107" i="1" s="1"/>
  <c r="J1106" i="1"/>
  <c r="R1106" i="1" s="1"/>
  <c r="T1106" i="1" s="1"/>
  <c r="J1105" i="1"/>
  <c r="R1105" i="1" s="1"/>
  <c r="J1104" i="1"/>
  <c r="R1104" i="1" s="1"/>
  <c r="T1104" i="1" s="1"/>
  <c r="J1103" i="1"/>
  <c r="R1103" i="1" s="1"/>
  <c r="J1102" i="1"/>
  <c r="R1102" i="1" s="1"/>
  <c r="T1102" i="1" s="1"/>
  <c r="J1101" i="1"/>
  <c r="R1101" i="1" s="1"/>
  <c r="T1101" i="1" s="1"/>
  <c r="J1100" i="1"/>
  <c r="R1100" i="1" s="1"/>
  <c r="T1100" i="1" s="1"/>
  <c r="J1099" i="1"/>
  <c r="R1099" i="1" s="1"/>
  <c r="T1099" i="1" s="1"/>
  <c r="J1098" i="1"/>
  <c r="R1098" i="1" s="1"/>
  <c r="T1098" i="1" s="1"/>
  <c r="J1097" i="1"/>
  <c r="R1097" i="1" s="1"/>
  <c r="J1096" i="1"/>
  <c r="R1096" i="1" s="1"/>
  <c r="T1096" i="1" s="1"/>
  <c r="J1095" i="1"/>
  <c r="R1095" i="1" s="1"/>
  <c r="J1094" i="1"/>
  <c r="R1094" i="1" s="1"/>
  <c r="T1094" i="1" s="1"/>
  <c r="J1093" i="1"/>
  <c r="R1093" i="1" s="1"/>
  <c r="T1093" i="1" s="1"/>
  <c r="J1092" i="1"/>
  <c r="R1092" i="1" s="1"/>
  <c r="T1092" i="1" s="1"/>
  <c r="J1091" i="1"/>
  <c r="R1091" i="1" s="1"/>
  <c r="T1091" i="1" s="1"/>
  <c r="J1090" i="1"/>
  <c r="R1090" i="1" s="1"/>
  <c r="T1090" i="1" s="1"/>
  <c r="J1089" i="1"/>
  <c r="R1089" i="1" s="1"/>
  <c r="J1088" i="1"/>
  <c r="R1088" i="1" s="1"/>
  <c r="T1088" i="1" s="1"/>
  <c r="J1087" i="1"/>
  <c r="R1087" i="1" s="1"/>
  <c r="J1086" i="1"/>
  <c r="R1086" i="1" s="1"/>
  <c r="T1086" i="1" s="1"/>
  <c r="J1085" i="1"/>
  <c r="R1085" i="1" s="1"/>
  <c r="T1085" i="1" s="1"/>
  <c r="J1084" i="1"/>
  <c r="R1084" i="1" s="1"/>
  <c r="T1084" i="1" s="1"/>
  <c r="J1083" i="1"/>
  <c r="R1083" i="1" s="1"/>
  <c r="T1083" i="1" s="1"/>
  <c r="J1082" i="1"/>
  <c r="R1082" i="1" s="1"/>
  <c r="T1082" i="1" s="1"/>
  <c r="J1081" i="1"/>
  <c r="R1081" i="1" s="1"/>
  <c r="J1080" i="1"/>
  <c r="R1080" i="1" s="1"/>
  <c r="T1080" i="1" s="1"/>
  <c r="J1079" i="1"/>
  <c r="R1079" i="1" s="1"/>
  <c r="J1078" i="1"/>
  <c r="R1078" i="1" s="1"/>
  <c r="T1078" i="1" s="1"/>
  <c r="J1077" i="1"/>
  <c r="R1077" i="1" s="1"/>
  <c r="T1077" i="1" s="1"/>
  <c r="J1076" i="1"/>
  <c r="R1076" i="1" s="1"/>
  <c r="T1076" i="1" s="1"/>
  <c r="J1075" i="1"/>
  <c r="R1075" i="1" s="1"/>
  <c r="T1075" i="1" s="1"/>
  <c r="J1074" i="1"/>
  <c r="R1074" i="1" s="1"/>
  <c r="T1074" i="1" s="1"/>
  <c r="J1073" i="1"/>
  <c r="R1073" i="1" s="1"/>
  <c r="J1072" i="1"/>
  <c r="R1072" i="1" s="1"/>
  <c r="T1072" i="1" s="1"/>
  <c r="J1071" i="1"/>
  <c r="R1071" i="1" s="1"/>
  <c r="J1070" i="1"/>
  <c r="R1070" i="1" s="1"/>
  <c r="T1070" i="1" s="1"/>
  <c r="J1069" i="1"/>
  <c r="R1069" i="1" s="1"/>
  <c r="T1069" i="1" s="1"/>
  <c r="J1068" i="1"/>
  <c r="R1068" i="1" s="1"/>
  <c r="T1068" i="1" s="1"/>
  <c r="J1067" i="1"/>
  <c r="R1067" i="1" s="1"/>
  <c r="T1067" i="1" s="1"/>
  <c r="J1066" i="1"/>
  <c r="R1066" i="1" s="1"/>
  <c r="T1066" i="1" s="1"/>
  <c r="J1065" i="1"/>
  <c r="R1065" i="1" s="1"/>
  <c r="J1064" i="1"/>
  <c r="R1064" i="1" s="1"/>
  <c r="T1064" i="1" s="1"/>
  <c r="J1063" i="1"/>
  <c r="R1063" i="1" s="1"/>
  <c r="J1062" i="1"/>
  <c r="R1062" i="1" s="1"/>
  <c r="T1062" i="1" s="1"/>
  <c r="J1061" i="1"/>
  <c r="R1061" i="1" s="1"/>
  <c r="T1061" i="1" s="1"/>
  <c r="J1060" i="1"/>
  <c r="R1060" i="1" s="1"/>
  <c r="T1060" i="1" s="1"/>
  <c r="J1059" i="1"/>
  <c r="R1059" i="1" s="1"/>
  <c r="T1059" i="1" s="1"/>
  <c r="J1058" i="1"/>
  <c r="R1058" i="1" s="1"/>
  <c r="T1058" i="1" s="1"/>
  <c r="J1057" i="1"/>
  <c r="R1057" i="1" s="1"/>
  <c r="J1056" i="1"/>
  <c r="R1056" i="1" s="1"/>
  <c r="T1056" i="1" s="1"/>
  <c r="J1055" i="1"/>
  <c r="R1055" i="1" s="1"/>
  <c r="J1054" i="1"/>
  <c r="R1054" i="1" s="1"/>
  <c r="T1054" i="1" s="1"/>
  <c r="J1053" i="1"/>
  <c r="R1053" i="1" s="1"/>
  <c r="T1053" i="1" s="1"/>
  <c r="J1052" i="1"/>
  <c r="R1052" i="1" s="1"/>
  <c r="T1052" i="1" s="1"/>
  <c r="J1051" i="1"/>
  <c r="R1051" i="1" s="1"/>
  <c r="T1051" i="1" s="1"/>
  <c r="J1050" i="1"/>
  <c r="R1050" i="1" s="1"/>
  <c r="T1050" i="1" s="1"/>
  <c r="J1049" i="1"/>
  <c r="R1049" i="1" s="1"/>
  <c r="J1048" i="1"/>
  <c r="R1048" i="1" s="1"/>
  <c r="T1048" i="1" s="1"/>
  <c r="J1047" i="1"/>
  <c r="R1047" i="1" s="1"/>
  <c r="J1046" i="1"/>
  <c r="R1046" i="1" s="1"/>
  <c r="T1046" i="1" s="1"/>
  <c r="J1045" i="1"/>
  <c r="R1045" i="1" s="1"/>
  <c r="T1045" i="1" s="1"/>
  <c r="J1044" i="1"/>
  <c r="R1044" i="1" s="1"/>
  <c r="T1044" i="1" s="1"/>
  <c r="J1043" i="1"/>
  <c r="R1043" i="1" s="1"/>
  <c r="T1043" i="1" s="1"/>
  <c r="J1042" i="1"/>
  <c r="R1042" i="1" s="1"/>
  <c r="T1042" i="1" s="1"/>
  <c r="J1041" i="1"/>
  <c r="R1041" i="1" s="1"/>
  <c r="J1040" i="1"/>
  <c r="R1040" i="1" s="1"/>
  <c r="T1040" i="1" s="1"/>
  <c r="J1039" i="1"/>
  <c r="R1039" i="1" s="1"/>
  <c r="J1038" i="1"/>
  <c r="R1038" i="1" s="1"/>
  <c r="T1038" i="1" s="1"/>
  <c r="J1037" i="1"/>
  <c r="R1037" i="1" s="1"/>
  <c r="T1037" i="1" s="1"/>
  <c r="J1036" i="1"/>
  <c r="R1036" i="1" s="1"/>
  <c r="T1036" i="1" s="1"/>
  <c r="J1035" i="1"/>
  <c r="R1035" i="1" s="1"/>
  <c r="T1035" i="1" s="1"/>
  <c r="J1034" i="1"/>
  <c r="R1034" i="1" s="1"/>
  <c r="T1034" i="1" s="1"/>
  <c r="J1033" i="1"/>
  <c r="R1033" i="1" s="1"/>
  <c r="J1032" i="1"/>
  <c r="R1032" i="1" s="1"/>
  <c r="T1032" i="1" s="1"/>
  <c r="J1031" i="1"/>
  <c r="R1031" i="1" s="1"/>
  <c r="J1030" i="1"/>
  <c r="R1030" i="1" s="1"/>
  <c r="T1030" i="1" s="1"/>
  <c r="J1029" i="1"/>
  <c r="R1029" i="1" s="1"/>
  <c r="T1029" i="1" s="1"/>
  <c r="J1028" i="1"/>
  <c r="R1028" i="1" s="1"/>
  <c r="T1028" i="1" s="1"/>
  <c r="J1027" i="1"/>
  <c r="R1027" i="1" s="1"/>
  <c r="T1027" i="1" s="1"/>
  <c r="J1026" i="1"/>
  <c r="R1026" i="1" s="1"/>
  <c r="T1026" i="1" s="1"/>
  <c r="J1025" i="1"/>
  <c r="R1025" i="1" s="1"/>
  <c r="J1024" i="1"/>
  <c r="R1024" i="1" s="1"/>
  <c r="T1024" i="1" s="1"/>
  <c r="J1023" i="1"/>
  <c r="R1023" i="1" s="1"/>
  <c r="J1022" i="1"/>
  <c r="R1022" i="1" s="1"/>
  <c r="T1022" i="1" s="1"/>
  <c r="J1021" i="1"/>
  <c r="R1021" i="1" s="1"/>
  <c r="T1021" i="1" s="1"/>
  <c r="J1020" i="1"/>
  <c r="R1020" i="1" s="1"/>
  <c r="T1020" i="1" s="1"/>
  <c r="J1019" i="1"/>
  <c r="R1019" i="1" s="1"/>
  <c r="T1019" i="1" s="1"/>
  <c r="J1018" i="1"/>
  <c r="R1018" i="1" s="1"/>
  <c r="T1018" i="1" s="1"/>
  <c r="J1017" i="1"/>
  <c r="R1017" i="1" s="1"/>
  <c r="J1016" i="1"/>
  <c r="R1016" i="1" s="1"/>
  <c r="T1016" i="1" s="1"/>
  <c r="J1015" i="1"/>
  <c r="R1015" i="1" s="1"/>
  <c r="J1014" i="1"/>
  <c r="R1014" i="1" s="1"/>
  <c r="T1014" i="1" s="1"/>
  <c r="J1013" i="1"/>
  <c r="R1013" i="1" s="1"/>
  <c r="T1013" i="1" s="1"/>
  <c r="J1012" i="1"/>
  <c r="R1012" i="1" s="1"/>
  <c r="T1012" i="1" s="1"/>
  <c r="J1011" i="1"/>
  <c r="R1011" i="1" s="1"/>
  <c r="T1011" i="1" s="1"/>
  <c r="J1010" i="1"/>
  <c r="R1010" i="1" s="1"/>
  <c r="T1010" i="1" s="1"/>
  <c r="J1009" i="1"/>
  <c r="R1009" i="1" s="1"/>
  <c r="J1008" i="1"/>
  <c r="R1008" i="1" s="1"/>
  <c r="T1008" i="1" s="1"/>
  <c r="J1007" i="1"/>
  <c r="R1007" i="1" s="1"/>
  <c r="J1006" i="1"/>
  <c r="R1006" i="1" s="1"/>
  <c r="T1006" i="1" s="1"/>
  <c r="J1005" i="1"/>
  <c r="R1005" i="1" s="1"/>
  <c r="T1005" i="1" s="1"/>
  <c r="J1004" i="1"/>
  <c r="R1004" i="1" s="1"/>
  <c r="T1004" i="1" s="1"/>
  <c r="J1003" i="1"/>
  <c r="R1003" i="1" s="1"/>
  <c r="T1003" i="1" s="1"/>
  <c r="J1002" i="1"/>
  <c r="R1002" i="1" s="1"/>
  <c r="T1002" i="1" s="1"/>
  <c r="J1001" i="1"/>
  <c r="R1001" i="1" s="1"/>
  <c r="J1000" i="1"/>
  <c r="R1000" i="1" s="1"/>
  <c r="T1000" i="1" s="1"/>
  <c r="J999" i="1"/>
  <c r="R999" i="1" s="1"/>
  <c r="J998" i="1"/>
  <c r="R998" i="1" s="1"/>
  <c r="T998" i="1" s="1"/>
  <c r="J997" i="1"/>
  <c r="R997" i="1" s="1"/>
  <c r="T997" i="1" s="1"/>
  <c r="J996" i="1"/>
  <c r="R996" i="1" s="1"/>
  <c r="T996" i="1" s="1"/>
  <c r="J995" i="1"/>
  <c r="R995" i="1" s="1"/>
  <c r="T995" i="1" s="1"/>
  <c r="J994" i="1"/>
  <c r="R994" i="1" s="1"/>
  <c r="T994" i="1" s="1"/>
  <c r="J993" i="1"/>
  <c r="R993" i="1" s="1"/>
  <c r="J992" i="1"/>
  <c r="R992" i="1" s="1"/>
  <c r="T992" i="1" s="1"/>
  <c r="J991" i="1"/>
  <c r="R991" i="1" s="1"/>
  <c r="J990" i="1"/>
  <c r="R990" i="1" s="1"/>
  <c r="T990" i="1" s="1"/>
  <c r="J989" i="1"/>
  <c r="R989" i="1" s="1"/>
  <c r="T989" i="1" s="1"/>
  <c r="J987" i="1"/>
  <c r="R987" i="1" s="1"/>
  <c r="T987" i="1" s="1"/>
  <c r="J986" i="1"/>
  <c r="R986" i="1" s="1"/>
  <c r="T986" i="1" s="1"/>
  <c r="J985" i="1"/>
  <c r="R985" i="1" s="1"/>
  <c r="T985" i="1" s="1"/>
  <c r="J984" i="1"/>
  <c r="R984" i="1" s="1"/>
  <c r="J983" i="1"/>
  <c r="R983" i="1" s="1"/>
  <c r="T983" i="1" s="1"/>
  <c r="J982" i="1"/>
  <c r="R982" i="1" s="1"/>
  <c r="J981" i="1"/>
  <c r="R981" i="1" s="1"/>
  <c r="T981" i="1" s="1"/>
  <c r="J980" i="1"/>
  <c r="R980" i="1" s="1"/>
  <c r="T980" i="1" s="1"/>
  <c r="J979" i="1"/>
  <c r="R979" i="1" s="1"/>
  <c r="T979" i="1" s="1"/>
  <c r="J978" i="1"/>
  <c r="R978" i="1" s="1"/>
  <c r="T978" i="1" s="1"/>
  <c r="J977" i="1"/>
  <c r="R977" i="1" s="1"/>
  <c r="T977" i="1" s="1"/>
  <c r="J976" i="1"/>
  <c r="R976" i="1" s="1"/>
  <c r="J975" i="1"/>
  <c r="R975" i="1" s="1"/>
  <c r="T975" i="1" s="1"/>
  <c r="J974" i="1"/>
  <c r="R974" i="1" s="1"/>
  <c r="J973" i="1"/>
  <c r="R973" i="1" s="1"/>
  <c r="T973" i="1" s="1"/>
  <c r="J972" i="1"/>
  <c r="R972" i="1" s="1"/>
  <c r="T972" i="1" s="1"/>
  <c r="J971" i="1"/>
  <c r="R971" i="1" s="1"/>
  <c r="T971" i="1" s="1"/>
  <c r="J970" i="1"/>
  <c r="R970" i="1" s="1"/>
  <c r="T970" i="1" s="1"/>
  <c r="J969" i="1"/>
  <c r="R969" i="1" s="1"/>
  <c r="T969" i="1" s="1"/>
  <c r="J968" i="1"/>
  <c r="R968" i="1" s="1"/>
  <c r="J967" i="1"/>
  <c r="R967" i="1" s="1"/>
  <c r="T967" i="1" s="1"/>
  <c r="J966" i="1"/>
  <c r="R966" i="1" s="1"/>
  <c r="J965" i="1"/>
  <c r="R965" i="1" s="1"/>
  <c r="T965" i="1" s="1"/>
  <c r="J964" i="1"/>
  <c r="R964" i="1" s="1"/>
  <c r="T964" i="1" s="1"/>
  <c r="J963" i="1"/>
  <c r="R963" i="1" s="1"/>
  <c r="T963" i="1" s="1"/>
  <c r="J962" i="1"/>
  <c r="R962" i="1" s="1"/>
  <c r="T962" i="1" s="1"/>
  <c r="J961" i="1"/>
  <c r="R961" i="1" s="1"/>
  <c r="T961" i="1" s="1"/>
  <c r="J960" i="1"/>
  <c r="R960" i="1" s="1"/>
  <c r="J959" i="1"/>
  <c r="R959" i="1" s="1"/>
  <c r="T959" i="1" s="1"/>
  <c r="J958" i="1"/>
  <c r="R958" i="1" s="1"/>
  <c r="J957" i="1"/>
  <c r="R957" i="1" s="1"/>
  <c r="T957" i="1" s="1"/>
  <c r="J956" i="1"/>
  <c r="R956" i="1" s="1"/>
  <c r="T956" i="1" s="1"/>
  <c r="J955" i="1"/>
  <c r="R955" i="1" s="1"/>
  <c r="T955" i="1" s="1"/>
  <c r="J954" i="1"/>
  <c r="R954" i="1" s="1"/>
  <c r="T954" i="1" s="1"/>
  <c r="J953" i="1"/>
  <c r="R953" i="1" s="1"/>
  <c r="T953" i="1" s="1"/>
  <c r="J952" i="1"/>
  <c r="R952" i="1" s="1"/>
  <c r="J951" i="1"/>
  <c r="R951" i="1" s="1"/>
  <c r="T951" i="1" s="1"/>
  <c r="J950" i="1"/>
  <c r="R950" i="1" s="1"/>
  <c r="J949" i="1"/>
  <c r="R949" i="1" s="1"/>
  <c r="T949" i="1" s="1"/>
  <c r="J948" i="1"/>
  <c r="R948" i="1" s="1"/>
  <c r="T948" i="1" s="1"/>
  <c r="J947" i="1"/>
  <c r="R947" i="1" s="1"/>
  <c r="T947" i="1" s="1"/>
  <c r="J946" i="1"/>
  <c r="R946" i="1" s="1"/>
  <c r="T946" i="1" s="1"/>
  <c r="J945" i="1"/>
  <c r="R945" i="1" s="1"/>
  <c r="T945" i="1" s="1"/>
  <c r="J944" i="1"/>
  <c r="R944" i="1" s="1"/>
  <c r="J943" i="1"/>
  <c r="R943" i="1" s="1"/>
  <c r="T943" i="1" s="1"/>
  <c r="J942" i="1"/>
  <c r="R942" i="1" s="1"/>
  <c r="J887" i="1"/>
  <c r="R887" i="1" s="1"/>
  <c r="T887" i="1" s="1"/>
  <c r="J941" i="1"/>
  <c r="R941" i="1" s="1"/>
  <c r="T941" i="1" s="1"/>
  <c r="J940" i="1"/>
  <c r="R940" i="1" s="1"/>
  <c r="T940" i="1" s="1"/>
  <c r="J939" i="1"/>
  <c r="R939" i="1" s="1"/>
  <c r="T939" i="1" s="1"/>
  <c r="J938" i="1"/>
  <c r="R938" i="1" s="1"/>
  <c r="T938" i="1" s="1"/>
  <c r="J937" i="1"/>
  <c r="R937" i="1" s="1"/>
  <c r="J936" i="1"/>
  <c r="R936" i="1" s="1"/>
  <c r="T936" i="1" s="1"/>
  <c r="J935" i="1"/>
  <c r="R935" i="1" s="1"/>
  <c r="J934" i="1"/>
  <c r="R934" i="1" s="1"/>
  <c r="T934" i="1" s="1"/>
  <c r="J933" i="1"/>
  <c r="R933" i="1" s="1"/>
  <c r="T933" i="1" s="1"/>
  <c r="J932" i="1"/>
  <c r="R932" i="1" s="1"/>
  <c r="T932" i="1" s="1"/>
  <c r="J931" i="1"/>
  <c r="R931" i="1" s="1"/>
  <c r="T931" i="1" s="1"/>
  <c r="J930" i="1"/>
  <c r="R930" i="1" s="1"/>
  <c r="T930" i="1" s="1"/>
  <c r="J929" i="1"/>
  <c r="R929" i="1" s="1"/>
  <c r="J928" i="1"/>
  <c r="R928" i="1" s="1"/>
  <c r="T928" i="1" s="1"/>
  <c r="J927" i="1"/>
  <c r="R927" i="1" s="1"/>
  <c r="J926" i="1"/>
  <c r="R926" i="1" s="1"/>
  <c r="T926" i="1" s="1"/>
  <c r="J925" i="1"/>
  <c r="R925" i="1" s="1"/>
  <c r="T925" i="1" s="1"/>
  <c r="J924" i="1"/>
  <c r="R924" i="1" s="1"/>
  <c r="T924" i="1" s="1"/>
  <c r="J923" i="1"/>
  <c r="R923" i="1" s="1"/>
  <c r="T923" i="1" s="1"/>
  <c r="J922" i="1"/>
  <c r="R922" i="1" s="1"/>
  <c r="T922" i="1" s="1"/>
  <c r="J921" i="1"/>
  <c r="R921" i="1" s="1"/>
  <c r="J920" i="1"/>
  <c r="R920" i="1" s="1"/>
  <c r="T920" i="1" s="1"/>
  <c r="J919" i="1"/>
  <c r="R919" i="1" s="1"/>
  <c r="J918" i="1"/>
  <c r="R918" i="1" s="1"/>
  <c r="T918" i="1" s="1"/>
  <c r="J917" i="1"/>
  <c r="R917" i="1" s="1"/>
  <c r="T917" i="1" s="1"/>
  <c r="J916" i="1"/>
  <c r="R916" i="1" s="1"/>
  <c r="T916" i="1" s="1"/>
  <c r="J915" i="1"/>
  <c r="R915" i="1" s="1"/>
  <c r="T915" i="1" s="1"/>
  <c r="J914" i="1"/>
  <c r="R914" i="1" s="1"/>
  <c r="T914" i="1" s="1"/>
  <c r="J913" i="1"/>
  <c r="R913" i="1" s="1"/>
  <c r="J912" i="1"/>
  <c r="R912" i="1" s="1"/>
  <c r="T912" i="1" s="1"/>
  <c r="J911" i="1"/>
  <c r="R911" i="1" s="1"/>
  <c r="J910" i="1"/>
  <c r="R910" i="1" s="1"/>
  <c r="T910" i="1" s="1"/>
  <c r="J909" i="1"/>
  <c r="R909" i="1" s="1"/>
  <c r="T909" i="1" s="1"/>
  <c r="J908" i="1"/>
  <c r="R908" i="1" s="1"/>
  <c r="T908" i="1" s="1"/>
  <c r="J907" i="1"/>
  <c r="R907" i="1" s="1"/>
  <c r="T907" i="1" s="1"/>
  <c r="J906" i="1"/>
  <c r="R906" i="1" s="1"/>
  <c r="T906" i="1" s="1"/>
  <c r="J905" i="1"/>
  <c r="R905" i="1" s="1"/>
  <c r="J904" i="1"/>
  <c r="R904" i="1" s="1"/>
  <c r="T904" i="1" s="1"/>
  <c r="J903" i="1"/>
  <c r="R903" i="1" s="1"/>
  <c r="J902" i="1"/>
  <c r="R902" i="1" s="1"/>
  <c r="T902" i="1" s="1"/>
  <c r="J901" i="1"/>
  <c r="R901" i="1" s="1"/>
  <c r="T901" i="1" s="1"/>
  <c r="J900" i="1"/>
  <c r="R900" i="1" s="1"/>
  <c r="T900" i="1" s="1"/>
  <c r="J899" i="1"/>
  <c r="R899" i="1" s="1"/>
  <c r="T899" i="1" s="1"/>
  <c r="J898" i="1"/>
  <c r="R898" i="1" s="1"/>
  <c r="T898" i="1" s="1"/>
  <c r="J897" i="1"/>
  <c r="R897" i="1" s="1"/>
  <c r="J896" i="1"/>
  <c r="R896" i="1" s="1"/>
  <c r="T896" i="1" s="1"/>
  <c r="J895" i="1"/>
  <c r="R895" i="1" s="1"/>
  <c r="J894" i="1"/>
  <c r="R894" i="1" s="1"/>
  <c r="T894" i="1" s="1"/>
  <c r="J893" i="1"/>
  <c r="R893" i="1" s="1"/>
  <c r="T893" i="1" s="1"/>
  <c r="J892" i="1"/>
  <c r="R892" i="1" s="1"/>
  <c r="T892" i="1" s="1"/>
  <c r="J891" i="1"/>
  <c r="R891" i="1" s="1"/>
  <c r="T891" i="1" s="1"/>
  <c r="J890" i="1"/>
  <c r="R890" i="1" s="1"/>
  <c r="T890" i="1" s="1"/>
  <c r="J889" i="1"/>
  <c r="R889" i="1" s="1"/>
  <c r="J888" i="1"/>
  <c r="R888" i="1" s="1"/>
  <c r="T888" i="1" s="1"/>
  <c r="J625" i="1"/>
  <c r="R625" i="1" s="1"/>
  <c r="J886" i="1"/>
  <c r="R886" i="1" s="1"/>
  <c r="T886" i="1" s="1"/>
  <c r="J624" i="1"/>
  <c r="R624" i="1" s="1"/>
  <c r="T624" i="1" s="1"/>
  <c r="J884" i="1"/>
  <c r="R884" i="1" s="1"/>
  <c r="T884" i="1" s="1"/>
  <c r="J623" i="1"/>
  <c r="R623" i="1" s="1"/>
  <c r="T623" i="1" s="1"/>
  <c r="J882" i="1"/>
  <c r="R882" i="1" s="1"/>
  <c r="T882" i="1" s="1"/>
  <c r="J881" i="1"/>
  <c r="R881" i="1" s="1"/>
  <c r="J880" i="1"/>
  <c r="R880" i="1" s="1"/>
  <c r="T880" i="1" s="1"/>
  <c r="J879" i="1"/>
  <c r="R879" i="1" s="1"/>
  <c r="J878" i="1"/>
  <c r="R878" i="1" s="1"/>
  <c r="T878" i="1" s="1"/>
  <c r="J877" i="1"/>
  <c r="R877" i="1" s="1"/>
  <c r="T877" i="1" s="1"/>
  <c r="J876" i="1"/>
  <c r="R876" i="1" s="1"/>
  <c r="T876" i="1" s="1"/>
  <c r="J875" i="1"/>
  <c r="R875" i="1" s="1"/>
  <c r="T875" i="1" s="1"/>
  <c r="J874" i="1"/>
  <c r="R874" i="1" s="1"/>
  <c r="T874" i="1" s="1"/>
  <c r="J873" i="1"/>
  <c r="R873" i="1" s="1"/>
  <c r="J872" i="1"/>
  <c r="R872" i="1" s="1"/>
  <c r="T872" i="1" s="1"/>
  <c r="J871" i="1"/>
  <c r="R871" i="1" s="1"/>
  <c r="J870" i="1"/>
  <c r="R870" i="1" s="1"/>
  <c r="T870" i="1" s="1"/>
  <c r="J869" i="1"/>
  <c r="R869" i="1" s="1"/>
  <c r="T869" i="1" s="1"/>
  <c r="J622" i="1"/>
  <c r="R622" i="1" s="1"/>
  <c r="T622" i="1" s="1"/>
  <c r="J867" i="1"/>
  <c r="R867" i="1" s="1"/>
  <c r="T867" i="1" s="1"/>
  <c r="J621" i="1"/>
  <c r="R621" i="1" s="1"/>
  <c r="T621" i="1" s="1"/>
  <c r="J675" i="1"/>
  <c r="R675" i="1" s="1"/>
  <c r="J674" i="1"/>
  <c r="R674" i="1" s="1"/>
  <c r="T674" i="1" s="1"/>
  <c r="J885" i="1"/>
  <c r="R885" i="1" s="1"/>
  <c r="J883" i="1"/>
  <c r="R883" i="1" s="1"/>
  <c r="T883" i="1" s="1"/>
  <c r="J868" i="1"/>
  <c r="R868" i="1" s="1"/>
  <c r="T868" i="1" s="1"/>
  <c r="J866" i="1"/>
  <c r="R866" i="1" s="1"/>
  <c r="T866" i="1" s="1"/>
  <c r="J865" i="1"/>
  <c r="R865" i="1" s="1"/>
  <c r="T865" i="1" s="1"/>
  <c r="J864" i="1"/>
  <c r="R864" i="1" s="1"/>
  <c r="T864" i="1" s="1"/>
  <c r="J863" i="1"/>
  <c r="R863" i="1" s="1"/>
  <c r="J862" i="1"/>
  <c r="R862" i="1" s="1"/>
  <c r="T862" i="1" s="1"/>
  <c r="J861" i="1"/>
  <c r="R861" i="1" s="1"/>
  <c r="J860" i="1"/>
  <c r="R860" i="1" s="1"/>
  <c r="T860" i="1" s="1"/>
  <c r="J859" i="1"/>
  <c r="R859" i="1" s="1"/>
  <c r="T859" i="1" s="1"/>
  <c r="J858" i="1"/>
  <c r="R858" i="1" s="1"/>
  <c r="T858" i="1" s="1"/>
  <c r="J857" i="1"/>
  <c r="R857" i="1" s="1"/>
  <c r="T857" i="1" s="1"/>
  <c r="J856" i="1"/>
  <c r="R856" i="1" s="1"/>
  <c r="T856" i="1" s="1"/>
  <c r="J855" i="1"/>
  <c r="R855" i="1" s="1"/>
  <c r="J854" i="1"/>
  <c r="R854" i="1" s="1"/>
  <c r="T854" i="1" s="1"/>
  <c r="J853" i="1"/>
  <c r="R853" i="1" s="1"/>
  <c r="J852" i="1"/>
  <c r="R852" i="1" s="1"/>
  <c r="T852" i="1" s="1"/>
  <c r="J851" i="1"/>
  <c r="R851" i="1" s="1"/>
  <c r="T851" i="1" s="1"/>
  <c r="J850" i="1"/>
  <c r="R850" i="1" s="1"/>
  <c r="T850" i="1" s="1"/>
  <c r="J849" i="1"/>
  <c r="R849" i="1" s="1"/>
  <c r="T849" i="1" s="1"/>
  <c r="J848" i="1"/>
  <c r="R848" i="1" s="1"/>
  <c r="T848" i="1" s="1"/>
  <c r="J847" i="1"/>
  <c r="R847" i="1" s="1"/>
  <c r="J846" i="1"/>
  <c r="R846" i="1" s="1"/>
  <c r="T846" i="1" s="1"/>
  <c r="J845" i="1"/>
  <c r="R845" i="1" s="1"/>
  <c r="J844" i="1"/>
  <c r="R844" i="1" s="1"/>
  <c r="T844" i="1" s="1"/>
  <c r="J843" i="1"/>
  <c r="R843" i="1" s="1"/>
  <c r="T843" i="1" s="1"/>
  <c r="J842" i="1"/>
  <c r="R842" i="1" s="1"/>
  <c r="T842" i="1" s="1"/>
  <c r="J841" i="1"/>
  <c r="R841" i="1" s="1"/>
  <c r="T841" i="1" s="1"/>
  <c r="J840" i="1"/>
  <c r="R840" i="1" s="1"/>
  <c r="T840" i="1" s="1"/>
  <c r="J839" i="1"/>
  <c r="R839" i="1" s="1"/>
  <c r="J838" i="1"/>
  <c r="R838" i="1" s="1"/>
  <c r="T838" i="1" s="1"/>
  <c r="J837" i="1"/>
  <c r="R837" i="1" s="1"/>
  <c r="J830" i="1"/>
  <c r="R830" i="1" s="1"/>
  <c r="T830" i="1" s="1"/>
  <c r="J829" i="1"/>
  <c r="R829" i="1" s="1"/>
  <c r="T829" i="1" s="1"/>
  <c r="J828" i="1"/>
  <c r="R828" i="1" s="1"/>
  <c r="T828" i="1" s="1"/>
  <c r="J827" i="1"/>
  <c r="R827" i="1" s="1"/>
  <c r="T827" i="1" s="1"/>
  <c r="J826" i="1"/>
  <c r="R826" i="1" s="1"/>
  <c r="T826" i="1" s="1"/>
  <c r="J825" i="1"/>
  <c r="R825" i="1" s="1"/>
  <c r="J824" i="1"/>
  <c r="R824" i="1" s="1"/>
  <c r="T824" i="1" s="1"/>
  <c r="J823" i="1"/>
  <c r="R823" i="1" s="1"/>
  <c r="J822" i="1"/>
  <c r="R822" i="1" s="1"/>
  <c r="T822" i="1" s="1"/>
  <c r="J821" i="1"/>
  <c r="R821" i="1" s="1"/>
  <c r="T821" i="1" s="1"/>
  <c r="J820" i="1"/>
  <c r="R820" i="1" s="1"/>
  <c r="T820" i="1" s="1"/>
  <c r="J819" i="1"/>
  <c r="R819" i="1" s="1"/>
  <c r="T819" i="1" s="1"/>
  <c r="J818" i="1"/>
  <c r="R818" i="1" s="1"/>
  <c r="T818" i="1" s="1"/>
  <c r="J817" i="1"/>
  <c r="R817" i="1" s="1"/>
  <c r="J816" i="1"/>
  <c r="R816" i="1" s="1"/>
  <c r="T816" i="1" s="1"/>
  <c r="J815" i="1"/>
  <c r="R815" i="1" s="1"/>
  <c r="J814" i="1"/>
  <c r="R814" i="1" s="1"/>
  <c r="T814" i="1" s="1"/>
  <c r="J813" i="1"/>
  <c r="R813" i="1" s="1"/>
  <c r="T813" i="1" s="1"/>
  <c r="J812" i="1"/>
  <c r="R812" i="1" s="1"/>
  <c r="T812" i="1" s="1"/>
  <c r="J811" i="1"/>
  <c r="R811" i="1" s="1"/>
  <c r="T811" i="1" s="1"/>
  <c r="J810" i="1"/>
  <c r="R810" i="1" s="1"/>
  <c r="T810" i="1" s="1"/>
  <c r="J809" i="1"/>
  <c r="R809" i="1" s="1"/>
  <c r="J808" i="1"/>
  <c r="R808" i="1" s="1"/>
  <c r="T808" i="1" s="1"/>
  <c r="J807" i="1"/>
  <c r="R807" i="1" s="1"/>
  <c r="J806" i="1"/>
  <c r="R806" i="1" s="1"/>
  <c r="T806" i="1" s="1"/>
  <c r="J805" i="1"/>
  <c r="R805" i="1" s="1"/>
  <c r="T805" i="1" s="1"/>
  <c r="J804" i="1"/>
  <c r="R804" i="1" s="1"/>
  <c r="T804" i="1" s="1"/>
  <c r="J803" i="1"/>
  <c r="R803" i="1" s="1"/>
  <c r="T803" i="1" s="1"/>
  <c r="J802" i="1"/>
  <c r="R802" i="1" s="1"/>
  <c r="T802" i="1" s="1"/>
  <c r="J801" i="1"/>
  <c r="R801" i="1" s="1"/>
  <c r="J800" i="1"/>
  <c r="R800" i="1" s="1"/>
  <c r="T800" i="1" s="1"/>
  <c r="J799" i="1"/>
  <c r="R799" i="1" s="1"/>
  <c r="J798" i="1"/>
  <c r="R798" i="1" s="1"/>
  <c r="T798" i="1" s="1"/>
  <c r="J797" i="1"/>
  <c r="R797" i="1" s="1"/>
  <c r="T797" i="1" s="1"/>
  <c r="J796" i="1"/>
  <c r="R796" i="1" s="1"/>
  <c r="T796" i="1" s="1"/>
  <c r="J795" i="1"/>
  <c r="R795" i="1" s="1"/>
  <c r="T795" i="1" s="1"/>
  <c r="J794" i="1"/>
  <c r="R794" i="1" s="1"/>
  <c r="T794" i="1" s="1"/>
  <c r="J793" i="1"/>
  <c r="R793" i="1" s="1"/>
  <c r="J792" i="1"/>
  <c r="R792" i="1" s="1"/>
  <c r="T792" i="1" s="1"/>
  <c r="J791" i="1"/>
  <c r="R791" i="1" s="1"/>
  <c r="J790" i="1"/>
  <c r="R790" i="1" s="1"/>
  <c r="T790" i="1" s="1"/>
  <c r="J789" i="1"/>
  <c r="R789" i="1" s="1"/>
  <c r="T789" i="1" s="1"/>
  <c r="J788" i="1"/>
  <c r="R788" i="1" s="1"/>
  <c r="T788" i="1" s="1"/>
  <c r="J787" i="1"/>
  <c r="R787" i="1" s="1"/>
  <c r="T787" i="1" s="1"/>
  <c r="J786" i="1"/>
  <c r="R786" i="1" s="1"/>
  <c r="T786" i="1" s="1"/>
  <c r="J785" i="1"/>
  <c r="R785" i="1" s="1"/>
  <c r="J784" i="1"/>
  <c r="R784" i="1" s="1"/>
  <c r="T784" i="1" s="1"/>
  <c r="J783" i="1"/>
  <c r="R783" i="1" s="1"/>
  <c r="J782" i="1"/>
  <c r="R782" i="1" s="1"/>
  <c r="T782" i="1" s="1"/>
  <c r="J487" i="1"/>
  <c r="R487" i="1" s="1"/>
  <c r="T487" i="1" s="1"/>
  <c r="J483" i="1"/>
  <c r="R483" i="1" s="1"/>
  <c r="T483" i="1" s="1"/>
  <c r="J362" i="1"/>
  <c r="R362" i="1" s="1"/>
  <c r="T362" i="1" s="1"/>
  <c r="J361" i="1"/>
  <c r="R361" i="1" s="1"/>
  <c r="T361" i="1" s="1"/>
  <c r="J360" i="1"/>
  <c r="R360" i="1" s="1"/>
  <c r="J776" i="1"/>
  <c r="R776" i="1" s="1"/>
  <c r="T776" i="1" s="1"/>
  <c r="J775" i="1"/>
  <c r="R775" i="1" s="1"/>
  <c r="J774" i="1"/>
  <c r="R774" i="1" s="1"/>
  <c r="T774" i="1" s="1"/>
  <c r="J773" i="1"/>
  <c r="R773" i="1" s="1"/>
  <c r="T773" i="1" s="1"/>
  <c r="J772" i="1"/>
  <c r="R772" i="1" s="1"/>
  <c r="T772" i="1" s="1"/>
  <c r="J771" i="1"/>
  <c r="R771" i="1" s="1"/>
  <c r="T771" i="1" s="1"/>
  <c r="J359" i="1"/>
  <c r="R359" i="1" s="1"/>
  <c r="T359" i="1" s="1"/>
  <c r="J769" i="1"/>
  <c r="R769" i="1" s="1"/>
  <c r="J358" i="1"/>
  <c r="R358" i="1" s="1"/>
  <c r="T358" i="1" s="1"/>
  <c r="J767" i="1"/>
  <c r="R767" i="1" s="1"/>
  <c r="J357" i="1"/>
  <c r="R357" i="1" s="1"/>
  <c r="T357" i="1" s="1"/>
  <c r="J765" i="1"/>
  <c r="R765" i="1" s="1"/>
  <c r="T765" i="1" s="1"/>
  <c r="J764" i="1"/>
  <c r="R764" i="1" s="1"/>
  <c r="T764" i="1" s="1"/>
  <c r="J763" i="1"/>
  <c r="R763" i="1" s="1"/>
  <c r="T763" i="1" s="1"/>
  <c r="J762" i="1"/>
  <c r="R762" i="1" s="1"/>
  <c r="T762" i="1" s="1"/>
  <c r="J761" i="1"/>
  <c r="R761" i="1" s="1"/>
  <c r="J760" i="1"/>
  <c r="R760" i="1" s="1"/>
  <c r="T760" i="1" s="1"/>
  <c r="J759" i="1"/>
  <c r="R759" i="1" s="1"/>
  <c r="J758" i="1"/>
  <c r="R758" i="1" s="1"/>
  <c r="T758" i="1" s="1"/>
  <c r="J757" i="1"/>
  <c r="R757" i="1" s="1"/>
  <c r="T757" i="1" s="1"/>
  <c r="J756" i="1"/>
  <c r="R756" i="1" s="1"/>
  <c r="T756" i="1" s="1"/>
  <c r="J755" i="1"/>
  <c r="R755" i="1" s="1"/>
  <c r="T755" i="1" s="1"/>
  <c r="J754" i="1"/>
  <c r="R754" i="1" s="1"/>
  <c r="T754" i="1" s="1"/>
  <c r="J753" i="1"/>
  <c r="R753" i="1" s="1"/>
  <c r="J752" i="1"/>
  <c r="R752" i="1" s="1"/>
  <c r="T752" i="1" s="1"/>
  <c r="J751" i="1"/>
  <c r="R751" i="1" s="1"/>
  <c r="J750" i="1"/>
  <c r="R750" i="1" s="1"/>
  <c r="T750" i="1" s="1"/>
  <c r="J749" i="1"/>
  <c r="R749" i="1" s="1"/>
  <c r="T749" i="1" s="1"/>
  <c r="J748" i="1"/>
  <c r="R748" i="1" s="1"/>
  <c r="T748" i="1" s="1"/>
  <c r="J747" i="1"/>
  <c r="R747" i="1" s="1"/>
  <c r="T747" i="1" s="1"/>
  <c r="J746" i="1"/>
  <c r="R746" i="1" s="1"/>
  <c r="T746" i="1" s="1"/>
  <c r="J745" i="1"/>
  <c r="R745" i="1" s="1"/>
  <c r="J356" i="1"/>
  <c r="R356" i="1" s="1"/>
  <c r="T356" i="1" s="1"/>
  <c r="J355" i="1"/>
  <c r="R355" i="1" s="1"/>
  <c r="J742" i="1"/>
  <c r="R742" i="1" s="1"/>
  <c r="T742" i="1" s="1"/>
  <c r="J741" i="1"/>
  <c r="R741" i="1" s="1"/>
  <c r="T741" i="1" s="1"/>
  <c r="J740" i="1"/>
  <c r="R740" i="1" s="1"/>
  <c r="T740" i="1" s="1"/>
  <c r="J739" i="1"/>
  <c r="R739" i="1" s="1"/>
  <c r="T739" i="1" s="1"/>
  <c r="J738" i="1"/>
  <c r="R738" i="1" s="1"/>
  <c r="T738" i="1" s="1"/>
  <c r="J737" i="1"/>
  <c r="R737" i="1" s="1"/>
  <c r="J736" i="1"/>
  <c r="R736" i="1" s="1"/>
  <c r="T736" i="1" s="1"/>
  <c r="J735" i="1"/>
  <c r="R735" i="1" s="1"/>
  <c r="J734" i="1"/>
  <c r="R734" i="1" s="1"/>
  <c r="T734" i="1" s="1"/>
  <c r="J353" i="1"/>
  <c r="R353" i="1" s="1"/>
  <c r="T353" i="1" s="1"/>
  <c r="J732" i="1"/>
  <c r="R732" i="1" s="1"/>
  <c r="T732" i="1" s="1"/>
  <c r="J731" i="1"/>
  <c r="R731" i="1" s="1"/>
  <c r="T731" i="1" s="1"/>
  <c r="J730" i="1"/>
  <c r="R730" i="1" s="1"/>
  <c r="T730" i="1" s="1"/>
  <c r="J729" i="1"/>
  <c r="R729" i="1" s="1"/>
  <c r="J728" i="1"/>
  <c r="R728" i="1" s="1"/>
  <c r="T728" i="1" s="1"/>
  <c r="J727" i="1"/>
  <c r="R727" i="1" s="1"/>
  <c r="J726" i="1"/>
  <c r="R726" i="1" s="1"/>
  <c r="T726" i="1" s="1"/>
  <c r="J725" i="1"/>
  <c r="R725" i="1" s="1"/>
  <c r="T725" i="1" s="1"/>
  <c r="J724" i="1"/>
  <c r="R724" i="1" s="1"/>
  <c r="T724" i="1" s="1"/>
  <c r="J723" i="1"/>
  <c r="R723" i="1" s="1"/>
  <c r="T723" i="1" s="1"/>
  <c r="J722" i="1"/>
  <c r="R722" i="1" s="1"/>
  <c r="T722" i="1" s="1"/>
  <c r="J721" i="1"/>
  <c r="R721" i="1" s="1"/>
  <c r="J720" i="1"/>
  <c r="R720" i="1" s="1"/>
  <c r="T720" i="1" s="1"/>
  <c r="J719" i="1"/>
  <c r="R719" i="1" s="1"/>
  <c r="J718" i="1"/>
  <c r="R718" i="1" s="1"/>
  <c r="T718" i="1" s="1"/>
  <c r="J717" i="1"/>
  <c r="R717" i="1" s="1"/>
  <c r="T717" i="1" s="1"/>
  <c r="J716" i="1"/>
  <c r="R716" i="1" s="1"/>
  <c r="T716" i="1" s="1"/>
  <c r="J715" i="1"/>
  <c r="R715" i="1" s="1"/>
  <c r="T715" i="1" s="1"/>
  <c r="J714" i="1"/>
  <c r="R714" i="1" s="1"/>
  <c r="T714" i="1" s="1"/>
  <c r="J713" i="1"/>
  <c r="R713" i="1" s="1"/>
  <c r="J712" i="1"/>
  <c r="R712" i="1" s="1"/>
  <c r="T712" i="1" s="1"/>
  <c r="J711" i="1"/>
  <c r="R711" i="1" s="1"/>
  <c r="J710" i="1"/>
  <c r="R710" i="1" s="1"/>
  <c r="T710" i="1" s="1"/>
  <c r="J709" i="1"/>
  <c r="R709" i="1" s="1"/>
  <c r="T709" i="1" s="1"/>
  <c r="J708" i="1"/>
  <c r="R708" i="1" s="1"/>
  <c r="T708" i="1" s="1"/>
  <c r="J707" i="1"/>
  <c r="R707" i="1" s="1"/>
  <c r="T707" i="1" s="1"/>
  <c r="J706" i="1"/>
  <c r="R706" i="1" s="1"/>
  <c r="T706" i="1" s="1"/>
  <c r="J705" i="1"/>
  <c r="R705" i="1" s="1"/>
  <c r="J704" i="1"/>
  <c r="R704" i="1" s="1"/>
  <c r="T704" i="1" s="1"/>
  <c r="J703" i="1"/>
  <c r="R703" i="1" s="1"/>
  <c r="J702" i="1"/>
  <c r="R702" i="1" s="1"/>
  <c r="T702" i="1" s="1"/>
  <c r="J1522" i="1"/>
  <c r="R1522" i="1" s="1"/>
  <c r="T1522" i="1" s="1"/>
  <c r="J766" i="1"/>
  <c r="R766" i="1" s="1"/>
  <c r="T766" i="1" s="1"/>
  <c r="J744" i="1"/>
  <c r="R744" i="1" s="1"/>
  <c r="T744" i="1" s="1"/>
  <c r="J743" i="1"/>
  <c r="R743" i="1" s="1"/>
  <c r="T743" i="1" s="1"/>
  <c r="J733" i="1"/>
  <c r="R733" i="1" s="1"/>
  <c r="J701" i="1"/>
  <c r="R701" i="1" s="1"/>
  <c r="T701" i="1" s="1"/>
  <c r="J700" i="1"/>
  <c r="R700" i="1" s="1"/>
  <c r="J655" i="1"/>
  <c r="R655" i="1" s="1"/>
  <c r="T655" i="1" s="1"/>
  <c r="J699" i="1"/>
  <c r="R699" i="1" s="1"/>
  <c r="T699" i="1" s="1"/>
  <c r="J698" i="1"/>
  <c r="R698" i="1" s="1"/>
  <c r="T698" i="1" s="1"/>
  <c r="J697" i="1"/>
  <c r="R697" i="1" s="1"/>
  <c r="T697" i="1" s="1"/>
  <c r="J696" i="1"/>
  <c r="R696" i="1" s="1"/>
  <c r="T696" i="1" s="1"/>
  <c r="J695" i="1"/>
  <c r="R695" i="1" s="1"/>
  <c r="J694" i="1"/>
  <c r="R694" i="1" s="1"/>
  <c r="T694" i="1" s="1"/>
  <c r="J693" i="1"/>
  <c r="R693" i="1" s="1"/>
  <c r="J692" i="1"/>
  <c r="R692" i="1" s="1"/>
  <c r="T692" i="1" s="1"/>
  <c r="J691" i="1"/>
  <c r="R691" i="1" s="1"/>
  <c r="T691" i="1" s="1"/>
  <c r="J690" i="1"/>
  <c r="R690" i="1" s="1"/>
  <c r="T690" i="1" s="1"/>
  <c r="J689" i="1"/>
  <c r="R689" i="1" s="1"/>
  <c r="T689" i="1" s="1"/>
  <c r="J688" i="1"/>
  <c r="R688" i="1" s="1"/>
  <c r="T688" i="1" s="1"/>
  <c r="J687" i="1"/>
  <c r="R687" i="1" s="1"/>
  <c r="J686" i="1"/>
  <c r="R686" i="1" s="1"/>
  <c r="T686" i="1" s="1"/>
  <c r="J685" i="1"/>
  <c r="R685" i="1" s="1"/>
  <c r="J684" i="1"/>
  <c r="R684" i="1" s="1"/>
  <c r="T684" i="1" s="1"/>
  <c r="J683" i="1"/>
  <c r="R683" i="1" s="1"/>
  <c r="T683" i="1" s="1"/>
  <c r="J682" i="1"/>
  <c r="R682" i="1" s="1"/>
  <c r="T682" i="1" s="1"/>
  <c r="J681" i="1"/>
  <c r="R681" i="1" s="1"/>
  <c r="T681" i="1" s="1"/>
  <c r="J680" i="1"/>
  <c r="R680" i="1" s="1"/>
  <c r="T680" i="1" s="1"/>
  <c r="J679" i="1"/>
  <c r="R679" i="1" s="1"/>
  <c r="J678" i="1"/>
  <c r="R678" i="1" s="1"/>
  <c r="T678" i="1" s="1"/>
  <c r="J677" i="1"/>
  <c r="R677" i="1" s="1"/>
  <c r="J676" i="1"/>
  <c r="R676" i="1" s="1"/>
  <c r="T676" i="1" s="1"/>
  <c r="J352" i="1"/>
  <c r="R352" i="1" s="1"/>
  <c r="T352" i="1" s="1"/>
  <c r="J351" i="1"/>
  <c r="R351" i="1" s="1"/>
  <c r="T351" i="1" s="1"/>
  <c r="J350" i="1"/>
  <c r="R350" i="1" s="1"/>
  <c r="T350" i="1" s="1"/>
  <c r="J349" i="1"/>
  <c r="R349" i="1" s="1"/>
  <c r="T349" i="1" s="1"/>
  <c r="J348" i="1"/>
  <c r="R348" i="1" s="1"/>
  <c r="J347" i="1"/>
  <c r="R347" i="1" s="1"/>
  <c r="T347" i="1" s="1"/>
  <c r="J346" i="1"/>
  <c r="R346" i="1" s="1"/>
  <c r="J345" i="1"/>
  <c r="R345" i="1" s="1"/>
  <c r="T345" i="1" s="1"/>
  <c r="J297" i="1"/>
  <c r="R297" i="1" s="1"/>
  <c r="T297" i="1" s="1"/>
  <c r="J295" i="1"/>
  <c r="R295" i="1" s="1"/>
  <c r="T295" i="1" s="1"/>
  <c r="J292" i="1"/>
  <c r="R292" i="1" s="1"/>
  <c r="T292" i="1" s="1"/>
  <c r="J288" i="1"/>
  <c r="R288" i="1" s="1"/>
  <c r="T288" i="1" s="1"/>
  <c r="J169" i="1"/>
  <c r="R169" i="1" s="1"/>
  <c r="J136" i="1"/>
  <c r="R136" i="1" s="1"/>
  <c r="T136" i="1" s="1"/>
  <c r="J88" i="1"/>
  <c r="R88" i="1" s="1"/>
  <c r="J86" i="1"/>
  <c r="R86" i="1" s="1"/>
  <c r="T86" i="1" s="1"/>
  <c r="J84" i="1"/>
  <c r="R84" i="1" s="1"/>
  <c r="T84" i="1" s="1"/>
  <c r="J83" i="1"/>
  <c r="R83" i="1" s="1"/>
  <c r="T83" i="1" s="1"/>
  <c r="J55" i="1"/>
  <c r="R55" i="1" s="1"/>
  <c r="T55" i="1" s="1"/>
  <c r="J54" i="1"/>
  <c r="R54" i="1" s="1"/>
  <c r="T54" i="1" s="1"/>
  <c r="J53" i="1"/>
  <c r="R53" i="1" s="1"/>
  <c r="J39" i="1"/>
  <c r="R39" i="1" s="1"/>
  <c r="T39" i="1" s="1"/>
  <c r="J38" i="1"/>
  <c r="R38" i="1" s="1"/>
  <c r="J37" i="1"/>
  <c r="R37" i="1" s="1"/>
  <c r="T37" i="1" s="1"/>
  <c r="J36" i="1"/>
  <c r="R36" i="1" s="1"/>
  <c r="T36" i="1" s="1"/>
  <c r="J1521" i="1"/>
  <c r="R1521" i="1" s="1"/>
  <c r="T1521" i="1" s="1"/>
  <c r="J643" i="1"/>
  <c r="R643" i="1" s="1"/>
  <c r="T643" i="1" s="1"/>
  <c r="J642" i="1"/>
  <c r="R642" i="1" s="1"/>
  <c r="T642" i="1" s="1"/>
  <c r="J641" i="1"/>
  <c r="R641" i="1" s="1"/>
  <c r="J640" i="1"/>
  <c r="R640" i="1" s="1"/>
  <c r="T640" i="1" s="1"/>
  <c r="J639" i="1"/>
  <c r="R639" i="1" s="1"/>
  <c r="J638" i="1"/>
  <c r="R638" i="1" s="1"/>
  <c r="T638" i="1" s="1"/>
  <c r="J637" i="1"/>
  <c r="R637" i="1" s="1"/>
  <c r="T637" i="1" s="1"/>
  <c r="J636" i="1"/>
  <c r="R636" i="1" s="1"/>
  <c r="T636" i="1" s="1"/>
  <c r="J654" i="1"/>
  <c r="R654" i="1" s="1"/>
  <c r="T654" i="1" s="1"/>
  <c r="J653" i="1"/>
  <c r="R653" i="1" s="1"/>
  <c r="T653" i="1" s="1"/>
  <c r="J652" i="1"/>
  <c r="R652" i="1" s="1"/>
  <c r="J651" i="1"/>
  <c r="R651" i="1" s="1"/>
  <c r="T651" i="1" s="1"/>
  <c r="J650" i="1"/>
  <c r="R650" i="1" s="1"/>
  <c r="J649" i="1"/>
  <c r="R649" i="1" s="1"/>
  <c r="T649" i="1" s="1"/>
  <c r="J648" i="1"/>
  <c r="R648" i="1" s="1"/>
  <c r="T648" i="1" s="1"/>
  <c r="J647" i="1"/>
  <c r="R647" i="1" s="1"/>
  <c r="T647" i="1" s="1"/>
  <c r="J646" i="1"/>
  <c r="R646" i="1" s="1"/>
  <c r="T646" i="1" s="1"/>
  <c r="J645" i="1"/>
  <c r="R645" i="1" s="1"/>
  <c r="T645" i="1" s="1"/>
  <c r="J644" i="1"/>
  <c r="R644" i="1" s="1"/>
  <c r="J635" i="1"/>
  <c r="R635" i="1" s="1"/>
  <c r="T635" i="1" s="1"/>
  <c r="J634" i="1"/>
  <c r="R634" i="1" s="1"/>
  <c r="J633" i="1"/>
  <c r="R633" i="1" s="1"/>
  <c r="T633" i="1" s="1"/>
  <c r="J632" i="1"/>
  <c r="R632" i="1" s="1"/>
  <c r="T632" i="1" s="1"/>
  <c r="J620" i="1"/>
  <c r="R620" i="1" s="1"/>
  <c r="T620" i="1" s="1"/>
  <c r="J619" i="1"/>
  <c r="R619" i="1" s="1"/>
  <c r="T619" i="1" s="1"/>
  <c r="J618" i="1"/>
  <c r="R618" i="1" s="1"/>
  <c r="T618" i="1" s="1"/>
  <c r="J617" i="1"/>
  <c r="R617" i="1" s="1"/>
  <c r="J616" i="1"/>
  <c r="R616" i="1" s="1"/>
  <c r="T616" i="1" s="1"/>
  <c r="J615" i="1"/>
  <c r="R615" i="1" s="1"/>
  <c r="J614" i="1"/>
  <c r="R614" i="1" s="1"/>
  <c r="T614" i="1" s="1"/>
  <c r="J613" i="1"/>
  <c r="R613" i="1" s="1"/>
  <c r="T613" i="1" s="1"/>
  <c r="J612" i="1"/>
  <c r="R612" i="1" s="1"/>
  <c r="T612" i="1" s="1"/>
  <c r="J611" i="1"/>
  <c r="R611" i="1" s="1"/>
  <c r="T611" i="1" s="1"/>
  <c r="J610" i="1"/>
  <c r="R610" i="1" s="1"/>
  <c r="T610" i="1" s="1"/>
  <c r="J609" i="1"/>
  <c r="R609" i="1" s="1"/>
  <c r="J608" i="1"/>
  <c r="R608" i="1" s="1"/>
  <c r="T608" i="1" s="1"/>
  <c r="J607" i="1"/>
  <c r="R607" i="1" s="1"/>
  <c r="J606" i="1"/>
  <c r="R606" i="1" s="1"/>
  <c r="T606" i="1" s="1"/>
  <c r="J605" i="1"/>
  <c r="R605" i="1" s="1"/>
  <c r="T605" i="1" s="1"/>
  <c r="J604" i="1"/>
  <c r="R604" i="1" s="1"/>
  <c r="T604" i="1" s="1"/>
  <c r="J603" i="1"/>
  <c r="R603" i="1" s="1"/>
  <c r="T603" i="1" s="1"/>
  <c r="J602" i="1"/>
  <c r="R602" i="1" s="1"/>
  <c r="T602" i="1" s="1"/>
  <c r="J601" i="1"/>
  <c r="R601" i="1" s="1"/>
  <c r="J600" i="1"/>
  <c r="R600" i="1" s="1"/>
  <c r="T600" i="1" s="1"/>
  <c r="J599" i="1"/>
  <c r="R599" i="1" s="1"/>
  <c r="J598" i="1"/>
  <c r="R598" i="1" s="1"/>
  <c r="T598" i="1" s="1"/>
  <c r="J597" i="1"/>
  <c r="R597" i="1" s="1"/>
  <c r="J596" i="1"/>
  <c r="R596" i="1" s="1"/>
  <c r="T596" i="1" s="1"/>
  <c r="J595" i="1"/>
  <c r="R595" i="1" s="1"/>
  <c r="T595" i="1" s="1"/>
  <c r="J594" i="1"/>
  <c r="R594" i="1" s="1"/>
  <c r="T594" i="1" s="1"/>
  <c r="J593" i="1"/>
  <c r="R593" i="1" s="1"/>
  <c r="J592" i="1"/>
  <c r="R592" i="1" s="1"/>
  <c r="T592" i="1" s="1"/>
  <c r="J591" i="1"/>
  <c r="R591" i="1" s="1"/>
  <c r="J590" i="1"/>
  <c r="R590" i="1" s="1"/>
  <c r="T590" i="1" s="1"/>
  <c r="J589" i="1"/>
  <c r="R589" i="1" s="1"/>
  <c r="J588" i="1"/>
  <c r="R588" i="1" s="1"/>
  <c r="T588" i="1" s="1"/>
  <c r="J587" i="1"/>
  <c r="R587" i="1" s="1"/>
  <c r="T587" i="1" s="1"/>
  <c r="J586" i="1"/>
  <c r="R586" i="1" s="1"/>
  <c r="T586" i="1" s="1"/>
  <c r="J585" i="1"/>
  <c r="R585" i="1" s="1"/>
  <c r="J584" i="1"/>
  <c r="R584" i="1" s="1"/>
  <c r="T584" i="1" s="1"/>
  <c r="J583" i="1"/>
  <c r="R583" i="1" s="1"/>
  <c r="J582" i="1"/>
  <c r="R582" i="1" s="1"/>
  <c r="T582" i="1" s="1"/>
  <c r="J581" i="1"/>
  <c r="R581" i="1" s="1"/>
  <c r="J580" i="1"/>
  <c r="R580" i="1" s="1"/>
  <c r="T580" i="1" s="1"/>
  <c r="J579" i="1"/>
  <c r="R579" i="1" s="1"/>
  <c r="T579" i="1" s="1"/>
  <c r="J578" i="1"/>
  <c r="R578" i="1" s="1"/>
  <c r="T578" i="1" s="1"/>
  <c r="J577" i="1"/>
  <c r="R577" i="1" s="1"/>
  <c r="J576" i="1"/>
  <c r="R576" i="1" s="1"/>
  <c r="T576" i="1" s="1"/>
  <c r="J575" i="1"/>
  <c r="R575" i="1" s="1"/>
  <c r="J574" i="1"/>
  <c r="R574" i="1" s="1"/>
  <c r="T574" i="1" s="1"/>
  <c r="J573" i="1"/>
  <c r="R573" i="1" s="1"/>
  <c r="J572" i="1"/>
  <c r="R572" i="1" s="1"/>
  <c r="T572" i="1" s="1"/>
  <c r="J571" i="1"/>
  <c r="R571" i="1" s="1"/>
  <c r="T571" i="1" s="1"/>
  <c r="J570" i="1"/>
  <c r="R570" i="1" s="1"/>
  <c r="T570" i="1" s="1"/>
  <c r="J569" i="1"/>
  <c r="R569" i="1" s="1"/>
  <c r="J568" i="1"/>
  <c r="R568" i="1" s="1"/>
  <c r="T568" i="1" s="1"/>
  <c r="J567" i="1"/>
  <c r="R567" i="1" s="1"/>
  <c r="J566" i="1"/>
  <c r="R566" i="1" s="1"/>
  <c r="T566" i="1" s="1"/>
  <c r="J565" i="1"/>
  <c r="R565" i="1" s="1"/>
  <c r="J564" i="1"/>
  <c r="R564" i="1" s="1"/>
  <c r="T564" i="1" s="1"/>
  <c r="J563" i="1"/>
  <c r="R563" i="1" s="1"/>
  <c r="T563" i="1" s="1"/>
  <c r="J562" i="1"/>
  <c r="R562" i="1" s="1"/>
  <c r="T562" i="1" s="1"/>
  <c r="J561" i="1"/>
  <c r="R561" i="1" s="1"/>
  <c r="J560" i="1"/>
  <c r="R560" i="1" s="1"/>
  <c r="T560" i="1" s="1"/>
  <c r="J559" i="1"/>
  <c r="R559" i="1" s="1"/>
  <c r="J558" i="1"/>
  <c r="R558" i="1" s="1"/>
  <c r="T558" i="1" s="1"/>
  <c r="J557" i="1"/>
  <c r="R557" i="1" s="1"/>
  <c r="J556" i="1"/>
  <c r="R556" i="1" s="1"/>
  <c r="T556" i="1" s="1"/>
  <c r="J555" i="1"/>
  <c r="R555" i="1" s="1"/>
  <c r="T555" i="1" s="1"/>
  <c r="J554" i="1"/>
  <c r="R554" i="1" s="1"/>
  <c r="T554" i="1" s="1"/>
  <c r="J553" i="1"/>
  <c r="R553" i="1" s="1"/>
  <c r="J552" i="1"/>
  <c r="R552" i="1" s="1"/>
  <c r="T552" i="1" s="1"/>
  <c r="J551" i="1"/>
  <c r="R551" i="1" s="1"/>
  <c r="J550" i="1"/>
  <c r="R550" i="1" s="1"/>
  <c r="T550" i="1" s="1"/>
  <c r="J549" i="1"/>
  <c r="R549" i="1" s="1"/>
  <c r="J548" i="1"/>
  <c r="R548" i="1" s="1"/>
  <c r="T548" i="1" s="1"/>
  <c r="J547" i="1"/>
  <c r="R547" i="1" s="1"/>
  <c r="T547" i="1" s="1"/>
  <c r="J546" i="1"/>
  <c r="R546" i="1" s="1"/>
  <c r="T546" i="1" s="1"/>
  <c r="J545" i="1"/>
  <c r="R545" i="1" s="1"/>
  <c r="J544" i="1"/>
  <c r="R544" i="1" s="1"/>
  <c r="T544" i="1" s="1"/>
  <c r="J543" i="1"/>
  <c r="R543" i="1" s="1"/>
  <c r="J542" i="1"/>
  <c r="R542" i="1" s="1"/>
  <c r="T542" i="1" s="1"/>
  <c r="J541" i="1"/>
  <c r="R541" i="1" s="1"/>
  <c r="J540" i="1"/>
  <c r="R540" i="1" s="1"/>
  <c r="T540" i="1" s="1"/>
  <c r="J539" i="1"/>
  <c r="R539" i="1" s="1"/>
  <c r="T539" i="1" s="1"/>
  <c r="J538" i="1"/>
  <c r="R538" i="1" s="1"/>
  <c r="T538" i="1" s="1"/>
  <c r="J537" i="1"/>
  <c r="R537" i="1" s="1"/>
  <c r="J536" i="1"/>
  <c r="R536" i="1" s="1"/>
  <c r="T536" i="1" s="1"/>
  <c r="J535" i="1"/>
  <c r="R535" i="1" s="1"/>
  <c r="J534" i="1"/>
  <c r="R534" i="1" s="1"/>
  <c r="T534" i="1" s="1"/>
  <c r="J533" i="1"/>
  <c r="R533" i="1" s="1"/>
  <c r="J532" i="1"/>
  <c r="R532" i="1" s="1"/>
  <c r="T532" i="1" s="1"/>
  <c r="J531" i="1"/>
  <c r="R531" i="1" s="1"/>
  <c r="T531" i="1" s="1"/>
  <c r="J530" i="1"/>
  <c r="R530" i="1" s="1"/>
  <c r="T530" i="1" s="1"/>
  <c r="J529" i="1"/>
  <c r="R529" i="1" s="1"/>
  <c r="J528" i="1"/>
  <c r="R528" i="1" s="1"/>
  <c r="T528" i="1" s="1"/>
  <c r="J527" i="1"/>
  <c r="R527" i="1" s="1"/>
  <c r="J526" i="1"/>
  <c r="R526" i="1" s="1"/>
  <c r="T526" i="1" s="1"/>
  <c r="J525" i="1"/>
  <c r="R525" i="1" s="1"/>
  <c r="J524" i="1"/>
  <c r="R524" i="1" s="1"/>
  <c r="T524" i="1" s="1"/>
  <c r="J523" i="1"/>
  <c r="R523" i="1" s="1"/>
  <c r="T523" i="1" s="1"/>
  <c r="J522" i="1"/>
  <c r="R522" i="1" s="1"/>
  <c r="T522" i="1" s="1"/>
  <c r="J521" i="1"/>
  <c r="R521" i="1" s="1"/>
  <c r="J520" i="1"/>
  <c r="R520" i="1" s="1"/>
  <c r="T520" i="1" s="1"/>
  <c r="J519" i="1"/>
  <c r="R519" i="1" s="1"/>
  <c r="J518" i="1"/>
  <c r="R518" i="1" s="1"/>
  <c r="T518" i="1" s="1"/>
  <c r="J517" i="1"/>
  <c r="R517" i="1" s="1"/>
  <c r="J516" i="1"/>
  <c r="R516" i="1" s="1"/>
  <c r="T516" i="1" s="1"/>
  <c r="J515" i="1"/>
  <c r="R515" i="1" s="1"/>
  <c r="T515" i="1" s="1"/>
  <c r="J514" i="1"/>
  <c r="R514" i="1" s="1"/>
  <c r="T514" i="1" s="1"/>
  <c r="J513" i="1"/>
  <c r="R513" i="1" s="1"/>
  <c r="J512" i="1"/>
  <c r="R512" i="1" s="1"/>
  <c r="T512" i="1" s="1"/>
  <c r="J511" i="1"/>
  <c r="R511" i="1" s="1"/>
  <c r="J510" i="1"/>
  <c r="R510" i="1" s="1"/>
  <c r="T510" i="1" s="1"/>
  <c r="J509" i="1"/>
  <c r="R509" i="1" s="1"/>
  <c r="J508" i="1"/>
  <c r="R508" i="1" s="1"/>
  <c r="T508" i="1" s="1"/>
  <c r="J507" i="1"/>
  <c r="R507" i="1" s="1"/>
  <c r="T507" i="1" s="1"/>
  <c r="J506" i="1"/>
  <c r="R506" i="1" s="1"/>
  <c r="T506" i="1" s="1"/>
  <c r="J505" i="1"/>
  <c r="R505" i="1" s="1"/>
  <c r="J504" i="1"/>
  <c r="R504" i="1" s="1"/>
  <c r="T504" i="1" s="1"/>
  <c r="J503" i="1"/>
  <c r="R503" i="1" s="1"/>
  <c r="J502" i="1"/>
  <c r="R502" i="1" s="1"/>
  <c r="T502" i="1" s="1"/>
  <c r="J501" i="1"/>
  <c r="R501" i="1" s="1"/>
  <c r="J500" i="1"/>
  <c r="R500" i="1" s="1"/>
  <c r="T500" i="1" s="1"/>
  <c r="J499" i="1"/>
  <c r="R499" i="1" s="1"/>
  <c r="T499" i="1" s="1"/>
  <c r="J498" i="1"/>
  <c r="R498" i="1" s="1"/>
  <c r="T498" i="1" s="1"/>
  <c r="J497" i="1"/>
  <c r="R497" i="1" s="1"/>
  <c r="J496" i="1"/>
  <c r="R496" i="1" s="1"/>
  <c r="T496" i="1" s="1"/>
  <c r="J495" i="1"/>
  <c r="R495" i="1" s="1"/>
  <c r="J494" i="1"/>
  <c r="R494" i="1" s="1"/>
  <c r="T494" i="1" s="1"/>
  <c r="J493" i="1"/>
  <c r="R493" i="1" s="1"/>
  <c r="J492" i="1"/>
  <c r="R492" i="1" s="1"/>
  <c r="T492" i="1" s="1"/>
  <c r="J491" i="1"/>
  <c r="R491" i="1" s="1"/>
  <c r="T491" i="1" s="1"/>
  <c r="J490" i="1"/>
  <c r="R490" i="1" s="1"/>
  <c r="T490" i="1" s="1"/>
  <c r="J489" i="1"/>
  <c r="R489" i="1" s="1"/>
  <c r="J488" i="1"/>
  <c r="R488" i="1" s="1"/>
  <c r="T488" i="1" s="1"/>
  <c r="J836" i="1"/>
  <c r="R836" i="1" s="1"/>
  <c r="J486" i="1"/>
  <c r="R486" i="1" s="1"/>
  <c r="T486" i="1" s="1"/>
  <c r="J485" i="1"/>
  <c r="R485" i="1" s="1"/>
  <c r="J484" i="1"/>
  <c r="R484" i="1" s="1"/>
  <c r="T484" i="1" s="1"/>
  <c r="J835" i="1"/>
  <c r="R835" i="1" s="1"/>
  <c r="T835" i="1" s="1"/>
  <c r="J482" i="1"/>
  <c r="R482" i="1" s="1"/>
  <c r="T482" i="1" s="1"/>
  <c r="J481" i="1"/>
  <c r="R481" i="1" s="1"/>
  <c r="J480" i="1"/>
  <c r="R480" i="1" s="1"/>
  <c r="T480" i="1" s="1"/>
  <c r="J479" i="1"/>
  <c r="R479" i="1" s="1"/>
  <c r="J478" i="1"/>
  <c r="R478" i="1" s="1"/>
  <c r="T478" i="1" s="1"/>
  <c r="J477" i="1"/>
  <c r="R477" i="1" s="1"/>
  <c r="J476" i="1"/>
  <c r="R476" i="1" s="1"/>
  <c r="T476" i="1" s="1"/>
  <c r="J475" i="1"/>
  <c r="R475" i="1" s="1"/>
  <c r="T475" i="1" s="1"/>
  <c r="J474" i="1"/>
  <c r="R474" i="1" s="1"/>
  <c r="T474" i="1" s="1"/>
  <c r="J473" i="1"/>
  <c r="R473" i="1" s="1"/>
  <c r="J472" i="1"/>
  <c r="R472" i="1" s="1"/>
  <c r="T472" i="1" s="1"/>
  <c r="J471" i="1"/>
  <c r="R471" i="1" s="1"/>
  <c r="J470" i="1"/>
  <c r="R470" i="1" s="1"/>
  <c r="T470" i="1" s="1"/>
  <c r="J469" i="1"/>
  <c r="R469" i="1" s="1"/>
  <c r="J468" i="1"/>
  <c r="R468" i="1" s="1"/>
  <c r="T468" i="1" s="1"/>
  <c r="J467" i="1"/>
  <c r="R467" i="1" s="1"/>
  <c r="T467" i="1" s="1"/>
  <c r="J466" i="1"/>
  <c r="R466" i="1" s="1"/>
  <c r="T466" i="1" s="1"/>
  <c r="J465" i="1"/>
  <c r="R465" i="1" s="1"/>
  <c r="J464" i="1"/>
  <c r="R464" i="1" s="1"/>
  <c r="T464" i="1" s="1"/>
  <c r="J463" i="1"/>
  <c r="R463" i="1" s="1"/>
  <c r="J462" i="1"/>
  <c r="R462" i="1" s="1"/>
  <c r="T462" i="1" s="1"/>
  <c r="J461" i="1"/>
  <c r="R461" i="1" s="1"/>
  <c r="J460" i="1"/>
  <c r="R460" i="1" s="1"/>
  <c r="T460" i="1" s="1"/>
  <c r="J459" i="1"/>
  <c r="R459" i="1" s="1"/>
  <c r="T459" i="1" s="1"/>
  <c r="J458" i="1"/>
  <c r="R458" i="1" s="1"/>
  <c r="T458" i="1" s="1"/>
  <c r="J457" i="1"/>
  <c r="R457" i="1" s="1"/>
  <c r="J456" i="1"/>
  <c r="R456" i="1" s="1"/>
  <c r="T456" i="1" s="1"/>
  <c r="J455" i="1"/>
  <c r="R455" i="1" s="1"/>
  <c r="J454" i="1"/>
  <c r="R454" i="1" s="1"/>
  <c r="T454" i="1" s="1"/>
  <c r="J453" i="1"/>
  <c r="R453" i="1" s="1"/>
  <c r="J452" i="1"/>
  <c r="R452" i="1" s="1"/>
  <c r="T452" i="1" s="1"/>
  <c r="J451" i="1"/>
  <c r="R451" i="1" s="1"/>
  <c r="T451" i="1" s="1"/>
  <c r="J450" i="1"/>
  <c r="R450" i="1" s="1"/>
  <c r="T450" i="1" s="1"/>
  <c r="J449" i="1"/>
  <c r="R449" i="1" s="1"/>
  <c r="J448" i="1"/>
  <c r="R448" i="1" s="1"/>
  <c r="T448" i="1" s="1"/>
  <c r="J447" i="1"/>
  <c r="R447" i="1" s="1"/>
  <c r="J446" i="1"/>
  <c r="R446" i="1" s="1"/>
  <c r="T446" i="1" s="1"/>
  <c r="J445" i="1"/>
  <c r="R445" i="1" s="1"/>
  <c r="J444" i="1"/>
  <c r="R444" i="1" s="1"/>
  <c r="T444" i="1" s="1"/>
  <c r="J443" i="1"/>
  <c r="R443" i="1" s="1"/>
  <c r="T443" i="1" s="1"/>
  <c r="J442" i="1"/>
  <c r="R442" i="1" s="1"/>
  <c r="T442" i="1" s="1"/>
  <c r="J441" i="1"/>
  <c r="R441" i="1" s="1"/>
  <c r="J440" i="1"/>
  <c r="R440" i="1" s="1"/>
  <c r="T440" i="1" s="1"/>
  <c r="J439" i="1"/>
  <c r="R439" i="1" s="1"/>
  <c r="J438" i="1"/>
  <c r="R438" i="1" s="1"/>
  <c r="T438" i="1" s="1"/>
  <c r="J437" i="1"/>
  <c r="R437" i="1" s="1"/>
  <c r="J436" i="1"/>
  <c r="R436" i="1" s="1"/>
  <c r="T436" i="1" s="1"/>
  <c r="J435" i="1"/>
  <c r="R435" i="1" s="1"/>
  <c r="T435" i="1" s="1"/>
  <c r="J434" i="1"/>
  <c r="R434" i="1" s="1"/>
  <c r="T434" i="1" s="1"/>
  <c r="J433" i="1"/>
  <c r="R433" i="1" s="1"/>
  <c r="J432" i="1"/>
  <c r="R432" i="1" s="1"/>
  <c r="T432" i="1" s="1"/>
  <c r="J431" i="1"/>
  <c r="R431" i="1" s="1"/>
  <c r="J430" i="1"/>
  <c r="R430" i="1" s="1"/>
  <c r="T430" i="1" s="1"/>
  <c r="J429" i="1"/>
  <c r="R429" i="1" s="1"/>
  <c r="J428" i="1"/>
  <c r="R428" i="1" s="1"/>
  <c r="T428" i="1" s="1"/>
  <c r="J427" i="1"/>
  <c r="R427" i="1" s="1"/>
  <c r="T427" i="1" s="1"/>
  <c r="J426" i="1"/>
  <c r="R426" i="1" s="1"/>
  <c r="T426" i="1" s="1"/>
  <c r="J425" i="1"/>
  <c r="R425" i="1" s="1"/>
  <c r="J424" i="1"/>
  <c r="R424" i="1" s="1"/>
  <c r="T424" i="1" s="1"/>
  <c r="J423" i="1"/>
  <c r="R423" i="1" s="1"/>
  <c r="J422" i="1"/>
  <c r="R422" i="1" s="1"/>
  <c r="T422" i="1" s="1"/>
  <c r="J421" i="1"/>
  <c r="R421" i="1" s="1"/>
  <c r="J420" i="1"/>
  <c r="R420" i="1" s="1"/>
  <c r="T420" i="1" s="1"/>
  <c r="J419" i="1"/>
  <c r="R419" i="1" s="1"/>
  <c r="T419" i="1" s="1"/>
  <c r="J418" i="1"/>
  <c r="R418" i="1" s="1"/>
  <c r="T418" i="1" s="1"/>
  <c r="J417" i="1"/>
  <c r="R417" i="1" s="1"/>
  <c r="J416" i="1"/>
  <c r="R416" i="1" s="1"/>
  <c r="T416" i="1" s="1"/>
  <c r="J415" i="1"/>
  <c r="R415" i="1" s="1"/>
  <c r="J414" i="1"/>
  <c r="R414" i="1" s="1"/>
  <c r="T414" i="1" s="1"/>
  <c r="J413" i="1"/>
  <c r="R413" i="1" s="1"/>
  <c r="J412" i="1"/>
  <c r="R412" i="1" s="1"/>
  <c r="T412" i="1" s="1"/>
  <c r="J411" i="1"/>
  <c r="R411" i="1" s="1"/>
  <c r="T411" i="1" s="1"/>
  <c r="J410" i="1"/>
  <c r="R410" i="1" s="1"/>
  <c r="T410" i="1" s="1"/>
  <c r="J409" i="1"/>
  <c r="R409" i="1" s="1"/>
  <c r="J408" i="1"/>
  <c r="R408" i="1" s="1"/>
  <c r="T408" i="1" s="1"/>
  <c r="J407" i="1"/>
  <c r="R407" i="1" s="1"/>
  <c r="J406" i="1"/>
  <c r="R406" i="1" s="1"/>
  <c r="T406" i="1" s="1"/>
  <c r="J405" i="1"/>
  <c r="R405" i="1" s="1"/>
  <c r="J404" i="1"/>
  <c r="R404" i="1" s="1"/>
  <c r="T404" i="1" s="1"/>
  <c r="J403" i="1"/>
  <c r="R403" i="1" s="1"/>
  <c r="T403" i="1" s="1"/>
  <c r="J402" i="1"/>
  <c r="R402" i="1" s="1"/>
  <c r="T402" i="1" s="1"/>
  <c r="J401" i="1"/>
  <c r="R401" i="1" s="1"/>
  <c r="J400" i="1"/>
  <c r="R400" i="1" s="1"/>
  <c r="T400" i="1" s="1"/>
  <c r="J399" i="1"/>
  <c r="R399" i="1" s="1"/>
  <c r="J398" i="1"/>
  <c r="R398" i="1" s="1"/>
  <c r="T398" i="1" s="1"/>
  <c r="J397" i="1"/>
  <c r="R397" i="1" s="1"/>
  <c r="J396" i="1"/>
  <c r="R396" i="1" s="1"/>
  <c r="T396" i="1" s="1"/>
  <c r="J395" i="1"/>
  <c r="R395" i="1" s="1"/>
  <c r="T395" i="1" s="1"/>
  <c r="J394" i="1"/>
  <c r="R394" i="1" s="1"/>
  <c r="T394" i="1" s="1"/>
  <c r="J393" i="1"/>
  <c r="R393" i="1" s="1"/>
  <c r="J392" i="1"/>
  <c r="R392" i="1" s="1"/>
  <c r="T392" i="1" s="1"/>
  <c r="J391" i="1"/>
  <c r="R391" i="1" s="1"/>
  <c r="J390" i="1"/>
  <c r="R390" i="1" s="1"/>
  <c r="T390" i="1" s="1"/>
  <c r="J389" i="1"/>
  <c r="R389" i="1" s="1"/>
  <c r="J388" i="1"/>
  <c r="R388" i="1" s="1"/>
  <c r="T388" i="1" s="1"/>
  <c r="J387" i="1"/>
  <c r="R387" i="1" s="1"/>
  <c r="T387" i="1" s="1"/>
  <c r="J386" i="1"/>
  <c r="R386" i="1" s="1"/>
  <c r="T386" i="1" s="1"/>
  <c r="J385" i="1"/>
  <c r="R385" i="1" s="1"/>
  <c r="J384" i="1"/>
  <c r="R384" i="1" s="1"/>
  <c r="T384" i="1" s="1"/>
  <c r="J383" i="1"/>
  <c r="R383" i="1" s="1"/>
  <c r="J382" i="1"/>
  <c r="R382" i="1" s="1"/>
  <c r="T382" i="1" s="1"/>
  <c r="J381" i="1"/>
  <c r="R381" i="1" s="1"/>
  <c r="J380" i="1"/>
  <c r="R380" i="1" s="1"/>
  <c r="T380" i="1" s="1"/>
  <c r="J379" i="1"/>
  <c r="R379" i="1" s="1"/>
  <c r="T379" i="1" s="1"/>
  <c r="J378" i="1"/>
  <c r="R378" i="1" s="1"/>
  <c r="T378" i="1" s="1"/>
  <c r="J377" i="1"/>
  <c r="R377" i="1" s="1"/>
  <c r="J376" i="1"/>
  <c r="R376" i="1" s="1"/>
  <c r="T376" i="1" s="1"/>
  <c r="J375" i="1"/>
  <c r="R375" i="1" s="1"/>
  <c r="J374" i="1"/>
  <c r="R374" i="1" s="1"/>
  <c r="T374" i="1" s="1"/>
  <c r="J373" i="1"/>
  <c r="R373" i="1" s="1"/>
  <c r="J372" i="1"/>
  <c r="R372" i="1" s="1"/>
  <c r="T372" i="1" s="1"/>
  <c r="J371" i="1"/>
  <c r="R371" i="1" s="1"/>
  <c r="T371" i="1" s="1"/>
  <c r="J370" i="1"/>
  <c r="R370" i="1" s="1"/>
  <c r="T370" i="1" s="1"/>
  <c r="J369" i="1"/>
  <c r="R369" i="1" s="1"/>
  <c r="J368" i="1"/>
  <c r="R368" i="1" s="1"/>
  <c r="T368" i="1" s="1"/>
  <c r="J367" i="1"/>
  <c r="R367" i="1" s="1"/>
  <c r="J366" i="1"/>
  <c r="R366" i="1" s="1"/>
  <c r="T366" i="1" s="1"/>
  <c r="J365" i="1"/>
  <c r="R365" i="1" s="1"/>
  <c r="J364" i="1"/>
  <c r="R364" i="1" s="1"/>
  <c r="T364" i="1" s="1"/>
  <c r="J363" i="1"/>
  <c r="R363" i="1" s="1"/>
  <c r="T363" i="1" s="1"/>
  <c r="J834" i="1"/>
  <c r="R834" i="1" s="1"/>
  <c r="T834" i="1" s="1"/>
  <c r="J833" i="1"/>
  <c r="R833" i="1" s="1"/>
  <c r="J35" i="1"/>
  <c r="R35" i="1" s="1"/>
  <c r="T35" i="1" s="1"/>
  <c r="J673" i="1"/>
  <c r="R673" i="1" s="1"/>
  <c r="J832" i="1"/>
  <c r="R832" i="1" s="1"/>
  <c r="T832" i="1" s="1"/>
  <c r="J831" i="1"/>
  <c r="R831" i="1" s="1"/>
  <c r="J33" i="1"/>
  <c r="R33" i="1" s="1"/>
  <c r="T33" i="1" s="1"/>
  <c r="J781" i="1"/>
  <c r="R781" i="1" s="1"/>
  <c r="T781" i="1" s="1"/>
  <c r="J354" i="1"/>
  <c r="R354" i="1" s="1"/>
  <c r="T354" i="1" s="1"/>
  <c r="J780" i="1"/>
  <c r="R780" i="1" s="1"/>
  <c r="J672" i="1"/>
  <c r="R672" i="1" s="1"/>
  <c r="T672" i="1" s="1"/>
  <c r="J29" i="1"/>
  <c r="R29" i="1" s="1"/>
  <c r="J671" i="1"/>
  <c r="R671" i="1" s="1"/>
  <c r="T671" i="1" s="1"/>
  <c r="J779" i="1"/>
  <c r="R779" i="1" s="1"/>
  <c r="J3" i="1"/>
  <c r="R3" i="1" s="1"/>
  <c r="T3" i="1" s="1"/>
  <c r="J778" i="1"/>
  <c r="R778" i="1" s="1"/>
  <c r="T778" i="1" s="1"/>
  <c r="J777" i="1"/>
  <c r="R777" i="1" s="1"/>
  <c r="T777" i="1" s="1"/>
  <c r="J670" i="1"/>
  <c r="R670" i="1" s="1"/>
  <c r="J344" i="1"/>
  <c r="R344" i="1" s="1"/>
  <c r="T344" i="1" s="1"/>
  <c r="J343" i="1"/>
  <c r="R343" i="1" s="1"/>
  <c r="J342" i="1"/>
  <c r="R342" i="1" s="1"/>
  <c r="T342" i="1" s="1"/>
  <c r="J341" i="1"/>
  <c r="R341" i="1" s="1"/>
  <c r="J340" i="1"/>
  <c r="R340" i="1" s="1"/>
  <c r="T340" i="1" s="1"/>
  <c r="J339" i="1"/>
  <c r="R339" i="1" s="1"/>
  <c r="T339" i="1" s="1"/>
  <c r="J338" i="1"/>
  <c r="R338" i="1" s="1"/>
  <c r="T338" i="1" s="1"/>
  <c r="J337" i="1"/>
  <c r="R337" i="1" s="1"/>
  <c r="J336" i="1"/>
  <c r="R336" i="1" s="1"/>
  <c r="T336" i="1" s="1"/>
  <c r="J335" i="1"/>
  <c r="R335" i="1" s="1"/>
  <c r="J334" i="1"/>
  <c r="R334" i="1" s="1"/>
  <c r="T334" i="1" s="1"/>
  <c r="J333" i="1"/>
  <c r="R333" i="1" s="1"/>
  <c r="J332" i="1"/>
  <c r="R332" i="1" s="1"/>
  <c r="T332" i="1" s="1"/>
  <c r="J331" i="1"/>
  <c r="R331" i="1" s="1"/>
  <c r="T331" i="1" s="1"/>
  <c r="J330" i="1"/>
  <c r="R330" i="1" s="1"/>
  <c r="T330" i="1" s="1"/>
  <c r="J329" i="1"/>
  <c r="R329" i="1" s="1"/>
  <c r="J328" i="1"/>
  <c r="R328" i="1" s="1"/>
  <c r="T328" i="1" s="1"/>
  <c r="J327" i="1"/>
  <c r="R327" i="1" s="1"/>
  <c r="J326" i="1"/>
  <c r="R326" i="1" s="1"/>
  <c r="T326" i="1" s="1"/>
  <c r="J325" i="1"/>
  <c r="R325" i="1" s="1"/>
  <c r="J324" i="1"/>
  <c r="R324" i="1" s="1"/>
  <c r="T324" i="1" s="1"/>
  <c r="J323" i="1"/>
  <c r="R323" i="1" s="1"/>
  <c r="T323" i="1" s="1"/>
  <c r="J322" i="1"/>
  <c r="R322" i="1" s="1"/>
  <c r="T322" i="1" s="1"/>
  <c r="J321" i="1"/>
  <c r="R321" i="1" s="1"/>
  <c r="J320" i="1"/>
  <c r="R320" i="1" s="1"/>
  <c r="T320" i="1" s="1"/>
  <c r="J319" i="1"/>
  <c r="R319" i="1" s="1"/>
  <c r="J318" i="1"/>
  <c r="R318" i="1" s="1"/>
  <c r="J317" i="1"/>
  <c r="R317" i="1" s="1"/>
  <c r="J316" i="1"/>
  <c r="R316" i="1" s="1"/>
  <c r="T316" i="1" s="1"/>
  <c r="J315" i="1"/>
  <c r="R315" i="1" s="1"/>
  <c r="T315" i="1" s="1"/>
  <c r="J314" i="1"/>
  <c r="R314" i="1" s="1"/>
  <c r="T314" i="1" s="1"/>
  <c r="J313" i="1"/>
  <c r="R313" i="1" s="1"/>
  <c r="J312" i="1"/>
  <c r="R312" i="1" s="1"/>
  <c r="T312" i="1" s="1"/>
  <c r="J311" i="1"/>
  <c r="R311" i="1" s="1"/>
  <c r="J310" i="1"/>
  <c r="R310" i="1" s="1"/>
  <c r="J309" i="1"/>
  <c r="R309" i="1" s="1"/>
  <c r="J308" i="1"/>
  <c r="R308" i="1" s="1"/>
  <c r="T308" i="1" s="1"/>
  <c r="J307" i="1"/>
  <c r="R307" i="1" s="1"/>
  <c r="T307" i="1" s="1"/>
  <c r="J306" i="1"/>
  <c r="R306" i="1" s="1"/>
  <c r="T306" i="1" s="1"/>
  <c r="J305" i="1"/>
  <c r="R305" i="1" s="1"/>
  <c r="J304" i="1"/>
  <c r="R304" i="1" s="1"/>
  <c r="T304" i="1" s="1"/>
  <c r="J303" i="1"/>
  <c r="R303" i="1" s="1"/>
  <c r="J302" i="1"/>
  <c r="R302" i="1" s="1"/>
  <c r="J301" i="1"/>
  <c r="R301" i="1" s="1"/>
  <c r="J300" i="1"/>
  <c r="R300" i="1" s="1"/>
  <c r="T300" i="1" s="1"/>
  <c r="J299" i="1"/>
  <c r="R299" i="1" s="1"/>
  <c r="T299" i="1" s="1"/>
  <c r="J298" i="1"/>
  <c r="R298" i="1" s="1"/>
  <c r="T298" i="1" s="1"/>
  <c r="J1520" i="1"/>
  <c r="R1520" i="1" s="1"/>
  <c r="J296" i="1"/>
  <c r="R296" i="1" s="1"/>
  <c r="T296" i="1" s="1"/>
  <c r="J1518" i="1"/>
  <c r="R1518" i="1" s="1"/>
  <c r="J294" i="1"/>
  <c r="R294" i="1" s="1"/>
  <c r="J293" i="1"/>
  <c r="R293" i="1" s="1"/>
  <c r="J1517" i="1"/>
  <c r="R1517" i="1" s="1"/>
  <c r="T1517" i="1" s="1"/>
  <c r="J291" i="1"/>
  <c r="R291" i="1" s="1"/>
  <c r="T291" i="1" s="1"/>
  <c r="J290" i="1"/>
  <c r="R290" i="1" s="1"/>
  <c r="T290" i="1" s="1"/>
  <c r="J289" i="1"/>
  <c r="R289" i="1" s="1"/>
  <c r="J1516" i="1"/>
  <c r="R1516" i="1" s="1"/>
  <c r="T1516" i="1" s="1"/>
  <c r="J287" i="1"/>
  <c r="R287" i="1" s="1"/>
  <c r="J286" i="1"/>
  <c r="R286" i="1" s="1"/>
  <c r="J285" i="1"/>
  <c r="R285" i="1" s="1"/>
  <c r="J284" i="1"/>
  <c r="R284" i="1" s="1"/>
  <c r="T284" i="1" s="1"/>
  <c r="J283" i="1"/>
  <c r="R283" i="1" s="1"/>
  <c r="T283" i="1" s="1"/>
  <c r="J282" i="1"/>
  <c r="R282" i="1" s="1"/>
  <c r="T282" i="1" s="1"/>
  <c r="J281" i="1"/>
  <c r="R281" i="1" s="1"/>
  <c r="J280" i="1"/>
  <c r="R280" i="1" s="1"/>
  <c r="T280" i="1" s="1"/>
  <c r="J279" i="1"/>
  <c r="R279" i="1" s="1"/>
  <c r="J278" i="1"/>
  <c r="R278" i="1" s="1"/>
  <c r="J277" i="1"/>
  <c r="R277" i="1" s="1"/>
  <c r="J276" i="1"/>
  <c r="R276" i="1" s="1"/>
  <c r="T276" i="1" s="1"/>
  <c r="J275" i="1"/>
  <c r="R275" i="1" s="1"/>
  <c r="T275" i="1" s="1"/>
  <c r="J274" i="1"/>
  <c r="R274" i="1" s="1"/>
  <c r="T274" i="1" s="1"/>
  <c r="J273" i="1"/>
  <c r="R273" i="1" s="1"/>
  <c r="J272" i="1"/>
  <c r="R272" i="1" s="1"/>
  <c r="T272" i="1" s="1"/>
  <c r="J271" i="1"/>
  <c r="R271" i="1" s="1"/>
  <c r="J270" i="1"/>
  <c r="R270" i="1" s="1"/>
  <c r="J269" i="1"/>
  <c r="R269" i="1" s="1"/>
  <c r="J268" i="1"/>
  <c r="R268" i="1" s="1"/>
  <c r="T268" i="1" s="1"/>
  <c r="J267" i="1"/>
  <c r="R267" i="1" s="1"/>
  <c r="T267" i="1" s="1"/>
  <c r="J266" i="1"/>
  <c r="R266" i="1" s="1"/>
  <c r="T266" i="1" s="1"/>
  <c r="J265" i="1"/>
  <c r="R265" i="1" s="1"/>
  <c r="J264" i="1"/>
  <c r="R264" i="1" s="1"/>
  <c r="T264" i="1" s="1"/>
  <c r="J263" i="1"/>
  <c r="R263" i="1" s="1"/>
  <c r="J262" i="1"/>
  <c r="R262" i="1" s="1"/>
  <c r="J261" i="1"/>
  <c r="R261" i="1" s="1"/>
  <c r="J260" i="1"/>
  <c r="R260" i="1" s="1"/>
  <c r="T260" i="1" s="1"/>
  <c r="J259" i="1"/>
  <c r="R259" i="1" s="1"/>
  <c r="T259" i="1" s="1"/>
  <c r="J258" i="1"/>
  <c r="R258" i="1" s="1"/>
  <c r="T258" i="1" s="1"/>
  <c r="J257" i="1"/>
  <c r="R257" i="1" s="1"/>
  <c r="J256" i="1"/>
  <c r="R256" i="1" s="1"/>
  <c r="T256" i="1" s="1"/>
  <c r="J255" i="1"/>
  <c r="R255" i="1" s="1"/>
  <c r="J254" i="1"/>
  <c r="R254" i="1" s="1"/>
  <c r="J253" i="1"/>
  <c r="R253" i="1" s="1"/>
  <c r="J252" i="1"/>
  <c r="R252" i="1" s="1"/>
  <c r="T252" i="1" s="1"/>
  <c r="J251" i="1"/>
  <c r="R251" i="1" s="1"/>
  <c r="T251" i="1" s="1"/>
  <c r="J250" i="1"/>
  <c r="R250" i="1" s="1"/>
  <c r="T250" i="1" s="1"/>
  <c r="J249" i="1"/>
  <c r="R249" i="1" s="1"/>
  <c r="J248" i="1"/>
  <c r="R248" i="1" s="1"/>
  <c r="T248" i="1" s="1"/>
  <c r="J247" i="1"/>
  <c r="R247" i="1" s="1"/>
  <c r="J246" i="1"/>
  <c r="R246" i="1" s="1"/>
  <c r="J245" i="1"/>
  <c r="R245" i="1" s="1"/>
  <c r="J244" i="1"/>
  <c r="R244" i="1" s="1"/>
  <c r="T244" i="1" s="1"/>
  <c r="J243" i="1"/>
  <c r="R243" i="1" s="1"/>
  <c r="T243" i="1" s="1"/>
  <c r="J242" i="1"/>
  <c r="R242" i="1" s="1"/>
  <c r="T242" i="1" s="1"/>
  <c r="J241" i="1"/>
  <c r="R241" i="1" s="1"/>
  <c r="J240" i="1"/>
  <c r="R240" i="1" s="1"/>
  <c r="T240" i="1" s="1"/>
  <c r="J239" i="1"/>
  <c r="R239" i="1" s="1"/>
  <c r="J238" i="1"/>
  <c r="R238" i="1" s="1"/>
  <c r="J237" i="1"/>
  <c r="R237" i="1" s="1"/>
  <c r="J236" i="1"/>
  <c r="R236" i="1" s="1"/>
  <c r="T236" i="1" s="1"/>
  <c r="J235" i="1"/>
  <c r="R235" i="1" s="1"/>
  <c r="T235" i="1" s="1"/>
  <c r="J234" i="1"/>
  <c r="R234" i="1" s="1"/>
  <c r="T234" i="1" s="1"/>
  <c r="J233" i="1"/>
  <c r="R233" i="1" s="1"/>
  <c r="J232" i="1"/>
  <c r="R232" i="1" s="1"/>
  <c r="T232" i="1" s="1"/>
  <c r="J231" i="1"/>
  <c r="R231" i="1" s="1"/>
  <c r="J230" i="1"/>
  <c r="R230" i="1" s="1"/>
  <c r="J229" i="1"/>
  <c r="R229" i="1" s="1"/>
  <c r="J228" i="1"/>
  <c r="R228" i="1" s="1"/>
  <c r="T228" i="1" s="1"/>
  <c r="J227" i="1"/>
  <c r="R227" i="1" s="1"/>
  <c r="T227" i="1" s="1"/>
  <c r="J226" i="1"/>
  <c r="R226" i="1" s="1"/>
  <c r="T226" i="1" s="1"/>
  <c r="J225" i="1"/>
  <c r="R225" i="1" s="1"/>
  <c r="J224" i="1"/>
  <c r="R224" i="1" s="1"/>
  <c r="T224" i="1" s="1"/>
  <c r="J223" i="1"/>
  <c r="R223" i="1" s="1"/>
  <c r="J222" i="1"/>
  <c r="R222" i="1" s="1"/>
  <c r="J221" i="1"/>
  <c r="R221" i="1" s="1"/>
  <c r="J220" i="1"/>
  <c r="R220" i="1" s="1"/>
  <c r="T220" i="1" s="1"/>
  <c r="J219" i="1"/>
  <c r="R219" i="1" s="1"/>
  <c r="T219" i="1" s="1"/>
  <c r="J218" i="1"/>
  <c r="R218" i="1" s="1"/>
  <c r="T218" i="1" s="1"/>
  <c r="J217" i="1"/>
  <c r="R217" i="1" s="1"/>
  <c r="J216" i="1"/>
  <c r="R216" i="1" s="1"/>
  <c r="T216" i="1" s="1"/>
  <c r="J215" i="1"/>
  <c r="R215" i="1" s="1"/>
  <c r="J214" i="1"/>
  <c r="R214" i="1" s="1"/>
  <c r="J213" i="1"/>
  <c r="R213" i="1" s="1"/>
  <c r="J212" i="1"/>
  <c r="R212" i="1" s="1"/>
  <c r="T212" i="1" s="1"/>
  <c r="J211" i="1"/>
  <c r="R211" i="1" s="1"/>
  <c r="T211" i="1" s="1"/>
  <c r="J210" i="1"/>
  <c r="R210" i="1" s="1"/>
  <c r="T210" i="1" s="1"/>
  <c r="J209" i="1"/>
  <c r="R209" i="1" s="1"/>
  <c r="J208" i="1"/>
  <c r="R208" i="1" s="1"/>
  <c r="T208" i="1" s="1"/>
  <c r="J207" i="1"/>
  <c r="R207" i="1" s="1"/>
  <c r="J206" i="1"/>
  <c r="R206" i="1" s="1"/>
  <c r="J205" i="1"/>
  <c r="R205" i="1" s="1"/>
  <c r="J204" i="1"/>
  <c r="R204" i="1" s="1"/>
  <c r="T204" i="1" s="1"/>
  <c r="J203" i="1"/>
  <c r="R203" i="1" s="1"/>
  <c r="T203" i="1" s="1"/>
  <c r="J202" i="1"/>
  <c r="R202" i="1" s="1"/>
  <c r="T202" i="1" s="1"/>
  <c r="J201" i="1"/>
  <c r="R201" i="1" s="1"/>
  <c r="J200" i="1"/>
  <c r="R200" i="1" s="1"/>
  <c r="T200" i="1" s="1"/>
  <c r="J199" i="1"/>
  <c r="R199" i="1" s="1"/>
  <c r="J198" i="1"/>
  <c r="R198" i="1" s="1"/>
  <c r="J197" i="1"/>
  <c r="R197" i="1" s="1"/>
  <c r="J196" i="1"/>
  <c r="R196" i="1" s="1"/>
  <c r="T196" i="1" s="1"/>
  <c r="J195" i="1"/>
  <c r="R195" i="1" s="1"/>
  <c r="T195" i="1" s="1"/>
  <c r="J194" i="1"/>
  <c r="R194" i="1" s="1"/>
  <c r="T194" i="1" s="1"/>
  <c r="J193" i="1"/>
  <c r="R193" i="1" s="1"/>
  <c r="J192" i="1"/>
  <c r="R192" i="1" s="1"/>
  <c r="T192" i="1" s="1"/>
  <c r="J191" i="1"/>
  <c r="R191" i="1" s="1"/>
  <c r="J190" i="1"/>
  <c r="R190" i="1" s="1"/>
  <c r="J189" i="1"/>
  <c r="R189" i="1" s="1"/>
  <c r="J188" i="1"/>
  <c r="R188" i="1" s="1"/>
  <c r="T188" i="1" s="1"/>
  <c r="J187" i="1"/>
  <c r="R187" i="1" s="1"/>
  <c r="T187" i="1" s="1"/>
  <c r="J186" i="1"/>
  <c r="R186" i="1" s="1"/>
  <c r="T186" i="1" s="1"/>
  <c r="J185" i="1"/>
  <c r="R185" i="1" s="1"/>
  <c r="J184" i="1"/>
  <c r="R184" i="1" s="1"/>
  <c r="T184" i="1" s="1"/>
  <c r="J183" i="1"/>
  <c r="R183" i="1" s="1"/>
  <c r="J182" i="1"/>
  <c r="R182" i="1" s="1"/>
  <c r="J181" i="1"/>
  <c r="R181" i="1" s="1"/>
  <c r="J180" i="1"/>
  <c r="R180" i="1" s="1"/>
  <c r="T180" i="1" s="1"/>
  <c r="J179" i="1"/>
  <c r="R179" i="1" s="1"/>
  <c r="T179" i="1" s="1"/>
  <c r="J178" i="1"/>
  <c r="R178" i="1" s="1"/>
  <c r="T178" i="1" s="1"/>
  <c r="J177" i="1"/>
  <c r="R177" i="1" s="1"/>
  <c r="J176" i="1"/>
  <c r="R176" i="1" s="1"/>
  <c r="T176" i="1" s="1"/>
  <c r="J175" i="1"/>
  <c r="R175" i="1" s="1"/>
  <c r="J174" i="1"/>
  <c r="R174" i="1" s="1"/>
  <c r="J173" i="1"/>
  <c r="R173" i="1" s="1"/>
  <c r="J172" i="1"/>
  <c r="R172" i="1" s="1"/>
  <c r="T172" i="1" s="1"/>
  <c r="J171" i="1"/>
  <c r="R171" i="1" s="1"/>
  <c r="T171" i="1" s="1"/>
  <c r="J170" i="1"/>
  <c r="R170" i="1" s="1"/>
  <c r="T170" i="1" s="1"/>
  <c r="J669" i="1"/>
  <c r="R669" i="1" s="1"/>
  <c r="J168" i="1"/>
  <c r="R168" i="1" s="1"/>
  <c r="T168" i="1" s="1"/>
  <c r="J167" i="1"/>
  <c r="R167" i="1" s="1"/>
  <c r="J166" i="1"/>
  <c r="R166" i="1" s="1"/>
  <c r="J165" i="1"/>
  <c r="R165" i="1" s="1"/>
  <c r="J164" i="1"/>
  <c r="R164" i="1" s="1"/>
  <c r="T164" i="1" s="1"/>
  <c r="J163" i="1"/>
  <c r="R163" i="1" s="1"/>
  <c r="T163" i="1" s="1"/>
  <c r="J162" i="1"/>
  <c r="R162" i="1" s="1"/>
  <c r="T162" i="1" s="1"/>
  <c r="J161" i="1"/>
  <c r="R161" i="1" s="1"/>
  <c r="J160" i="1"/>
  <c r="R160" i="1" s="1"/>
  <c r="T160" i="1" s="1"/>
  <c r="J159" i="1"/>
  <c r="R159" i="1" s="1"/>
  <c r="J158" i="1"/>
  <c r="R158" i="1" s="1"/>
  <c r="J157" i="1"/>
  <c r="R157" i="1" s="1"/>
  <c r="J156" i="1"/>
  <c r="R156" i="1" s="1"/>
  <c r="T156" i="1" s="1"/>
  <c r="J155" i="1"/>
  <c r="R155" i="1" s="1"/>
  <c r="T155" i="1" s="1"/>
  <c r="J154" i="1"/>
  <c r="R154" i="1" s="1"/>
  <c r="T154" i="1" s="1"/>
  <c r="J153" i="1"/>
  <c r="R153" i="1" s="1"/>
  <c r="J152" i="1"/>
  <c r="R152" i="1" s="1"/>
  <c r="T152" i="1" s="1"/>
  <c r="J151" i="1"/>
  <c r="R151" i="1" s="1"/>
  <c r="J150" i="1"/>
  <c r="R150" i="1" s="1"/>
  <c r="J149" i="1"/>
  <c r="R149" i="1" s="1"/>
  <c r="J148" i="1"/>
  <c r="R148" i="1" s="1"/>
  <c r="T148" i="1" s="1"/>
  <c r="J147" i="1"/>
  <c r="R147" i="1" s="1"/>
  <c r="T147" i="1" s="1"/>
  <c r="J146" i="1"/>
  <c r="R146" i="1" s="1"/>
  <c r="T146" i="1" s="1"/>
  <c r="J145" i="1"/>
  <c r="R145" i="1" s="1"/>
  <c r="J144" i="1"/>
  <c r="R144" i="1" s="1"/>
  <c r="T144" i="1" s="1"/>
  <c r="J143" i="1"/>
  <c r="R143" i="1" s="1"/>
  <c r="J142" i="1"/>
  <c r="R142" i="1" s="1"/>
  <c r="J141" i="1"/>
  <c r="R141" i="1" s="1"/>
  <c r="J140" i="1"/>
  <c r="R140" i="1" s="1"/>
  <c r="T140" i="1" s="1"/>
  <c r="J139" i="1"/>
  <c r="R139" i="1" s="1"/>
  <c r="T139" i="1" s="1"/>
  <c r="J138" i="1"/>
  <c r="R138" i="1" s="1"/>
  <c r="T138" i="1" s="1"/>
  <c r="J137" i="1"/>
  <c r="R137" i="1" s="1"/>
  <c r="J662" i="1"/>
  <c r="R662" i="1" s="1"/>
  <c r="T662" i="1" s="1"/>
  <c r="J135" i="1"/>
  <c r="R135" i="1" s="1"/>
  <c r="J134" i="1"/>
  <c r="R134" i="1" s="1"/>
  <c r="J133" i="1"/>
  <c r="R133" i="1" s="1"/>
  <c r="J132" i="1"/>
  <c r="R132" i="1" s="1"/>
  <c r="T132" i="1" s="1"/>
  <c r="J131" i="1"/>
  <c r="R131" i="1" s="1"/>
  <c r="T131" i="1" s="1"/>
  <c r="J130" i="1"/>
  <c r="R130" i="1" s="1"/>
  <c r="T130" i="1" s="1"/>
  <c r="J129" i="1"/>
  <c r="R129" i="1" s="1"/>
  <c r="J128" i="1"/>
  <c r="R128" i="1" s="1"/>
  <c r="T128" i="1" s="1"/>
  <c r="J127" i="1"/>
  <c r="R127" i="1" s="1"/>
  <c r="J126" i="1"/>
  <c r="R126" i="1" s="1"/>
  <c r="J125" i="1"/>
  <c r="R125" i="1" s="1"/>
  <c r="J124" i="1"/>
  <c r="R124" i="1" s="1"/>
  <c r="T124" i="1" s="1"/>
  <c r="J123" i="1"/>
  <c r="R123" i="1" s="1"/>
  <c r="T123" i="1" s="1"/>
  <c r="J122" i="1"/>
  <c r="R122" i="1" s="1"/>
  <c r="T122" i="1" s="1"/>
  <c r="J121" i="1"/>
  <c r="R121" i="1" s="1"/>
  <c r="J120" i="1"/>
  <c r="R120" i="1" s="1"/>
  <c r="T120" i="1" s="1"/>
  <c r="J119" i="1"/>
  <c r="R119" i="1" s="1"/>
  <c r="J118" i="1"/>
  <c r="R118" i="1" s="1"/>
  <c r="J117" i="1"/>
  <c r="R117" i="1" s="1"/>
  <c r="J116" i="1"/>
  <c r="R116" i="1" s="1"/>
  <c r="T116" i="1" s="1"/>
  <c r="J115" i="1"/>
  <c r="R115" i="1" s="1"/>
  <c r="T115" i="1" s="1"/>
  <c r="J114" i="1"/>
  <c r="R114" i="1" s="1"/>
  <c r="T114" i="1" s="1"/>
  <c r="J113" i="1"/>
  <c r="R113" i="1" s="1"/>
  <c r="J112" i="1"/>
  <c r="R112" i="1" s="1"/>
  <c r="T112" i="1" s="1"/>
  <c r="J111" i="1"/>
  <c r="R111" i="1" s="1"/>
  <c r="J110" i="1"/>
  <c r="R110" i="1" s="1"/>
  <c r="J109" i="1"/>
  <c r="R109" i="1" s="1"/>
  <c r="J108" i="1"/>
  <c r="R108" i="1" s="1"/>
  <c r="T108" i="1" s="1"/>
  <c r="J107" i="1"/>
  <c r="R107" i="1" s="1"/>
  <c r="T107" i="1" s="1"/>
  <c r="J106" i="1"/>
  <c r="R106" i="1" s="1"/>
  <c r="T106" i="1" s="1"/>
  <c r="J105" i="1"/>
  <c r="R105" i="1" s="1"/>
  <c r="J104" i="1"/>
  <c r="R104" i="1" s="1"/>
  <c r="T104" i="1" s="1"/>
  <c r="J103" i="1"/>
  <c r="R103" i="1" s="1"/>
  <c r="J102" i="1"/>
  <c r="R102" i="1" s="1"/>
  <c r="J101" i="1"/>
  <c r="R101" i="1" s="1"/>
  <c r="J100" i="1"/>
  <c r="R100" i="1" s="1"/>
  <c r="T100" i="1" s="1"/>
  <c r="J99" i="1"/>
  <c r="R99" i="1" s="1"/>
  <c r="T99" i="1" s="1"/>
  <c r="J98" i="1"/>
  <c r="R98" i="1" s="1"/>
  <c r="T98" i="1" s="1"/>
  <c r="J97" i="1"/>
  <c r="R97" i="1" s="1"/>
  <c r="J96" i="1"/>
  <c r="R96" i="1" s="1"/>
  <c r="T96" i="1" s="1"/>
  <c r="J95" i="1"/>
  <c r="R95" i="1" s="1"/>
  <c r="J94" i="1"/>
  <c r="R94" i="1" s="1"/>
  <c r="J93" i="1"/>
  <c r="R93" i="1" s="1"/>
  <c r="J92" i="1"/>
  <c r="R92" i="1" s="1"/>
  <c r="T92" i="1" s="1"/>
  <c r="J91" i="1"/>
  <c r="R91" i="1" s="1"/>
  <c r="T91" i="1" s="1"/>
  <c r="J90" i="1"/>
  <c r="R90" i="1" s="1"/>
  <c r="T90" i="1" s="1"/>
  <c r="J89" i="1"/>
  <c r="R89" i="1" s="1"/>
  <c r="J668" i="1"/>
  <c r="R668" i="1" s="1"/>
  <c r="T668" i="1" s="1"/>
  <c r="J87" i="1"/>
  <c r="R87" i="1" s="1"/>
  <c r="J1453" i="1"/>
  <c r="R1453" i="1" s="1"/>
  <c r="J85" i="1"/>
  <c r="R85" i="1" s="1"/>
  <c r="J667" i="1"/>
  <c r="R667" i="1" s="1"/>
  <c r="T667" i="1" s="1"/>
  <c r="J770" i="1"/>
  <c r="R770" i="1" s="1"/>
  <c r="T770" i="1" s="1"/>
  <c r="J82" i="1"/>
  <c r="R82" i="1" s="1"/>
  <c r="T82" i="1" s="1"/>
  <c r="J81" i="1"/>
  <c r="R81" i="1" s="1"/>
  <c r="J80" i="1"/>
  <c r="R80" i="1" s="1"/>
  <c r="T80" i="1" s="1"/>
  <c r="J79" i="1"/>
  <c r="R79" i="1" s="1"/>
  <c r="J78" i="1"/>
  <c r="R78" i="1" s="1"/>
  <c r="J1630" i="1"/>
  <c r="R1630" i="1" s="1"/>
  <c r="T1630" i="1" s="1"/>
  <c r="J1451" i="1"/>
  <c r="R1451" i="1" s="1"/>
  <c r="T1451" i="1" s="1"/>
  <c r="J1452" i="1"/>
  <c r="R1452" i="1" s="1"/>
  <c r="J666" i="1"/>
  <c r="R666" i="1" s="1"/>
  <c r="J56" i="1"/>
  <c r="R56" i="1" s="1"/>
  <c r="T56" i="1" s="1"/>
  <c r="J57" i="1"/>
  <c r="R57" i="1" s="1"/>
  <c r="J58" i="1"/>
  <c r="R58" i="1" s="1"/>
  <c r="J59" i="1"/>
  <c r="R59" i="1" s="1"/>
  <c r="T59" i="1" s="1"/>
  <c r="J60" i="1"/>
  <c r="R60" i="1" s="1"/>
  <c r="T60" i="1" s="1"/>
  <c r="J61" i="1"/>
  <c r="R61" i="1" s="1"/>
  <c r="T61" i="1" s="1"/>
  <c r="J62" i="1"/>
  <c r="R62" i="1" s="1"/>
  <c r="J63" i="1"/>
  <c r="R63" i="1" s="1"/>
  <c r="J64" i="1"/>
  <c r="R64" i="1" s="1"/>
  <c r="T64" i="1" s="1"/>
  <c r="J65" i="1"/>
  <c r="R65" i="1" s="1"/>
  <c r="J66" i="1"/>
  <c r="R66" i="1" s="1"/>
  <c r="J67" i="1"/>
  <c r="R67" i="1" s="1"/>
  <c r="T67" i="1" s="1"/>
  <c r="J68" i="1"/>
  <c r="R68" i="1" s="1"/>
  <c r="T68" i="1" s="1"/>
  <c r="J69" i="1"/>
  <c r="R69" i="1" s="1"/>
  <c r="T69" i="1" s="1"/>
  <c r="J70" i="1"/>
  <c r="R70" i="1" s="1"/>
  <c r="J71" i="1"/>
  <c r="R71" i="1" s="1"/>
  <c r="J72" i="1"/>
  <c r="R72" i="1" s="1"/>
  <c r="T72" i="1" s="1"/>
  <c r="J73" i="1"/>
  <c r="R73" i="1" s="1"/>
  <c r="J74" i="1"/>
  <c r="R74" i="1" s="1"/>
  <c r="J75" i="1"/>
  <c r="R75" i="1" s="1"/>
  <c r="T75" i="1" s="1"/>
  <c r="J76" i="1"/>
  <c r="R76" i="1" s="1"/>
  <c r="T76" i="1" s="1"/>
  <c r="J77" i="1"/>
  <c r="R77" i="1" s="1"/>
  <c r="T77" i="1" s="1"/>
  <c r="J664" i="1"/>
  <c r="R664" i="1" s="1"/>
  <c r="T664" i="1" s="1"/>
  <c r="J1449" i="1"/>
  <c r="R1449" i="1" s="1"/>
  <c r="J665" i="1"/>
  <c r="R665" i="1" s="1"/>
  <c r="J1450" i="1"/>
  <c r="R1450" i="1" s="1"/>
  <c r="J768" i="1"/>
  <c r="R768" i="1" s="1"/>
  <c r="J40" i="1"/>
  <c r="R40" i="1" s="1"/>
  <c r="T40" i="1" s="1"/>
  <c r="J41" i="1"/>
  <c r="R41" i="1" s="1"/>
  <c r="T41" i="1" s="1"/>
  <c r="J42" i="1"/>
  <c r="R42" i="1" s="1"/>
  <c r="T42" i="1" s="1"/>
  <c r="J43" i="1"/>
  <c r="R43" i="1" s="1"/>
  <c r="T43" i="1" s="1"/>
  <c r="J44" i="1"/>
  <c r="R44" i="1" s="1"/>
  <c r="J45" i="1"/>
  <c r="R45" i="1" s="1"/>
  <c r="J46" i="1"/>
  <c r="R46" i="1" s="1"/>
  <c r="J47" i="1"/>
  <c r="R47" i="1" s="1"/>
  <c r="J48" i="1"/>
  <c r="R48" i="1" s="1"/>
  <c r="T48" i="1" s="1"/>
  <c r="J49" i="1"/>
  <c r="R49" i="1" s="1"/>
  <c r="T49" i="1" s="1"/>
  <c r="J50" i="1"/>
  <c r="R50" i="1" s="1"/>
  <c r="T50" i="1" s="1"/>
  <c r="J51" i="1"/>
  <c r="R51" i="1" s="1"/>
  <c r="T51" i="1" s="1"/>
  <c r="J52" i="1"/>
  <c r="R52" i="1" s="1"/>
  <c r="J30" i="1"/>
  <c r="R30" i="1" s="1"/>
  <c r="J31" i="1"/>
  <c r="R31" i="1" s="1"/>
  <c r="J32" i="1"/>
  <c r="R32" i="1" s="1"/>
  <c r="T32" i="1" s="1"/>
  <c r="J1217" i="1"/>
  <c r="R1217" i="1" s="1"/>
  <c r="T1217" i="1" s="1"/>
  <c r="J34" i="1"/>
  <c r="R34" i="1" s="1"/>
  <c r="T34" i="1" s="1"/>
  <c r="J22" i="1"/>
  <c r="R22" i="1" s="1"/>
  <c r="T22" i="1" s="1"/>
  <c r="J23" i="1"/>
  <c r="R23" i="1" s="1"/>
  <c r="J24" i="1"/>
  <c r="R24" i="1" s="1"/>
  <c r="T24" i="1" s="1"/>
  <c r="J25" i="1"/>
  <c r="R25" i="1" s="1"/>
  <c r="J26" i="1"/>
  <c r="R26" i="1" s="1"/>
  <c r="T26" i="1" s="1"/>
  <c r="J27" i="1"/>
  <c r="R27" i="1" s="1"/>
  <c r="T27" i="1" s="1"/>
  <c r="J28" i="1"/>
  <c r="R28" i="1" s="1"/>
  <c r="J663" i="1"/>
  <c r="R663" i="1" s="1"/>
  <c r="J9" i="1"/>
  <c r="R9" i="1" s="1"/>
  <c r="T9" i="1" s="1"/>
  <c r="J10" i="1"/>
  <c r="R10" i="1" s="1"/>
  <c r="J11" i="1"/>
  <c r="R11" i="1" s="1"/>
  <c r="T11" i="1" s="1"/>
  <c r="J12" i="1"/>
  <c r="R12" i="1" s="1"/>
  <c r="J13" i="1"/>
  <c r="R13" i="1" s="1"/>
  <c r="T13" i="1" s="1"/>
  <c r="J14" i="1"/>
  <c r="R14" i="1" s="1"/>
  <c r="T14" i="1" s="1"/>
  <c r="J15" i="1"/>
  <c r="R15" i="1" s="1"/>
  <c r="J16" i="1"/>
  <c r="R16" i="1" s="1"/>
  <c r="T16" i="1" s="1"/>
  <c r="J17" i="1"/>
  <c r="R17" i="1" s="1"/>
  <c r="T17" i="1" s="1"/>
  <c r="J18" i="1"/>
  <c r="R18" i="1" s="1"/>
  <c r="T18" i="1" s="1"/>
  <c r="J19" i="1"/>
  <c r="R19" i="1" s="1"/>
  <c r="T19" i="1" s="1"/>
  <c r="J20" i="1"/>
  <c r="R20" i="1" s="1"/>
  <c r="J21" i="1"/>
  <c r="R21" i="1" s="1"/>
  <c r="J4" i="1"/>
  <c r="R4" i="1" s="1"/>
  <c r="T4" i="1" s="1"/>
  <c r="J5" i="1"/>
  <c r="R5" i="1" s="1"/>
  <c r="J6" i="1"/>
  <c r="R6" i="1" s="1"/>
  <c r="T6" i="1" s="1"/>
  <c r="J7" i="1"/>
  <c r="R7" i="1" s="1"/>
  <c r="T7" i="1" s="1"/>
  <c r="J8" i="1"/>
  <c r="R8" i="1" s="1"/>
  <c r="T8" i="1" s="1"/>
  <c r="J661" i="1"/>
  <c r="R661" i="1" s="1"/>
  <c r="T661" i="1" s="1"/>
  <c r="T78" i="1" l="1"/>
  <c r="T1453" i="1"/>
  <c r="T94" i="1"/>
  <c r="T102" i="1"/>
  <c r="T110" i="1"/>
  <c r="T118" i="1"/>
  <c r="T126" i="1"/>
  <c r="T134" i="1"/>
  <c r="T142" i="1"/>
  <c r="T150" i="1"/>
  <c r="T158" i="1"/>
  <c r="T166" i="1"/>
  <c r="T174" i="1"/>
  <c r="T182" i="1"/>
  <c r="T190" i="1"/>
  <c r="T198" i="1"/>
  <c r="T206" i="1"/>
  <c r="T214" i="1"/>
  <c r="T222" i="1"/>
  <c r="T230" i="1"/>
  <c r="T238" i="1"/>
  <c r="T246" i="1"/>
  <c r="T254" i="1"/>
  <c r="T262" i="1"/>
  <c r="T270" i="1"/>
  <c r="T278" i="1"/>
  <c r="T286" i="1"/>
  <c r="T294" i="1"/>
  <c r="T302" i="1"/>
  <c r="T310" i="1"/>
  <c r="T318" i="1"/>
  <c r="T1450" i="1"/>
  <c r="T46" i="1"/>
  <c r="T70" i="1"/>
  <c r="T62" i="1"/>
  <c r="T1452" i="1"/>
  <c r="T74" i="1"/>
  <c r="T66" i="1"/>
  <c r="T58" i="1"/>
  <c r="T5" i="1"/>
  <c r="T47" i="1"/>
  <c r="T87" i="1"/>
  <c r="T111" i="1"/>
  <c r="T135" i="1"/>
  <c r="T175" i="1"/>
  <c r="T199" i="1"/>
  <c r="T223" i="1"/>
  <c r="T247" i="1"/>
  <c r="T263" i="1"/>
  <c r="T1518" i="1"/>
  <c r="T319" i="1"/>
  <c r="T343" i="1"/>
  <c r="T367" i="1"/>
  <c r="T391" i="1"/>
  <c r="T415" i="1"/>
  <c r="T439" i="1"/>
  <c r="T463" i="1"/>
  <c r="T836" i="1"/>
  <c r="T503" i="1"/>
  <c r="T527" i="1"/>
  <c r="T559" i="1"/>
  <c r="T583" i="1"/>
  <c r="T607" i="1"/>
  <c r="T650" i="1"/>
  <c r="T38" i="1"/>
  <c r="T685" i="1"/>
  <c r="T703" i="1"/>
  <c r="T719" i="1"/>
  <c r="T355" i="1"/>
  <c r="T759" i="1"/>
  <c r="T783" i="1"/>
  <c r="T807" i="1"/>
  <c r="T837" i="1"/>
  <c r="T861" i="1"/>
  <c r="T879" i="1"/>
  <c r="T911" i="1"/>
  <c r="T935" i="1"/>
  <c r="T950" i="1"/>
  <c r="T974" i="1"/>
  <c r="T1007" i="1"/>
  <c r="T1031" i="1"/>
  <c r="T1055" i="1"/>
  <c r="T1071" i="1"/>
  <c r="T1095" i="1"/>
  <c r="T1119" i="1"/>
  <c r="T1151" i="1"/>
  <c r="T1175" i="1"/>
  <c r="T1198" i="1"/>
  <c r="T1223" i="1"/>
  <c r="T1239" i="1"/>
  <c r="T1263" i="1"/>
  <c r="T1287" i="1"/>
  <c r="T1327" i="1"/>
  <c r="T1367" i="1"/>
  <c r="T1391" i="1"/>
  <c r="T1415" i="1"/>
  <c r="T1439" i="1"/>
  <c r="T1463" i="1"/>
  <c r="T1487" i="1"/>
  <c r="T1511" i="1"/>
  <c r="T1535" i="1"/>
  <c r="T1559" i="1"/>
  <c r="T1583" i="1"/>
  <c r="T1615" i="1"/>
  <c r="T15" i="1"/>
  <c r="T768" i="1"/>
  <c r="T95" i="1"/>
  <c r="T119" i="1"/>
  <c r="T143" i="1"/>
  <c r="T159" i="1"/>
  <c r="T183" i="1"/>
  <c r="T207" i="1"/>
  <c r="T231" i="1"/>
  <c r="T255" i="1"/>
  <c r="T279" i="1"/>
  <c r="T287" i="1"/>
  <c r="T311" i="1"/>
  <c r="T335" i="1"/>
  <c r="T673" i="1"/>
  <c r="T383" i="1"/>
  <c r="T407" i="1"/>
  <c r="T431" i="1"/>
  <c r="T455" i="1"/>
  <c r="T479" i="1"/>
  <c r="T511" i="1"/>
  <c r="T535" i="1"/>
  <c r="T551" i="1"/>
  <c r="T575" i="1"/>
  <c r="T599" i="1"/>
  <c r="T634" i="1"/>
  <c r="T88" i="1"/>
  <c r="T677" i="1"/>
  <c r="T693" i="1"/>
  <c r="T711" i="1"/>
  <c r="T735" i="1"/>
  <c r="T767" i="1"/>
  <c r="T791" i="1"/>
  <c r="T815" i="1"/>
  <c r="T845" i="1"/>
  <c r="T885" i="1"/>
  <c r="T625" i="1"/>
  <c r="T903" i="1"/>
  <c r="T927" i="1"/>
  <c r="T958" i="1"/>
  <c r="T982" i="1"/>
  <c r="T999" i="1"/>
  <c r="T1023" i="1"/>
  <c r="T1047" i="1"/>
  <c r="T1079" i="1"/>
  <c r="T1103" i="1"/>
  <c r="T1127" i="1"/>
  <c r="T1143" i="1"/>
  <c r="T1167" i="1"/>
  <c r="T1190" i="1"/>
  <c r="T1214" i="1"/>
  <c r="T1247" i="1"/>
  <c r="T1271" i="1"/>
  <c r="T1295" i="1"/>
  <c r="T1319" i="1"/>
  <c r="T1335" i="1"/>
  <c r="T1351" i="1"/>
  <c r="T1375" i="1"/>
  <c r="T1399" i="1"/>
  <c r="T1431" i="1"/>
  <c r="T1447" i="1"/>
  <c r="T1471" i="1"/>
  <c r="T1495" i="1"/>
  <c r="T1519" i="1"/>
  <c r="T1551" i="1"/>
  <c r="T1575" i="1"/>
  <c r="T1591" i="1"/>
  <c r="T1607" i="1"/>
  <c r="T28" i="1"/>
  <c r="T79" i="1"/>
  <c r="T103" i="1"/>
  <c r="T127" i="1"/>
  <c r="T151" i="1"/>
  <c r="T167" i="1"/>
  <c r="T191" i="1"/>
  <c r="T215" i="1"/>
  <c r="T239" i="1"/>
  <c r="T271" i="1"/>
  <c r="T303" i="1"/>
  <c r="T327" i="1"/>
  <c r="T29" i="1"/>
  <c r="T375" i="1"/>
  <c r="T399" i="1"/>
  <c r="T423" i="1"/>
  <c r="T447" i="1"/>
  <c r="T471" i="1"/>
  <c r="T495" i="1"/>
  <c r="T519" i="1"/>
  <c r="T543" i="1"/>
  <c r="T567" i="1"/>
  <c r="T591" i="1"/>
  <c r="T615" i="1"/>
  <c r="T639" i="1"/>
  <c r="T346" i="1"/>
  <c r="T700" i="1"/>
  <c r="T727" i="1"/>
  <c r="T751" i="1"/>
  <c r="T775" i="1"/>
  <c r="T799" i="1"/>
  <c r="T823" i="1"/>
  <c r="T853" i="1"/>
  <c r="T871" i="1"/>
  <c r="T895" i="1"/>
  <c r="T919" i="1"/>
  <c r="T942" i="1"/>
  <c r="T966" i="1"/>
  <c r="T991" i="1"/>
  <c r="T1015" i="1"/>
  <c r="T1039" i="1"/>
  <c r="T1063" i="1"/>
  <c r="T1087" i="1"/>
  <c r="T1111" i="1"/>
  <c r="T1135" i="1"/>
  <c r="T1159" i="1"/>
  <c r="T1182" i="1"/>
  <c r="T1206" i="1"/>
  <c r="T1231" i="1"/>
  <c r="T1255" i="1"/>
  <c r="T1279" i="1"/>
  <c r="T1303" i="1"/>
  <c r="T1311" i="1"/>
  <c r="T1343" i="1"/>
  <c r="T1359" i="1"/>
  <c r="T1383" i="1"/>
  <c r="T1407" i="1"/>
  <c r="T1423" i="1"/>
  <c r="T1455" i="1"/>
  <c r="T1479" i="1"/>
  <c r="T1503" i="1"/>
  <c r="T1527" i="1"/>
  <c r="T1543" i="1"/>
  <c r="T1567" i="1"/>
  <c r="T1599" i="1"/>
  <c r="T1623" i="1"/>
  <c r="T31" i="1"/>
  <c r="T20" i="1"/>
  <c r="T30" i="1"/>
  <c r="T45" i="1"/>
  <c r="T665" i="1"/>
  <c r="T137" i="1"/>
  <c r="T249" i="1"/>
  <c r="T257" i="1"/>
  <c r="T265" i="1"/>
  <c r="T273" i="1"/>
  <c r="T281" i="1"/>
  <c r="T289" i="1"/>
  <c r="T1520" i="1"/>
  <c r="T305" i="1"/>
  <c r="T313" i="1"/>
  <c r="T321" i="1"/>
  <c r="T329" i="1"/>
  <c r="T337" i="1"/>
  <c r="T670" i="1"/>
  <c r="T780" i="1"/>
  <c r="T377" i="1"/>
  <c r="T385" i="1"/>
  <c r="T393" i="1"/>
  <c r="T401" i="1"/>
  <c r="T409" i="1"/>
  <c r="T417" i="1"/>
  <c r="T425" i="1"/>
  <c r="T433" i="1"/>
  <c r="T441" i="1"/>
  <c r="T449" i="1"/>
  <c r="T457" i="1"/>
  <c r="T465" i="1"/>
  <c r="T473" i="1"/>
  <c r="T481" i="1"/>
  <c r="T489" i="1"/>
  <c r="T497" i="1"/>
  <c r="T505" i="1"/>
  <c r="T52" i="1"/>
  <c r="T71" i="1"/>
  <c r="T63" i="1"/>
  <c r="T44" i="1"/>
  <c r="T1449" i="1"/>
  <c r="T666" i="1"/>
  <c r="T10" i="1"/>
  <c r="T23" i="1"/>
  <c r="T513" i="1"/>
  <c r="T521" i="1"/>
  <c r="T529" i="1"/>
  <c r="T537" i="1"/>
  <c r="T545" i="1"/>
  <c r="T553" i="1"/>
  <c r="T561" i="1"/>
  <c r="T569" i="1"/>
  <c r="T577" i="1"/>
  <c r="T585" i="1"/>
  <c r="T593" i="1"/>
  <c r="T601" i="1"/>
  <c r="T609" i="1"/>
  <c r="T617" i="1"/>
  <c r="T644" i="1"/>
  <c r="T652" i="1"/>
  <c r="T641" i="1"/>
  <c r="T53" i="1"/>
  <c r="T169" i="1"/>
  <c r="T348" i="1"/>
  <c r="T679" i="1"/>
  <c r="T687" i="1"/>
  <c r="T695" i="1"/>
  <c r="T733" i="1"/>
  <c r="T713" i="1"/>
  <c r="T721" i="1"/>
  <c r="T729" i="1"/>
  <c r="T737" i="1"/>
  <c r="T745" i="1"/>
  <c r="T753" i="1"/>
  <c r="T761" i="1"/>
  <c r="T769" i="1"/>
  <c r="T360" i="1"/>
  <c r="T785" i="1"/>
  <c r="T793" i="1"/>
  <c r="T801" i="1"/>
  <c r="T809" i="1"/>
  <c r="T817" i="1"/>
  <c r="T825" i="1"/>
  <c r="T839" i="1"/>
  <c r="T847" i="1"/>
  <c r="T855" i="1"/>
  <c r="T863" i="1"/>
  <c r="T675" i="1"/>
  <c r="T873" i="1"/>
  <c r="T881" i="1"/>
  <c r="T889" i="1"/>
  <c r="T897" i="1"/>
  <c r="T905" i="1"/>
  <c r="T913" i="1"/>
  <c r="T921" i="1"/>
  <c r="T929" i="1"/>
  <c r="T937" i="1"/>
  <c r="T944" i="1"/>
  <c r="T952" i="1"/>
  <c r="T960" i="1"/>
  <c r="T968" i="1"/>
  <c r="T976" i="1"/>
  <c r="T984" i="1"/>
  <c r="T993" i="1"/>
  <c r="T1001" i="1"/>
  <c r="T1009" i="1"/>
  <c r="T1017" i="1"/>
  <c r="T1025" i="1"/>
  <c r="T1033" i="1"/>
  <c r="T1041" i="1"/>
  <c r="T1049" i="1"/>
  <c r="T1057" i="1"/>
  <c r="T1065" i="1"/>
  <c r="T1073" i="1"/>
  <c r="T1081" i="1"/>
  <c r="T1089" i="1"/>
  <c r="T1097" i="1"/>
  <c r="T1105" i="1"/>
  <c r="T1113" i="1"/>
  <c r="T1121" i="1"/>
  <c r="T1129" i="1"/>
  <c r="T1137" i="1"/>
  <c r="T1145" i="1"/>
  <c r="T1153" i="1"/>
  <c r="T1161" i="1"/>
  <c r="T1169" i="1"/>
  <c r="T1177" i="1"/>
  <c r="T1184" i="1"/>
  <c r="T1192" i="1"/>
  <c r="T73" i="1"/>
  <c r="T65" i="1"/>
  <c r="T57" i="1"/>
  <c r="T89" i="1"/>
  <c r="T105" i="1"/>
  <c r="T121" i="1"/>
  <c r="T145" i="1"/>
  <c r="T669" i="1"/>
  <c r="T193" i="1"/>
  <c r="T217" i="1"/>
  <c r="T241" i="1"/>
  <c r="T705" i="1"/>
  <c r="T12" i="1"/>
  <c r="T25" i="1"/>
  <c r="T81" i="1"/>
  <c r="T97" i="1"/>
  <c r="T113" i="1"/>
  <c r="T129" i="1"/>
  <c r="T153" i="1"/>
  <c r="T177" i="1"/>
  <c r="T201" i="1"/>
  <c r="T225" i="1"/>
  <c r="T833" i="1"/>
  <c r="T161" i="1"/>
  <c r="T185" i="1"/>
  <c r="T209" i="1"/>
  <c r="T233" i="1"/>
  <c r="T369" i="1"/>
  <c r="T663" i="1"/>
  <c r="T85" i="1"/>
  <c r="T93" i="1"/>
  <c r="T101" i="1"/>
  <c r="T109" i="1"/>
  <c r="T117" i="1"/>
  <c r="T125" i="1"/>
  <c r="T133" i="1"/>
  <c r="T141" i="1"/>
  <c r="T149" i="1"/>
  <c r="T157" i="1"/>
  <c r="T165" i="1"/>
  <c r="T173" i="1"/>
  <c r="T181" i="1"/>
  <c r="T189" i="1"/>
  <c r="T197" i="1"/>
  <c r="T205" i="1"/>
  <c r="T213" i="1"/>
  <c r="T221" i="1"/>
  <c r="T229" i="1"/>
  <c r="T237" i="1"/>
  <c r="T245" i="1"/>
  <c r="T253" i="1"/>
  <c r="T261" i="1"/>
  <c r="T269" i="1"/>
  <c r="T277" i="1"/>
  <c r="T285" i="1"/>
  <c r="T293" i="1"/>
  <c r="T301" i="1"/>
  <c r="T309" i="1"/>
  <c r="T317" i="1"/>
  <c r="T325" i="1"/>
  <c r="T333" i="1"/>
  <c r="T341" i="1"/>
  <c r="T779" i="1"/>
  <c r="T831" i="1"/>
  <c r="T365" i="1"/>
  <c r="T373" i="1"/>
  <c r="T381" i="1"/>
  <c r="T389" i="1"/>
  <c r="T397" i="1"/>
  <c r="T405" i="1"/>
  <c r="T413" i="1"/>
  <c r="T421" i="1"/>
  <c r="T429" i="1"/>
  <c r="T437" i="1"/>
  <c r="T445" i="1"/>
  <c r="T453" i="1"/>
  <c r="T461" i="1"/>
  <c r="T469" i="1"/>
  <c r="T477" i="1"/>
  <c r="T485" i="1"/>
  <c r="T493" i="1"/>
  <c r="T501" i="1"/>
  <c r="T509" i="1"/>
  <c r="T517" i="1"/>
  <c r="T525" i="1"/>
  <c r="T533" i="1"/>
  <c r="T541" i="1"/>
  <c r="T549" i="1"/>
  <c r="T557" i="1"/>
  <c r="T565" i="1"/>
  <c r="T573" i="1"/>
  <c r="T581" i="1"/>
  <c r="T589" i="1"/>
  <c r="T597" i="1"/>
  <c r="T21" i="1"/>
  <c r="Q6" i="1"/>
  <c r="U6" i="1" s="1"/>
  <c r="Q11" i="1"/>
  <c r="U11" i="1" s="1"/>
  <c r="Q16" i="1"/>
  <c r="U16" i="1" s="1"/>
  <c r="Q24" i="1"/>
  <c r="U24" i="1" s="1"/>
  <c r="Q32" i="1"/>
  <c r="U32" i="1" s="1"/>
  <c r="Q40" i="1"/>
  <c r="U40" i="1" s="1"/>
  <c r="Q128" i="1"/>
  <c r="U128" i="1" s="1"/>
  <c r="Q144" i="1"/>
  <c r="U144" i="1" s="1"/>
  <c r="Q168" i="1"/>
  <c r="U168" i="1" s="1"/>
  <c r="Q184" i="1"/>
  <c r="U184" i="1" s="1"/>
  <c r="Q192" i="1"/>
  <c r="U192" i="1" s="1"/>
  <c r="Q200" i="1"/>
  <c r="U200" i="1" s="1"/>
  <c r="Q208" i="1"/>
  <c r="U208" i="1" s="1"/>
  <c r="Q216" i="1"/>
  <c r="U216" i="1" s="1"/>
  <c r="Q224" i="1"/>
  <c r="U224" i="1" s="1"/>
  <c r="Q232" i="1"/>
  <c r="U232" i="1" s="1"/>
  <c r="Q240" i="1"/>
  <c r="U240" i="1" s="1"/>
  <c r="Q248" i="1"/>
  <c r="U248" i="1" s="1"/>
  <c r="Q256" i="1"/>
  <c r="U256" i="1" s="1"/>
  <c r="Q264" i="1"/>
  <c r="U264" i="1" s="1"/>
  <c r="Q272" i="1"/>
  <c r="U272" i="1" s="1"/>
  <c r="Q280" i="1"/>
  <c r="U280" i="1" s="1"/>
  <c r="Q1516" i="1"/>
  <c r="U1516" i="1" s="1"/>
  <c r="Q296" i="1"/>
  <c r="U296" i="1" s="1"/>
  <c r="Q304" i="1"/>
  <c r="U304" i="1" s="1"/>
  <c r="Q312" i="1"/>
  <c r="U312" i="1" s="1"/>
  <c r="Q320" i="1"/>
  <c r="U320" i="1" s="1"/>
  <c r="Q328" i="1"/>
  <c r="U328" i="1" s="1"/>
  <c r="Q336" i="1"/>
  <c r="U336" i="1" s="1"/>
  <c r="Q344" i="1"/>
  <c r="U344" i="1" s="1"/>
  <c r="Q672" i="1"/>
  <c r="U672" i="1" s="1"/>
  <c r="Q35" i="1"/>
  <c r="U35" i="1" s="1"/>
  <c r="Q368" i="1"/>
  <c r="U368" i="1" s="1"/>
  <c r="Q376" i="1"/>
  <c r="U376" i="1" s="1"/>
  <c r="Q384" i="1"/>
  <c r="U384" i="1" s="1"/>
  <c r="Q424" i="1"/>
  <c r="U424" i="1" s="1"/>
  <c r="Q432" i="1"/>
  <c r="U432" i="1" s="1"/>
  <c r="Q440" i="1"/>
  <c r="U440" i="1" s="1"/>
  <c r="Q448" i="1"/>
  <c r="U448" i="1" s="1"/>
  <c r="Q456" i="1"/>
  <c r="U456" i="1" s="1"/>
  <c r="Q464" i="1"/>
  <c r="U464" i="1" s="1"/>
  <c r="Q472" i="1"/>
  <c r="U472" i="1" s="1"/>
  <c r="Q480" i="1"/>
  <c r="U480" i="1" s="1"/>
  <c r="Q488" i="1"/>
  <c r="U488" i="1" s="1"/>
  <c r="Q496" i="1"/>
  <c r="U496" i="1" s="1"/>
  <c r="Q504" i="1"/>
  <c r="U504" i="1" s="1"/>
  <c r="Q512" i="1"/>
  <c r="U512" i="1" s="1"/>
  <c r="Q520" i="1"/>
  <c r="U520" i="1" s="1"/>
  <c r="Q528" i="1"/>
  <c r="U528" i="1" s="1"/>
  <c r="Q536" i="1"/>
  <c r="U536" i="1" s="1"/>
  <c r="Q544" i="1"/>
  <c r="U544" i="1" s="1"/>
  <c r="Q552" i="1"/>
  <c r="U552" i="1" s="1"/>
  <c r="Q560" i="1"/>
  <c r="U560" i="1" s="1"/>
  <c r="Q568" i="1"/>
  <c r="U568" i="1" s="1"/>
  <c r="Q576" i="1"/>
  <c r="U576" i="1" s="1"/>
  <c r="Q584" i="1"/>
  <c r="U584" i="1" s="1"/>
  <c r="Q592" i="1"/>
  <c r="U592" i="1" s="1"/>
  <c r="Q600" i="1"/>
  <c r="U600" i="1" s="1"/>
  <c r="Q608" i="1"/>
  <c r="U608" i="1" s="1"/>
  <c r="Q616" i="1"/>
  <c r="U616" i="1" s="1"/>
  <c r="Q635" i="1"/>
  <c r="U635" i="1" s="1"/>
  <c r="Q651" i="1"/>
  <c r="U651" i="1" s="1"/>
  <c r="Q640" i="1"/>
  <c r="U640" i="1" s="1"/>
  <c r="Q39" i="1"/>
  <c r="U39" i="1" s="1"/>
  <c r="Q136" i="1"/>
  <c r="U136" i="1" s="1"/>
  <c r="Q347" i="1"/>
  <c r="U347" i="1" s="1"/>
  <c r="Q678" i="1"/>
  <c r="U678" i="1" s="1"/>
  <c r="Q686" i="1"/>
  <c r="U686" i="1" s="1"/>
  <c r="Q694" i="1"/>
  <c r="U694" i="1" s="1"/>
  <c r="Q701" i="1"/>
  <c r="U701" i="1" s="1"/>
  <c r="Q704" i="1"/>
  <c r="U704" i="1" s="1"/>
  <c r="Q712" i="1"/>
  <c r="U712" i="1" s="1"/>
  <c r="Q720" i="1"/>
  <c r="U720" i="1" s="1"/>
  <c r="Q728" i="1"/>
  <c r="U728" i="1" s="1"/>
  <c r="Q736" i="1"/>
  <c r="U736" i="1" s="1"/>
  <c r="Q356" i="1"/>
  <c r="U356" i="1" s="1"/>
  <c r="Q752" i="1"/>
  <c r="U752" i="1" s="1"/>
  <c r="Q760" i="1"/>
  <c r="U760" i="1" s="1"/>
  <c r="Q358" i="1"/>
  <c r="U358" i="1" s="1"/>
  <c r="Q776" i="1"/>
  <c r="U776" i="1" s="1"/>
  <c r="Q784" i="1"/>
  <c r="U784" i="1" s="1"/>
  <c r="Q792" i="1"/>
  <c r="U792" i="1" s="1"/>
  <c r="Q800" i="1"/>
  <c r="U800" i="1" s="1"/>
  <c r="Q808" i="1"/>
  <c r="U808" i="1" s="1"/>
  <c r="Q816" i="1"/>
  <c r="U816" i="1" s="1"/>
  <c r="Q824" i="1"/>
  <c r="U824" i="1" s="1"/>
  <c r="Q838" i="1"/>
  <c r="U838" i="1" s="1"/>
  <c r="Q846" i="1"/>
  <c r="U846" i="1" s="1"/>
  <c r="Q854" i="1"/>
  <c r="U854" i="1" s="1"/>
  <c r="Q862" i="1"/>
  <c r="U862" i="1" s="1"/>
  <c r="Q674" i="1"/>
  <c r="U674" i="1" s="1"/>
  <c r="Q872" i="1"/>
  <c r="U872" i="1" s="1"/>
  <c r="Q880" i="1"/>
  <c r="U880" i="1" s="1"/>
  <c r="Q888" i="1"/>
  <c r="U888" i="1" s="1"/>
  <c r="Q896" i="1"/>
  <c r="U896" i="1" s="1"/>
  <c r="Q904" i="1"/>
  <c r="U904" i="1" s="1"/>
  <c r="Q912" i="1"/>
  <c r="U912" i="1" s="1"/>
  <c r="Q920" i="1"/>
  <c r="U920" i="1" s="1"/>
  <c r="Q928" i="1"/>
  <c r="U928" i="1" s="1"/>
  <c r="Q936" i="1"/>
  <c r="U936" i="1" s="1"/>
  <c r="Q943" i="1"/>
  <c r="U943" i="1" s="1"/>
  <c r="Q951" i="1"/>
  <c r="U951" i="1" s="1"/>
  <c r="Q959" i="1"/>
  <c r="U959" i="1" s="1"/>
  <c r="Q967" i="1"/>
  <c r="U967" i="1" s="1"/>
  <c r="Q975" i="1"/>
  <c r="U975" i="1" s="1"/>
  <c r="Q983" i="1"/>
  <c r="U983" i="1" s="1"/>
  <c r="Q1000" i="1"/>
  <c r="U1000" i="1" s="1"/>
  <c r="Q1008" i="1"/>
  <c r="U1008" i="1" s="1"/>
  <c r="Q1016" i="1"/>
  <c r="U1016" i="1" s="1"/>
  <c r="Q1024" i="1"/>
  <c r="U1024" i="1" s="1"/>
  <c r="Q1032" i="1"/>
  <c r="U1032" i="1" s="1"/>
  <c r="Q1040" i="1"/>
  <c r="U1040" i="1" s="1"/>
  <c r="Q1048" i="1"/>
  <c r="U1048" i="1" s="1"/>
  <c r="Q1056" i="1"/>
  <c r="U1056" i="1" s="1"/>
  <c r="Q1064" i="1"/>
  <c r="U1064" i="1" s="1"/>
  <c r="Q1072" i="1"/>
  <c r="U1072" i="1" s="1"/>
  <c r="Q1080" i="1"/>
  <c r="U1080" i="1" s="1"/>
  <c r="Q1088" i="1"/>
  <c r="U1088" i="1" s="1"/>
  <c r="Q1096" i="1"/>
  <c r="U1096" i="1" s="1"/>
  <c r="Q1104" i="1"/>
  <c r="U1104" i="1" s="1"/>
  <c r="Q1112" i="1"/>
  <c r="U1112" i="1" s="1"/>
  <c r="Q1120" i="1"/>
  <c r="U1120" i="1" s="1"/>
  <c r="Q1128" i="1"/>
  <c r="U1128" i="1" s="1"/>
  <c r="Q1136" i="1"/>
  <c r="U1136" i="1" s="1"/>
  <c r="Q1160" i="1"/>
  <c r="U1160" i="1" s="1"/>
  <c r="Q1168" i="1"/>
  <c r="U1168" i="1" s="1"/>
  <c r="Q1176" i="1"/>
  <c r="U1176" i="1" s="1"/>
  <c r="Q1183" i="1"/>
  <c r="U1183" i="1" s="1"/>
  <c r="Q1199" i="1"/>
  <c r="U1199" i="1" s="1"/>
  <c r="Q1207" i="1"/>
  <c r="U1207" i="1" s="1"/>
  <c r="Q1215" i="1"/>
  <c r="U1215" i="1" s="1"/>
  <c r="Q1224" i="1"/>
  <c r="U1224" i="1" s="1"/>
  <c r="Q1232" i="1"/>
  <c r="U1232" i="1" s="1"/>
  <c r="Q1240" i="1"/>
  <c r="U1240" i="1" s="1"/>
  <c r="Q1248" i="1"/>
  <c r="U1248" i="1" s="1"/>
  <c r="Q1256" i="1"/>
  <c r="U1256" i="1" s="1"/>
  <c r="Q1264" i="1"/>
  <c r="U1264" i="1" s="1"/>
  <c r="Q1272" i="1"/>
  <c r="U1272" i="1" s="1"/>
  <c r="Q1280" i="1"/>
  <c r="U1280" i="1" s="1"/>
  <c r="Q1288" i="1"/>
  <c r="U1288" i="1" s="1"/>
  <c r="Q1296" i="1"/>
  <c r="U1296" i="1" s="1"/>
  <c r="Q1304" i="1"/>
  <c r="U1304" i="1" s="1"/>
  <c r="Q1320" i="1"/>
  <c r="U1320" i="1" s="1"/>
  <c r="Q1328" i="1"/>
  <c r="U1328" i="1" s="1"/>
  <c r="Q1336" i="1"/>
  <c r="U1336" i="1" s="1"/>
  <c r="Q1344" i="1"/>
  <c r="U1344" i="1" s="1"/>
  <c r="Q1352" i="1"/>
  <c r="U1352" i="1" s="1"/>
  <c r="Q1360" i="1"/>
  <c r="U1360" i="1" s="1"/>
  <c r="Q1368" i="1"/>
  <c r="U1368" i="1" s="1"/>
  <c r="Q1376" i="1"/>
  <c r="U1376" i="1" s="1"/>
  <c r="Q1384" i="1"/>
  <c r="U1384" i="1" s="1"/>
  <c r="Q1392" i="1"/>
  <c r="U1392" i="1" s="1"/>
  <c r="Q1400" i="1"/>
  <c r="U1400" i="1" s="1"/>
  <c r="Q1408" i="1"/>
  <c r="U1408" i="1" s="1"/>
  <c r="Q1416" i="1"/>
  <c r="U1416" i="1" s="1"/>
  <c r="Q1424" i="1"/>
  <c r="U1424" i="1" s="1"/>
  <c r="Q1432" i="1"/>
  <c r="U1432" i="1" s="1"/>
  <c r="Q1440" i="1"/>
  <c r="U1440" i="1" s="1"/>
  <c r="Q1448" i="1"/>
  <c r="U1448" i="1" s="1"/>
  <c r="Q1456" i="1"/>
  <c r="U1456" i="1" s="1"/>
  <c r="Q1464" i="1"/>
  <c r="U1464" i="1" s="1"/>
  <c r="Q1472" i="1"/>
  <c r="U1472" i="1" s="1"/>
  <c r="Q1480" i="1"/>
  <c r="U1480" i="1" s="1"/>
  <c r="Q1488" i="1"/>
  <c r="U1488" i="1" s="1"/>
  <c r="Q1496" i="1"/>
  <c r="U1496" i="1" s="1"/>
  <c r="Q1504" i="1"/>
  <c r="U1504" i="1" s="1"/>
  <c r="Q1512" i="1"/>
  <c r="U1512" i="1" s="1"/>
  <c r="Q629" i="1"/>
  <c r="U629" i="1" s="1"/>
  <c r="Q1528" i="1"/>
  <c r="U1528" i="1" s="1"/>
  <c r="Q1536" i="1"/>
  <c r="U1536" i="1" s="1"/>
  <c r="Q1544" i="1"/>
  <c r="U1544" i="1" s="1"/>
  <c r="Q1552" i="1"/>
  <c r="U1552" i="1" s="1"/>
  <c r="Q1560" i="1"/>
  <c r="U1560" i="1" s="1"/>
  <c r="Q1568" i="1"/>
  <c r="U1568" i="1" s="1"/>
  <c r="Q1576" i="1"/>
  <c r="U1576" i="1" s="1"/>
  <c r="Q1584" i="1"/>
  <c r="U1584" i="1" s="1"/>
  <c r="Q1592" i="1"/>
  <c r="U1592" i="1" s="1"/>
  <c r="Q1600" i="1"/>
  <c r="U1600" i="1" s="1"/>
  <c r="Q1608" i="1"/>
  <c r="U1608" i="1" s="1"/>
  <c r="Q392" i="1"/>
  <c r="U392" i="1" s="1"/>
  <c r="Q400" i="1"/>
  <c r="U400" i="1" s="1"/>
  <c r="Q408" i="1"/>
  <c r="U408" i="1" s="1"/>
  <c r="Q416" i="1"/>
  <c r="U416" i="1" s="1"/>
  <c r="Q1191" i="1"/>
  <c r="U1191" i="1" s="1"/>
  <c r="Q1312" i="1"/>
  <c r="U1312" i="1" s="1"/>
  <c r="Q48" i="1"/>
  <c r="U48" i="1" s="1"/>
  <c r="Q56" i="1"/>
  <c r="U56" i="1" s="1"/>
  <c r="Q64" i="1"/>
  <c r="U64" i="1" s="1"/>
  <c r="Q72" i="1"/>
  <c r="U72" i="1" s="1"/>
  <c r="Q80" i="1"/>
  <c r="U80" i="1" s="1"/>
  <c r="Q668" i="1"/>
  <c r="U668" i="1" s="1"/>
  <c r="Q96" i="1"/>
  <c r="U96" i="1" s="1"/>
  <c r="Q104" i="1"/>
  <c r="U104" i="1" s="1"/>
  <c r="Q112" i="1"/>
  <c r="U112" i="1" s="1"/>
  <c r="Q120" i="1"/>
  <c r="U120" i="1" s="1"/>
  <c r="Q662" i="1"/>
  <c r="U662" i="1" s="1"/>
  <c r="Q152" i="1"/>
  <c r="U152" i="1" s="1"/>
  <c r="Q160" i="1"/>
  <c r="U160" i="1" s="1"/>
  <c r="Q176" i="1"/>
  <c r="U176" i="1" s="1"/>
  <c r="Q992" i="1"/>
  <c r="U992" i="1" s="1"/>
  <c r="Q1144" i="1"/>
  <c r="U1144" i="1" s="1"/>
  <c r="Q1152" i="1"/>
  <c r="U1152" i="1" s="1"/>
  <c r="Q1616" i="1"/>
  <c r="U1616" i="1" s="1"/>
  <c r="Q1624" i="1"/>
  <c r="U1624" i="1" s="1"/>
  <c r="Q7" i="1"/>
  <c r="U7" i="1" s="1"/>
  <c r="Q12" i="1"/>
  <c r="U12" i="1" s="1"/>
  <c r="Q17" i="1"/>
  <c r="U17" i="1" s="1"/>
  <c r="Q25" i="1"/>
  <c r="U25" i="1" s="1"/>
  <c r="Q41" i="1"/>
  <c r="U41" i="1" s="1"/>
  <c r="Q49" i="1"/>
  <c r="U49" i="1" s="1"/>
  <c r="Q57" i="1"/>
  <c r="U57" i="1" s="1"/>
  <c r="Q81" i="1"/>
  <c r="U81" i="1" s="1"/>
  <c r="Q89" i="1"/>
  <c r="U89" i="1" s="1"/>
  <c r="Q97" i="1"/>
  <c r="U97" i="1" s="1"/>
  <c r="Q105" i="1"/>
  <c r="U105" i="1" s="1"/>
  <c r="Q185" i="1"/>
  <c r="U185" i="1" s="1"/>
  <c r="Q193" i="1"/>
  <c r="U193" i="1" s="1"/>
  <c r="Q201" i="1"/>
  <c r="U201" i="1" s="1"/>
  <c r="Q209" i="1"/>
  <c r="U209" i="1" s="1"/>
  <c r="Q217" i="1"/>
  <c r="U217" i="1" s="1"/>
  <c r="Q225" i="1"/>
  <c r="U225" i="1" s="1"/>
  <c r="Q233" i="1"/>
  <c r="U233" i="1" s="1"/>
  <c r="Q1001" i="1"/>
  <c r="U1001" i="1" s="1"/>
  <c r="Q1009" i="1"/>
  <c r="U1009" i="1" s="1"/>
  <c r="Q1017" i="1"/>
  <c r="U1017" i="1" s="1"/>
  <c r="Q839" i="1"/>
  <c r="U839" i="1" s="1"/>
  <c r="Q113" i="1"/>
  <c r="U113" i="1" s="1"/>
  <c r="Q121" i="1"/>
  <c r="U121" i="1" s="1"/>
  <c r="Q129" i="1"/>
  <c r="U129" i="1" s="1"/>
  <c r="Q137" i="1"/>
  <c r="U137" i="1" s="1"/>
  <c r="Q145" i="1"/>
  <c r="U145" i="1" s="1"/>
  <c r="Q153" i="1"/>
  <c r="U153" i="1" s="1"/>
  <c r="Q161" i="1"/>
  <c r="U161" i="1" s="1"/>
  <c r="Q669" i="1"/>
  <c r="U669" i="1" s="1"/>
  <c r="Q177" i="1"/>
  <c r="U177" i="1" s="1"/>
  <c r="Q241" i="1"/>
  <c r="U241" i="1" s="1"/>
  <c r="Q249" i="1"/>
  <c r="U249" i="1" s="1"/>
  <c r="Q257" i="1"/>
  <c r="U257" i="1" s="1"/>
  <c r="Q305" i="1"/>
  <c r="U305" i="1" s="1"/>
  <c r="Q313" i="1"/>
  <c r="U313" i="1" s="1"/>
  <c r="Q321" i="1"/>
  <c r="U321" i="1" s="1"/>
  <c r="Q329" i="1"/>
  <c r="U329" i="1" s="1"/>
  <c r="Q337" i="1"/>
  <c r="U337" i="1" s="1"/>
  <c r="Q670" i="1"/>
  <c r="U670" i="1" s="1"/>
  <c r="Q780" i="1"/>
  <c r="U780" i="1" s="1"/>
  <c r="Q833" i="1"/>
  <c r="U833" i="1" s="1"/>
  <c r="Q369" i="1"/>
  <c r="U369" i="1" s="1"/>
  <c r="Q377" i="1"/>
  <c r="U377" i="1" s="1"/>
  <c r="Q385" i="1"/>
  <c r="U385" i="1" s="1"/>
  <c r="Q433" i="1"/>
  <c r="U433" i="1" s="1"/>
  <c r="Q441" i="1"/>
  <c r="U441" i="1" s="1"/>
  <c r="Q449" i="1"/>
  <c r="U449" i="1" s="1"/>
  <c r="Q457" i="1"/>
  <c r="U457" i="1" s="1"/>
  <c r="Q465" i="1"/>
  <c r="U465" i="1" s="1"/>
  <c r="Q473" i="1"/>
  <c r="U473" i="1" s="1"/>
  <c r="Q481" i="1"/>
  <c r="U481" i="1" s="1"/>
  <c r="Q489" i="1"/>
  <c r="U489" i="1" s="1"/>
  <c r="Q497" i="1"/>
  <c r="U497" i="1" s="1"/>
  <c r="Q505" i="1"/>
  <c r="U505" i="1" s="1"/>
  <c r="Q513" i="1"/>
  <c r="U513" i="1" s="1"/>
  <c r="Q521" i="1"/>
  <c r="U521" i="1" s="1"/>
  <c r="Q529" i="1"/>
  <c r="U529" i="1" s="1"/>
  <c r="Q537" i="1"/>
  <c r="U537" i="1" s="1"/>
  <c r="Q545" i="1"/>
  <c r="U545" i="1" s="1"/>
  <c r="Q553" i="1"/>
  <c r="U553" i="1" s="1"/>
  <c r="Q561" i="1"/>
  <c r="U561" i="1" s="1"/>
  <c r="Q569" i="1"/>
  <c r="U569" i="1" s="1"/>
  <c r="Q577" i="1"/>
  <c r="U577" i="1" s="1"/>
  <c r="Q585" i="1"/>
  <c r="U585" i="1" s="1"/>
  <c r="Q593" i="1"/>
  <c r="U593" i="1" s="1"/>
  <c r="Q601" i="1"/>
  <c r="U601" i="1" s="1"/>
  <c r="Q609" i="1"/>
  <c r="U609" i="1" s="1"/>
  <c r="Q617" i="1"/>
  <c r="U617" i="1" s="1"/>
  <c r="Q644" i="1"/>
  <c r="U644" i="1" s="1"/>
  <c r="Q641" i="1"/>
  <c r="U641" i="1" s="1"/>
  <c r="Q53" i="1"/>
  <c r="U53" i="1" s="1"/>
  <c r="Q169" i="1"/>
  <c r="U169" i="1" s="1"/>
  <c r="Q348" i="1"/>
  <c r="U348" i="1" s="1"/>
  <c r="Q679" i="1"/>
  <c r="U679" i="1" s="1"/>
  <c r="Q687" i="1"/>
  <c r="U687" i="1" s="1"/>
  <c r="Q695" i="1"/>
  <c r="U695" i="1" s="1"/>
  <c r="Q733" i="1"/>
  <c r="U733" i="1" s="1"/>
  <c r="Q705" i="1"/>
  <c r="U705" i="1" s="1"/>
  <c r="Q713" i="1"/>
  <c r="U713" i="1" s="1"/>
  <c r="Q721" i="1"/>
  <c r="U721" i="1" s="1"/>
  <c r="Q769" i="1"/>
  <c r="U769" i="1" s="1"/>
  <c r="Q431" i="1"/>
  <c r="U431" i="1" s="1"/>
  <c r="Q447" i="1"/>
  <c r="U447" i="1" s="1"/>
  <c r="Q463" i="1"/>
  <c r="U463" i="1" s="1"/>
  <c r="Q471" i="1"/>
  <c r="U471" i="1" s="1"/>
  <c r="Q479" i="1"/>
  <c r="U479" i="1" s="1"/>
  <c r="Q836" i="1"/>
  <c r="U836" i="1" s="1"/>
  <c r="Q495" i="1"/>
  <c r="U495" i="1" s="1"/>
  <c r="Q503" i="1"/>
  <c r="U503" i="1" s="1"/>
  <c r="Q511" i="1"/>
  <c r="U511" i="1" s="1"/>
  <c r="Q519" i="1"/>
  <c r="U519" i="1" s="1"/>
  <c r="Q527" i="1"/>
  <c r="U527" i="1" s="1"/>
  <c r="Q535" i="1"/>
  <c r="U535" i="1" s="1"/>
  <c r="Q543" i="1"/>
  <c r="U543" i="1" s="1"/>
  <c r="Q551" i="1"/>
  <c r="U551" i="1" s="1"/>
  <c r="Q559" i="1"/>
  <c r="U559" i="1" s="1"/>
  <c r="Q567" i="1"/>
  <c r="U567" i="1" s="1"/>
  <c r="Q575" i="1"/>
  <c r="U575" i="1" s="1"/>
  <c r="Q583" i="1"/>
  <c r="U583" i="1" s="1"/>
  <c r="Q591" i="1"/>
  <c r="U591" i="1" s="1"/>
  <c r="Q599" i="1"/>
  <c r="U599" i="1" s="1"/>
  <c r="Q607" i="1"/>
  <c r="U607" i="1" s="1"/>
  <c r="Q615" i="1"/>
  <c r="U615" i="1" s="1"/>
  <c r="Q634" i="1"/>
  <c r="U634" i="1" s="1"/>
  <c r="Q650" i="1"/>
  <c r="U650" i="1" s="1"/>
  <c r="Q639" i="1"/>
  <c r="U639" i="1" s="1"/>
  <c r="Q38" i="1"/>
  <c r="U38" i="1" s="1"/>
  <c r="Q88" i="1"/>
  <c r="U88" i="1" s="1"/>
  <c r="Q346" i="1"/>
  <c r="U346" i="1" s="1"/>
  <c r="Q677" i="1"/>
  <c r="U677" i="1" s="1"/>
  <c r="Q685" i="1"/>
  <c r="U685" i="1" s="1"/>
  <c r="Q693" i="1"/>
  <c r="U693" i="1" s="1"/>
  <c r="Q700" i="1"/>
  <c r="U700" i="1" s="1"/>
  <c r="Q703" i="1"/>
  <c r="U703" i="1" s="1"/>
  <c r="Q711" i="1"/>
  <c r="U711" i="1" s="1"/>
  <c r="Q719" i="1"/>
  <c r="U719" i="1" s="1"/>
  <c r="Q727" i="1"/>
  <c r="U727" i="1" s="1"/>
  <c r="Q735" i="1"/>
  <c r="U735" i="1" s="1"/>
  <c r="Q355" i="1"/>
  <c r="U355" i="1" s="1"/>
  <c r="Q751" i="1"/>
  <c r="U751" i="1" s="1"/>
  <c r="Q759" i="1"/>
  <c r="U759" i="1" s="1"/>
  <c r="Q767" i="1"/>
  <c r="U767" i="1" s="1"/>
  <c r="Q775" i="1"/>
  <c r="U775" i="1" s="1"/>
  <c r="Q603" i="1"/>
  <c r="U603" i="1" s="1"/>
  <c r="Q803" i="1"/>
  <c r="U803" i="1" s="1"/>
  <c r="Q811" i="1"/>
  <c r="U811" i="1" s="1"/>
  <c r="Q819" i="1"/>
  <c r="U819" i="1" s="1"/>
  <c r="Q827" i="1"/>
  <c r="U827" i="1" s="1"/>
  <c r="Q841" i="1"/>
  <c r="U841" i="1" s="1"/>
  <c r="Q849" i="1"/>
  <c r="U849" i="1" s="1"/>
  <c r="Q783" i="1"/>
  <c r="U783" i="1" s="1"/>
  <c r="Q791" i="1"/>
  <c r="U791" i="1" s="1"/>
  <c r="Q799" i="1"/>
  <c r="U799" i="1" s="1"/>
  <c r="Q807" i="1"/>
  <c r="U807" i="1" s="1"/>
  <c r="Q815" i="1"/>
  <c r="U815" i="1" s="1"/>
  <c r="Q823" i="1"/>
  <c r="U823" i="1" s="1"/>
  <c r="Q837" i="1"/>
  <c r="U837" i="1" s="1"/>
  <c r="Q845" i="1"/>
  <c r="U845" i="1" s="1"/>
  <c r="Q853" i="1"/>
  <c r="U853" i="1" s="1"/>
  <c r="Q861" i="1"/>
  <c r="U861" i="1" s="1"/>
  <c r="Q885" i="1"/>
  <c r="U885" i="1" s="1"/>
  <c r="Q871" i="1"/>
  <c r="U871" i="1" s="1"/>
  <c r="Q879" i="1"/>
  <c r="U879" i="1" s="1"/>
  <c r="Q625" i="1"/>
  <c r="U625" i="1" s="1"/>
  <c r="Q895" i="1"/>
  <c r="U895" i="1" s="1"/>
  <c r="Q903" i="1"/>
  <c r="U903" i="1" s="1"/>
  <c r="Q911" i="1"/>
  <c r="U911" i="1" s="1"/>
  <c r="Q919" i="1"/>
  <c r="U919" i="1" s="1"/>
  <c r="Q927" i="1"/>
  <c r="U927" i="1" s="1"/>
  <c r="Q935" i="1"/>
  <c r="U935" i="1" s="1"/>
  <c r="Q942" i="1"/>
  <c r="U942" i="1" s="1"/>
  <c r="Q950" i="1"/>
  <c r="U950" i="1" s="1"/>
  <c r="Q958" i="1"/>
  <c r="U958" i="1" s="1"/>
  <c r="Q966" i="1"/>
  <c r="U966" i="1" s="1"/>
  <c r="Q974" i="1"/>
  <c r="U974" i="1" s="1"/>
  <c r="Q982" i="1"/>
  <c r="U982" i="1" s="1"/>
  <c r="Q991" i="1"/>
  <c r="U991" i="1" s="1"/>
  <c r="Q999" i="1"/>
  <c r="U999" i="1" s="1"/>
  <c r="Q1007" i="1"/>
  <c r="U1007" i="1" s="1"/>
  <c r="Q1015" i="1"/>
  <c r="U1015" i="1" s="1"/>
  <c r="Q1023" i="1"/>
  <c r="U1023" i="1" s="1"/>
  <c r="Q1031" i="1"/>
  <c r="U1031" i="1" s="1"/>
  <c r="Q1039" i="1"/>
  <c r="U1039" i="1" s="1"/>
  <c r="Q1055" i="1"/>
  <c r="U1055" i="1" s="1"/>
  <c r="Q1063" i="1"/>
  <c r="U1063" i="1" s="1"/>
  <c r="Q1071" i="1"/>
  <c r="U1071" i="1" s="1"/>
  <c r="Q1079" i="1"/>
  <c r="U1079" i="1" s="1"/>
  <c r="Q1087" i="1"/>
  <c r="U1087" i="1" s="1"/>
  <c r="Q1095" i="1"/>
  <c r="U1095" i="1" s="1"/>
  <c r="Q1103" i="1"/>
  <c r="U1103" i="1" s="1"/>
  <c r="Q1119" i="1"/>
  <c r="U1119" i="1" s="1"/>
  <c r="Q1143" i="1"/>
  <c r="U1143" i="1" s="1"/>
  <c r="Q1151" i="1"/>
  <c r="U1151" i="1" s="1"/>
  <c r="Q1159" i="1"/>
  <c r="U1159" i="1" s="1"/>
  <c r="Q1167" i="1"/>
  <c r="U1167" i="1" s="1"/>
  <c r="Q1175" i="1"/>
  <c r="U1175" i="1" s="1"/>
  <c r="Q1182" i="1"/>
  <c r="U1182" i="1" s="1"/>
  <c r="Q1190" i="1"/>
  <c r="U1190" i="1" s="1"/>
  <c r="Q1198" i="1"/>
  <c r="U1198" i="1" s="1"/>
  <c r="Q1206" i="1"/>
  <c r="U1206" i="1" s="1"/>
  <c r="Q1214" i="1"/>
  <c r="U1214" i="1" s="1"/>
  <c r="Q1223" i="1"/>
  <c r="U1223" i="1" s="1"/>
  <c r="Q1231" i="1"/>
  <c r="U1231" i="1" s="1"/>
  <c r="Q1239" i="1"/>
  <c r="U1239" i="1" s="1"/>
  <c r="Q1247" i="1"/>
  <c r="U1247" i="1" s="1"/>
  <c r="Q1255" i="1"/>
  <c r="U1255" i="1" s="1"/>
  <c r="Q1263" i="1"/>
  <c r="U1263" i="1" s="1"/>
  <c r="Q1271" i="1"/>
  <c r="U1271" i="1" s="1"/>
  <c r="Q1279" i="1"/>
  <c r="U1279" i="1" s="1"/>
  <c r="Q1287" i="1"/>
  <c r="U1287" i="1" s="1"/>
  <c r="Q1295" i="1"/>
  <c r="U1295" i="1" s="1"/>
  <c r="Q1303" i="1"/>
  <c r="U1303" i="1" s="1"/>
  <c r="Q1311" i="1"/>
  <c r="U1311" i="1" s="1"/>
  <c r="Q1319" i="1"/>
  <c r="U1319" i="1" s="1"/>
  <c r="Q1327" i="1"/>
  <c r="U1327" i="1" s="1"/>
  <c r="Q1343" i="1"/>
  <c r="U1343" i="1" s="1"/>
  <c r="Q1351" i="1"/>
  <c r="U1351" i="1" s="1"/>
  <c r="Q1359" i="1"/>
  <c r="U1359" i="1" s="1"/>
  <c r="Q1367" i="1"/>
  <c r="U1367" i="1" s="1"/>
  <c r="Q1375" i="1"/>
  <c r="U1375" i="1" s="1"/>
  <c r="Q1391" i="1"/>
  <c r="U1391" i="1" s="1"/>
  <c r="Q1399" i="1"/>
  <c r="U1399" i="1" s="1"/>
  <c r="Q1415" i="1"/>
  <c r="U1415" i="1" s="1"/>
  <c r="Q1423" i="1"/>
  <c r="U1423" i="1" s="1"/>
  <c r="Q1431" i="1"/>
  <c r="U1431" i="1" s="1"/>
  <c r="Q1439" i="1"/>
  <c r="U1439" i="1" s="1"/>
  <c r="Q1447" i="1"/>
  <c r="U1447" i="1" s="1"/>
  <c r="Q1455" i="1"/>
  <c r="U1455" i="1" s="1"/>
  <c r="Q1463" i="1"/>
  <c r="U1463" i="1" s="1"/>
  <c r="Q1471" i="1"/>
  <c r="U1471" i="1" s="1"/>
  <c r="Q1479" i="1"/>
  <c r="U1479" i="1" s="1"/>
  <c r="Q1487" i="1"/>
  <c r="U1487" i="1" s="1"/>
  <c r="Q1503" i="1"/>
  <c r="U1503" i="1" s="1"/>
  <c r="Q1615" i="1"/>
  <c r="U1615" i="1" s="1"/>
  <c r="Q1623" i="1"/>
  <c r="U1623" i="1" s="1"/>
  <c r="Q331" i="1"/>
  <c r="U331" i="1" s="1"/>
  <c r="Q857" i="1"/>
  <c r="U857" i="1" s="1"/>
  <c r="Q865" i="1"/>
  <c r="U865" i="1" s="1"/>
  <c r="Q867" i="1"/>
  <c r="U867" i="1" s="1"/>
  <c r="Q875" i="1"/>
  <c r="U875" i="1" s="1"/>
  <c r="Q623" i="1"/>
  <c r="U623" i="1" s="1"/>
  <c r="Q891" i="1"/>
  <c r="U891" i="1" s="1"/>
  <c r="Q899" i="1"/>
  <c r="U899" i="1" s="1"/>
  <c r="Q907" i="1"/>
  <c r="U907" i="1" s="1"/>
  <c r="Q915" i="1"/>
  <c r="U915" i="1" s="1"/>
  <c r="Q923" i="1"/>
  <c r="U923" i="1" s="1"/>
  <c r="Q931" i="1"/>
  <c r="U931" i="1" s="1"/>
  <c r="Q939" i="1"/>
  <c r="U939" i="1" s="1"/>
  <c r="Q946" i="1"/>
  <c r="U946" i="1" s="1"/>
  <c r="Q954" i="1"/>
  <c r="U954" i="1" s="1"/>
  <c r="Q962" i="1"/>
  <c r="U962" i="1" s="1"/>
  <c r="Q970" i="1"/>
  <c r="U970" i="1" s="1"/>
  <c r="Q978" i="1"/>
  <c r="U978" i="1" s="1"/>
  <c r="Q986" i="1"/>
  <c r="U986" i="1" s="1"/>
  <c r="Q995" i="1"/>
  <c r="U995" i="1" s="1"/>
  <c r="Q1003" i="1"/>
  <c r="U1003" i="1" s="1"/>
  <c r="Q1011" i="1"/>
  <c r="U1011" i="1" s="1"/>
  <c r="Q1019" i="1"/>
  <c r="U1019" i="1" s="1"/>
  <c r="Q1027" i="1"/>
  <c r="U1027" i="1" s="1"/>
  <c r="Q1035" i="1"/>
  <c r="U1035" i="1" s="1"/>
  <c r="Q1043" i="1"/>
  <c r="U1043" i="1" s="1"/>
  <c r="Q1051" i="1"/>
  <c r="U1051" i="1" s="1"/>
  <c r="Q1059" i="1"/>
  <c r="U1059" i="1" s="1"/>
  <c r="Q1067" i="1"/>
  <c r="U1067" i="1" s="1"/>
  <c r="Q1075" i="1"/>
  <c r="U1075" i="1" s="1"/>
  <c r="Q1083" i="1"/>
  <c r="U1083" i="1" s="1"/>
  <c r="Q1091" i="1"/>
  <c r="U1091" i="1" s="1"/>
  <c r="Q1099" i="1"/>
  <c r="U1099" i="1" s="1"/>
  <c r="Q1107" i="1"/>
  <c r="U1107" i="1" s="1"/>
  <c r="Q1115" i="1"/>
  <c r="U1115" i="1" s="1"/>
  <c r="Q1123" i="1"/>
  <c r="U1123" i="1" s="1"/>
  <c r="Q1131" i="1"/>
  <c r="U1131" i="1" s="1"/>
  <c r="Q1139" i="1"/>
  <c r="U1139" i="1" s="1"/>
  <c r="Q1147" i="1"/>
  <c r="U1147" i="1" s="1"/>
  <c r="Q1155" i="1"/>
  <c r="U1155" i="1" s="1"/>
  <c r="Q1163" i="1"/>
  <c r="U1163" i="1" s="1"/>
  <c r="Q1171" i="1"/>
  <c r="U1171" i="1" s="1"/>
  <c r="Q1179" i="1"/>
  <c r="U1179" i="1" s="1"/>
  <c r="Q1186" i="1"/>
  <c r="U1186" i="1" s="1"/>
  <c r="Q1194" i="1"/>
  <c r="U1194" i="1" s="1"/>
  <c r="Q1202" i="1"/>
  <c r="U1202" i="1" s="1"/>
  <c r="Q1210" i="1"/>
  <c r="U1210" i="1" s="1"/>
  <c r="Q1219" i="1"/>
  <c r="U1219" i="1" s="1"/>
  <c r="Q1227" i="1"/>
  <c r="U1227" i="1" s="1"/>
  <c r="Q1235" i="1"/>
  <c r="U1235" i="1" s="1"/>
  <c r="Q1243" i="1"/>
  <c r="U1243" i="1" s="1"/>
  <c r="Q1251" i="1"/>
  <c r="U1251" i="1" s="1"/>
  <c r="Q1259" i="1"/>
  <c r="U1259" i="1" s="1"/>
  <c r="Q1267" i="1"/>
  <c r="U1267" i="1" s="1"/>
  <c r="Q1275" i="1"/>
  <c r="U1275" i="1" s="1"/>
  <c r="Q1283" i="1"/>
  <c r="U1283" i="1" s="1"/>
  <c r="Q1291" i="1"/>
  <c r="U1291" i="1" s="1"/>
  <c r="Q1299" i="1"/>
  <c r="U1299" i="1" s="1"/>
  <c r="Q1307" i="1"/>
  <c r="U1307" i="1" s="1"/>
  <c r="Q1315" i="1"/>
  <c r="U1315" i="1" s="1"/>
  <c r="Q1323" i="1"/>
  <c r="U1323" i="1" s="1"/>
  <c r="Q1331" i="1"/>
  <c r="U1331" i="1" s="1"/>
  <c r="Q1339" i="1"/>
  <c r="U1339" i="1" s="1"/>
  <c r="Q1347" i="1"/>
  <c r="U1347" i="1" s="1"/>
  <c r="Q1355" i="1"/>
  <c r="U1355" i="1" s="1"/>
  <c r="Q1363" i="1"/>
  <c r="U1363" i="1" s="1"/>
  <c r="Q1371" i="1"/>
  <c r="U1371" i="1" s="1"/>
  <c r="Q1379" i="1"/>
  <c r="U1379" i="1" s="1"/>
  <c r="Q1387" i="1"/>
  <c r="U1387" i="1" s="1"/>
  <c r="Q1395" i="1"/>
  <c r="U1395" i="1" s="1"/>
  <c r="Q1403" i="1"/>
  <c r="U1403" i="1" s="1"/>
  <c r="Q1411" i="1"/>
  <c r="U1411" i="1" s="1"/>
  <c r="Q1419" i="1"/>
  <c r="U1419" i="1" s="1"/>
  <c r="Q1427" i="1"/>
  <c r="U1427" i="1" s="1"/>
  <c r="Q1435" i="1"/>
  <c r="U1435" i="1" s="1"/>
  <c r="Q1443" i="1"/>
  <c r="U1443" i="1" s="1"/>
  <c r="Q1413" i="1"/>
  <c r="U1413" i="1" s="1"/>
  <c r="Q1421" i="1"/>
  <c r="U1421" i="1" s="1"/>
  <c r="Q1429" i="1"/>
  <c r="U1429" i="1" s="1"/>
  <c r="Q627" i="1"/>
  <c r="U627" i="1" s="1"/>
  <c r="Q1557" i="1"/>
  <c r="U1557" i="1" s="1"/>
  <c r="Q1565" i="1"/>
  <c r="U1565" i="1" s="1"/>
  <c r="Q1573" i="1"/>
  <c r="U1573" i="1" s="1"/>
  <c r="Q1629" i="1"/>
  <c r="U1629" i="1" s="1"/>
  <c r="Q10" i="1"/>
  <c r="U10" i="1" s="1"/>
  <c r="Q23" i="1"/>
  <c r="U23" i="1" s="1"/>
  <c r="Q31" i="1"/>
  <c r="U31" i="1" s="1"/>
  <c r="Q768" i="1"/>
  <c r="U768" i="1" s="1"/>
  <c r="Q47" i="1"/>
  <c r="U47" i="1" s="1"/>
  <c r="Q666" i="1"/>
  <c r="U666" i="1" s="1"/>
  <c r="Q63" i="1"/>
  <c r="U63" i="1" s="1"/>
  <c r="Q71" i="1"/>
  <c r="U71" i="1" s="1"/>
  <c r="Q79" i="1"/>
  <c r="U79" i="1" s="1"/>
  <c r="Q87" i="1"/>
  <c r="U87" i="1" s="1"/>
  <c r="Q1047" i="1"/>
  <c r="U1047" i="1" s="1"/>
  <c r="Q1111" i="1"/>
  <c r="U1111" i="1" s="1"/>
  <c r="Q1127" i="1"/>
  <c r="U1127" i="1" s="1"/>
  <c r="Q1135" i="1"/>
  <c r="U1135" i="1" s="1"/>
  <c r="Q5" i="1"/>
  <c r="U5" i="1" s="1"/>
  <c r="Q1046" i="1"/>
  <c r="U1046" i="1" s="1"/>
  <c r="Q1054" i="1"/>
  <c r="U1054" i="1" s="1"/>
  <c r="Q1062" i="1"/>
  <c r="U1062" i="1" s="1"/>
  <c r="Q1070" i="1"/>
  <c r="U1070" i="1" s="1"/>
  <c r="Q1078" i="1"/>
  <c r="U1078" i="1" s="1"/>
  <c r="Q1086" i="1"/>
  <c r="U1086" i="1" s="1"/>
  <c r="Q1094" i="1"/>
  <c r="U1094" i="1" s="1"/>
  <c r="Q1102" i="1"/>
  <c r="U1102" i="1" s="1"/>
  <c r="Q1110" i="1"/>
  <c r="U1110" i="1" s="1"/>
  <c r="Q1118" i="1"/>
  <c r="U1118" i="1" s="1"/>
  <c r="Q1126" i="1"/>
  <c r="U1126" i="1" s="1"/>
  <c r="Q1134" i="1"/>
  <c r="U1134" i="1" s="1"/>
  <c r="Q1142" i="1"/>
  <c r="U1142" i="1" s="1"/>
  <c r="Q1150" i="1"/>
  <c r="U1150" i="1" s="1"/>
  <c r="Q1158" i="1"/>
  <c r="U1158" i="1" s="1"/>
  <c r="Q1166" i="1"/>
  <c r="U1166" i="1" s="1"/>
  <c r="Q1174" i="1"/>
  <c r="U1174" i="1" s="1"/>
  <c r="Q628" i="1"/>
  <c r="U628" i="1" s="1"/>
  <c r="Q1526" i="1"/>
  <c r="U1526" i="1" s="1"/>
  <c r="Q1534" i="1"/>
  <c r="U1534" i="1" s="1"/>
  <c r="Q1542" i="1"/>
  <c r="U1542" i="1" s="1"/>
  <c r="Q1550" i="1"/>
  <c r="U1550" i="1" s="1"/>
  <c r="Q1558" i="1"/>
  <c r="U1558" i="1" s="1"/>
  <c r="Q1566" i="1"/>
  <c r="U1566" i="1" s="1"/>
  <c r="Q1574" i="1"/>
  <c r="U1574" i="1" s="1"/>
  <c r="Q1582" i="1"/>
  <c r="U1582" i="1" s="1"/>
  <c r="Q1590" i="1"/>
  <c r="U1590" i="1" s="1"/>
  <c r="Q1598" i="1"/>
  <c r="U1598" i="1" s="1"/>
  <c r="Q1606" i="1"/>
  <c r="U1606" i="1" s="1"/>
  <c r="Q1614" i="1"/>
  <c r="U1614" i="1" s="1"/>
  <c r="Q1622" i="1"/>
  <c r="U1622" i="1" s="1"/>
  <c r="Q1630" i="1"/>
  <c r="U1630" i="1" s="1"/>
  <c r="Q611" i="1"/>
  <c r="U611" i="1" s="1"/>
  <c r="Q619" i="1"/>
  <c r="U619" i="1" s="1"/>
  <c r="Q646" i="1"/>
  <c r="U646" i="1" s="1"/>
  <c r="Q654" i="1"/>
  <c r="U654" i="1" s="1"/>
  <c r="Q643" i="1"/>
  <c r="U643" i="1" s="1"/>
  <c r="Q55" i="1"/>
  <c r="U55" i="1" s="1"/>
  <c r="Q292" i="1"/>
  <c r="U292" i="1" s="1"/>
  <c r="Q350" i="1"/>
  <c r="U350" i="1" s="1"/>
  <c r="Q681" i="1"/>
  <c r="U681" i="1" s="1"/>
  <c r="Q689" i="1"/>
  <c r="U689" i="1" s="1"/>
  <c r="Q697" i="1"/>
  <c r="U697" i="1" s="1"/>
  <c r="Q744" i="1"/>
  <c r="U744" i="1" s="1"/>
  <c r="Q707" i="1"/>
  <c r="U707" i="1" s="1"/>
  <c r="Q715" i="1"/>
  <c r="U715" i="1" s="1"/>
  <c r="Q723" i="1"/>
  <c r="U723" i="1" s="1"/>
  <c r="Q731" i="1"/>
  <c r="U731" i="1" s="1"/>
  <c r="Q739" i="1"/>
  <c r="U739" i="1" s="1"/>
  <c r="Q747" i="1"/>
  <c r="U747" i="1" s="1"/>
  <c r="Q755" i="1"/>
  <c r="U755" i="1" s="1"/>
  <c r="Q763" i="1"/>
  <c r="U763" i="1" s="1"/>
  <c r="Q771" i="1"/>
  <c r="U771" i="1" s="1"/>
  <c r="Q362" i="1"/>
  <c r="U362" i="1" s="1"/>
  <c r="Q787" i="1"/>
  <c r="U787" i="1" s="1"/>
  <c r="Q795" i="1"/>
  <c r="U795" i="1" s="1"/>
  <c r="Q948" i="1"/>
  <c r="U948" i="1" s="1"/>
  <c r="Q956" i="1"/>
  <c r="U956" i="1" s="1"/>
  <c r="Q964" i="1"/>
  <c r="U964" i="1" s="1"/>
  <c r="Q980" i="1"/>
  <c r="U980" i="1" s="1"/>
  <c r="Q989" i="1"/>
  <c r="U989" i="1" s="1"/>
  <c r="Q997" i="1"/>
  <c r="U997" i="1" s="1"/>
  <c r="Q1005" i="1"/>
  <c r="U1005" i="1" s="1"/>
  <c r="Q1021" i="1"/>
  <c r="U1021" i="1" s="1"/>
  <c r="Q1029" i="1"/>
  <c r="U1029" i="1" s="1"/>
  <c r="Q1053" i="1"/>
  <c r="U1053" i="1" s="1"/>
  <c r="Q1061" i="1"/>
  <c r="U1061" i="1" s="1"/>
  <c r="Q1069" i="1"/>
  <c r="U1069" i="1" s="1"/>
  <c r="Q1093" i="1"/>
  <c r="U1093" i="1" s="1"/>
  <c r="Q1109" i="1"/>
  <c r="U1109" i="1" s="1"/>
  <c r="Q1117" i="1"/>
  <c r="U1117" i="1" s="1"/>
  <c r="Q1125" i="1"/>
  <c r="U1125" i="1" s="1"/>
  <c r="Q1141" i="1"/>
  <c r="U1141" i="1" s="1"/>
  <c r="Q1149" i="1"/>
  <c r="U1149" i="1" s="1"/>
  <c r="Q1157" i="1"/>
  <c r="U1157" i="1" s="1"/>
  <c r="Q1613" i="1"/>
  <c r="U1613" i="1" s="1"/>
  <c r="Q4" i="1"/>
  <c r="U4" i="1" s="1"/>
  <c r="Q9" i="1"/>
  <c r="U9" i="1" s="1"/>
  <c r="Q22" i="1"/>
  <c r="U22" i="1" s="1"/>
  <c r="Q30" i="1"/>
  <c r="U30" i="1" s="1"/>
  <c r="Q1450" i="1"/>
  <c r="U1450" i="1" s="1"/>
  <c r="Q46" i="1"/>
  <c r="U46" i="1" s="1"/>
  <c r="Q1452" i="1"/>
  <c r="U1452" i="1" s="1"/>
  <c r="Q62" i="1"/>
  <c r="U62" i="1" s="1"/>
  <c r="Q70" i="1"/>
  <c r="U70" i="1" s="1"/>
  <c r="Q374" i="1"/>
  <c r="U374" i="1" s="1"/>
  <c r="Q422" i="1"/>
  <c r="U422" i="1" s="1"/>
  <c r="Q446" i="1"/>
  <c r="U446" i="1" s="1"/>
  <c r="Q454" i="1"/>
  <c r="U454" i="1" s="1"/>
  <c r="Q462" i="1"/>
  <c r="U462" i="1" s="1"/>
  <c r="Q470" i="1"/>
  <c r="U470" i="1" s="1"/>
  <c r="Q486" i="1"/>
  <c r="U486" i="1" s="1"/>
  <c r="Q494" i="1"/>
  <c r="U494" i="1" s="1"/>
  <c r="Q502" i="1"/>
  <c r="U502" i="1" s="1"/>
  <c r="Q510" i="1"/>
  <c r="U510" i="1" s="1"/>
  <c r="Q518" i="1"/>
  <c r="U518" i="1" s="1"/>
  <c r="Q526" i="1"/>
  <c r="U526" i="1" s="1"/>
  <c r="Q534" i="1"/>
  <c r="U534" i="1" s="1"/>
  <c r="Q542" i="1"/>
  <c r="U542" i="1" s="1"/>
  <c r="Q550" i="1"/>
  <c r="U550" i="1" s="1"/>
  <c r="Q558" i="1"/>
  <c r="U558" i="1" s="1"/>
  <c r="Q566" i="1"/>
  <c r="U566" i="1" s="1"/>
  <c r="Q574" i="1"/>
  <c r="U574" i="1" s="1"/>
  <c r="Q582" i="1"/>
  <c r="U582" i="1" s="1"/>
  <c r="Q590" i="1"/>
  <c r="U590" i="1" s="1"/>
  <c r="Q598" i="1"/>
  <c r="U598" i="1" s="1"/>
  <c r="Q606" i="1"/>
  <c r="U606" i="1" s="1"/>
  <c r="Q633" i="1"/>
  <c r="U633" i="1" s="1"/>
  <c r="Q649" i="1"/>
  <c r="U649" i="1" s="1"/>
  <c r="Q37" i="1"/>
  <c r="U37" i="1" s="1"/>
  <c r="Q86" i="1"/>
  <c r="U86" i="1" s="1"/>
  <c r="Q345" i="1"/>
  <c r="U345" i="1" s="1"/>
  <c r="Q676" i="1"/>
  <c r="U676" i="1" s="1"/>
  <c r="Q684" i="1"/>
  <c r="U684" i="1" s="1"/>
  <c r="Q692" i="1"/>
  <c r="U692" i="1" s="1"/>
  <c r="Q655" i="1"/>
  <c r="U655" i="1" s="1"/>
  <c r="Q702" i="1"/>
  <c r="U702" i="1" s="1"/>
  <c r="Q710" i="1"/>
  <c r="U710" i="1" s="1"/>
  <c r="Q718" i="1"/>
  <c r="U718" i="1" s="1"/>
  <c r="Q726" i="1"/>
  <c r="U726" i="1" s="1"/>
  <c r="Q734" i="1"/>
  <c r="U734" i="1" s="1"/>
  <c r="Q742" i="1"/>
  <c r="U742" i="1" s="1"/>
  <c r="Q750" i="1"/>
  <c r="U750" i="1" s="1"/>
  <c r="Q758" i="1"/>
  <c r="U758" i="1" s="1"/>
  <c r="Q357" i="1"/>
  <c r="U357" i="1" s="1"/>
  <c r="Q774" i="1"/>
  <c r="U774" i="1" s="1"/>
  <c r="Q782" i="1"/>
  <c r="U782" i="1" s="1"/>
  <c r="Q790" i="1"/>
  <c r="U790" i="1" s="1"/>
  <c r="Q798" i="1"/>
  <c r="U798" i="1" s="1"/>
  <c r="Q806" i="1"/>
  <c r="U806" i="1" s="1"/>
  <c r="Q1037" i="1"/>
  <c r="U1037" i="1" s="1"/>
  <c r="Q1045" i="1"/>
  <c r="U1045" i="1" s="1"/>
  <c r="Q1165" i="1"/>
  <c r="U1165" i="1" s="1"/>
  <c r="Q1173" i="1"/>
  <c r="U1173" i="1" s="1"/>
  <c r="Q988" i="1"/>
  <c r="U988" i="1" s="1"/>
  <c r="Q1188" i="1"/>
  <c r="U1188" i="1" s="1"/>
  <c r="Q1196" i="1"/>
  <c r="U1196" i="1" s="1"/>
  <c r="Q1204" i="1"/>
  <c r="U1204" i="1" s="1"/>
  <c r="Q1212" i="1"/>
  <c r="U1212" i="1" s="1"/>
  <c r="Q1221" i="1"/>
  <c r="U1221" i="1" s="1"/>
  <c r="Q1229" i="1"/>
  <c r="U1229" i="1" s="1"/>
  <c r="Q1237" i="1"/>
  <c r="U1237" i="1" s="1"/>
  <c r="Q1245" i="1"/>
  <c r="U1245" i="1" s="1"/>
  <c r="Q1261" i="1"/>
  <c r="U1261" i="1" s="1"/>
  <c r="Q1269" i="1"/>
  <c r="U1269" i="1" s="1"/>
  <c r="Q1277" i="1"/>
  <c r="U1277" i="1" s="1"/>
  <c r="Q1285" i="1"/>
  <c r="U1285" i="1" s="1"/>
  <c r="Q1293" i="1"/>
  <c r="U1293" i="1" s="1"/>
  <c r="Q1301" i="1"/>
  <c r="U1301" i="1" s="1"/>
  <c r="Q1309" i="1"/>
  <c r="U1309" i="1" s="1"/>
  <c r="Q1317" i="1"/>
  <c r="U1317" i="1" s="1"/>
  <c r="Q1333" i="1"/>
  <c r="U1333" i="1" s="1"/>
  <c r="Q1349" i="1"/>
  <c r="U1349" i="1" s="1"/>
  <c r="Q1357" i="1"/>
  <c r="U1357" i="1" s="1"/>
  <c r="Q1365" i="1"/>
  <c r="U1365" i="1" s="1"/>
  <c r="Q1381" i="1"/>
  <c r="U1381" i="1" s="1"/>
  <c r="Q1389" i="1"/>
  <c r="U1389" i="1" s="1"/>
  <c r="Q1397" i="1"/>
  <c r="U1397" i="1" s="1"/>
  <c r="Q1437" i="1"/>
  <c r="U1437" i="1" s="1"/>
  <c r="Q1445" i="1"/>
  <c r="U1445" i="1" s="1"/>
  <c r="Q660" i="1"/>
  <c r="U660" i="1" s="1"/>
  <c r="Q1477" i="1"/>
  <c r="U1477" i="1" s="1"/>
  <c r="Q1485" i="1"/>
  <c r="U1485" i="1" s="1"/>
  <c r="Q1509" i="1"/>
  <c r="U1509" i="1" s="1"/>
  <c r="Q1533" i="1"/>
  <c r="U1533" i="1" s="1"/>
  <c r="Q1541" i="1"/>
  <c r="U1541" i="1" s="1"/>
  <c r="Q1519" i="1"/>
  <c r="U1519" i="1" s="1"/>
  <c r="Q1543" i="1"/>
  <c r="U1543" i="1" s="1"/>
  <c r="Q1551" i="1"/>
  <c r="U1551" i="1" s="1"/>
  <c r="Q1581" i="1"/>
  <c r="U1581" i="1" s="1"/>
  <c r="Q1589" i="1"/>
  <c r="U1589" i="1" s="1"/>
  <c r="Q1597" i="1"/>
  <c r="U1597" i="1" s="1"/>
  <c r="Q1605" i="1"/>
  <c r="U1605" i="1" s="1"/>
  <c r="Q1621" i="1"/>
  <c r="U1621" i="1" s="1"/>
  <c r="Q1025" i="1"/>
  <c r="U1025" i="1" s="1"/>
  <c r="Q1033" i="1"/>
  <c r="U1033" i="1" s="1"/>
  <c r="Q814" i="1"/>
  <c r="U814" i="1" s="1"/>
  <c r="Q822" i="1"/>
  <c r="U822" i="1" s="1"/>
  <c r="Q844" i="1"/>
  <c r="U844" i="1" s="1"/>
  <c r="Q852" i="1"/>
  <c r="U852" i="1" s="1"/>
  <c r="Q860" i="1"/>
  <c r="U860" i="1" s="1"/>
  <c r="Q883" i="1"/>
  <c r="U883" i="1" s="1"/>
  <c r="Q870" i="1"/>
  <c r="U870" i="1" s="1"/>
  <c r="Q878" i="1"/>
  <c r="U878" i="1" s="1"/>
  <c r="Q886" i="1"/>
  <c r="U886" i="1" s="1"/>
  <c r="Q894" i="1"/>
  <c r="U894" i="1" s="1"/>
  <c r="Q902" i="1"/>
  <c r="U902" i="1" s="1"/>
  <c r="Q910" i="1"/>
  <c r="U910" i="1" s="1"/>
  <c r="Q918" i="1"/>
  <c r="U918" i="1" s="1"/>
  <c r="Q926" i="1"/>
  <c r="U926" i="1" s="1"/>
  <c r="Q934" i="1"/>
  <c r="U934" i="1" s="1"/>
  <c r="Q887" i="1"/>
  <c r="U887" i="1" s="1"/>
  <c r="Q949" i="1"/>
  <c r="U949" i="1" s="1"/>
  <c r="Q957" i="1"/>
  <c r="U957" i="1" s="1"/>
  <c r="Q965" i="1"/>
  <c r="U965" i="1" s="1"/>
  <c r="Q973" i="1"/>
  <c r="U973" i="1" s="1"/>
  <c r="Q981" i="1"/>
  <c r="U981" i="1" s="1"/>
  <c r="Q990" i="1"/>
  <c r="U990" i="1" s="1"/>
  <c r="Q998" i="1"/>
  <c r="U998" i="1" s="1"/>
  <c r="Q1006" i="1"/>
  <c r="U1006" i="1" s="1"/>
  <c r="Q1014" i="1"/>
  <c r="U1014" i="1" s="1"/>
  <c r="Q1022" i="1"/>
  <c r="U1022" i="1" s="1"/>
  <c r="Q1217" i="1"/>
  <c r="U1217" i="1" s="1"/>
  <c r="Q65" i="1"/>
  <c r="U65" i="1" s="1"/>
  <c r="Q73" i="1"/>
  <c r="U73" i="1" s="1"/>
  <c r="Q265" i="1"/>
  <c r="U265" i="1" s="1"/>
  <c r="Q273" i="1"/>
  <c r="U273" i="1" s="1"/>
  <c r="Q729" i="1"/>
  <c r="U729" i="1" s="1"/>
  <c r="Q745" i="1"/>
  <c r="U745" i="1" s="1"/>
  <c r="Q761" i="1"/>
  <c r="U761" i="1" s="1"/>
  <c r="Q785" i="1"/>
  <c r="U785" i="1" s="1"/>
  <c r="Q1041" i="1"/>
  <c r="U1041" i="1" s="1"/>
  <c r="Q1049" i="1"/>
  <c r="U1049" i="1" s="1"/>
  <c r="Q1057" i="1"/>
  <c r="U1057" i="1" s="1"/>
  <c r="Q1065" i="1"/>
  <c r="U1065" i="1" s="1"/>
  <c r="Q1073" i="1"/>
  <c r="U1073" i="1" s="1"/>
  <c r="Q1081" i="1"/>
  <c r="U1081" i="1" s="1"/>
  <c r="Q1089" i="1"/>
  <c r="U1089" i="1" s="1"/>
  <c r="Q1097" i="1"/>
  <c r="U1097" i="1" s="1"/>
  <c r="Q1105" i="1"/>
  <c r="U1105" i="1" s="1"/>
  <c r="Q1169" i="1"/>
  <c r="U1169" i="1" s="1"/>
  <c r="Q1177" i="1"/>
  <c r="U1177" i="1" s="1"/>
  <c r="Q1184" i="1"/>
  <c r="U1184" i="1" s="1"/>
  <c r="Q1192" i="1"/>
  <c r="U1192" i="1" s="1"/>
  <c r="Q1200" i="1"/>
  <c r="U1200" i="1" s="1"/>
  <c r="Q1208" i="1"/>
  <c r="U1208" i="1" s="1"/>
  <c r="Q1216" i="1"/>
  <c r="U1216" i="1" s="1"/>
  <c r="Q1225" i="1"/>
  <c r="U1225" i="1" s="1"/>
  <c r="Q1233" i="1"/>
  <c r="U1233" i="1" s="1"/>
  <c r="Q1241" i="1"/>
  <c r="U1241" i="1" s="1"/>
  <c r="Q1249" i="1"/>
  <c r="U1249" i="1" s="1"/>
  <c r="Q1401" i="1"/>
  <c r="U1401" i="1" s="1"/>
  <c r="Q1409" i="1"/>
  <c r="U1409" i="1" s="1"/>
  <c r="Q1417" i="1"/>
  <c r="U1417" i="1" s="1"/>
  <c r="Q1497" i="1"/>
  <c r="U1497" i="1" s="1"/>
  <c r="Q1505" i="1"/>
  <c r="U1505" i="1" s="1"/>
  <c r="Q1513" i="1"/>
  <c r="U1513" i="1" s="1"/>
  <c r="Q366" i="1"/>
  <c r="U366" i="1" s="1"/>
  <c r="Q382" i="1"/>
  <c r="U382" i="1" s="1"/>
  <c r="Q430" i="1"/>
  <c r="U430" i="1" s="1"/>
  <c r="Q438" i="1"/>
  <c r="U438" i="1" s="1"/>
  <c r="Q614" i="1"/>
  <c r="U614" i="1" s="1"/>
  <c r="Q638" i="1"/>
  <c r="U638" i="1" s="1"/>
  <c r="Q830" i="1"/>
  <c r="U830" i="1" s="1"/>
  <c r="Q1030" i="1"/>
  <c r="U1030" i="1" s="1"/>
  <c r="Q1038" i="1"/>
  <c r="U1038" i="1" s="1"/>
  <c r="Q75" i="1"/>
  <c r="U75" i="1" s="1"/>
  <c r="Q770" i="1"/>
  <c r="U770" i="1" s="1"/>
  <c r="Q91" i="1"/>
  <c r="U91" i="1" s="1"/>
  <c r="Q99" i="1"/>
  <c r="U99" i="1" s="1"/>
  <c r="Q107" i="1"/>
  <c r="U107" i="1" s="1"/>
  <c r="Q115" i="1"/>
  <c r="U115" i="1" s="1"/>
  <c r="Q123" i="1"/>
  <c r="U123" i="1" s="1"/>
  <c r="Q131" i="1"/>
  <c r="U131" i="1" s="1"/>
  <c r="Q139" i="1"/>
  <c r="U139" i="1" s="1"/>
  <c r="Q147" i="1"/>
  <c r="U147" i="1" s="1"/>
  <c r="Q155" i="1"/>
  <c r="U155" i="1" s="1"/>
  <c r="Q163" i="1"/>
  <c r="U163" i="1" s="1"/>
  <c r="Q171" i="1"/>
  <c r="U171" i="1" s="1"/>
  <c r="Q179" i="1"/>
  <c r="U179" i="1" s="1"/>
  <c r="Q187" i="1"/>
  <c r="U187" i="1" s="1"/>
  <c r="Q195" i="1"/>
  <c r="U195" i="1" s="1"/>
  <c r="Q203" i="1"/>
  <c r="U203" i="1" s="1"/>
  <c r="Q211" i="1"/>
  <c r="U211" i="1" s="1"/>
  <c r="Q219" i="1"/>
  <c r="U219" i="1" s="1"/>
  <c r="Q227" i="1"/>
  <c r="U227" i="1" s="1"/>
  <c r="Q235" i="1"/>
  <c r="U235" i="1" s="1"/>
  <c r="Q243" i="1"/>
  <c r="U243" i="1" s="1"/>
  <c r="Q251" i="1"/>
  <c r="U251" i="1" s="1"/>
  <c r="Q259" i="1"/>
  <c r="U259" i="1" s="1"/>
  <c r="Q267" i="1"/>
  <c r="U267" i="1" s="1"/>
  <c r="Q275" i="1"/>
  <c r="U275" i="1" s="1"/>
  <c r="Q283" i="1"/>
  <c r="U283" i="1" s="1"/>
  <c r="Q291" i="1"/>
  <c r="U291" i="1" s="1"/>
  <c r="Q299" i="1"/>
  <c r="U299" i="1" s="1"/>
  <c r="Q307" i="1"/>
  <c r="U307" i="1" s="1"/>
  <c r="Q315" i="1"/>
  <c r="U315" i="1" s="1"/>
  <c r="Q323" i="1"/>
  <c r="U323" i="1" s="1"/>
  <c r="Q339" i="1"/>
  <c r="U339" i="1" s="1"/>
  <c r="Q778" i="1"/>
  <c r="U778" i="1" s="1"/>
  <c r="Q781" i="1"/>
  <c r="U781" i="1" s="1"/>
  <c r="Q363" i="1"/>
  <c r="U363" i="1" s="1"/>
  <c r="Q371" i="1"/>
  <c r="U371" i="1" s="1"/>
  <c r="Q379" i="1"/>
  <c r="U379" i="1" s="1"/>
  <c r="Q387" i="1"/>
  <c r="U387" i="1" s="1"/>
  <c r="Q395" i="1"/>
  <c r="U395" i="1" s="1"/>
  <c r="Q403" i="1"/>
  <c r="U403" i="1" s="1"/>
  <c r="Q411" i="1"/>
  <c r="U411" i="1" s="1"/>
  <c r="Q419" i="1"/>
  <c r="U419" i="1" s="1"/>
  <c r="Q427" i="1"/>
  <c r="U427" i="1" s="1"/>
  <c r="Q435" i="1"/>
  <c r="U435" i="1" s="1"/>
  <c r="Q443" i="1"/>
  <c r="U443" i="1" s="1"/>
  <c r="Q451" i="1"/>
  <c r="U451" i="1" s="1"/>
  <c r="Q459" i="1"/>
  <c r="U459" i="1" s="1"/>
  <c r="Q467" i="1"/>
  <c r="U467" i="1" s="1"/>
  <c r="Q475" i="1"/>
  <c r="U475" i="1" s="1"/>
  <c r="Q835" i="1"/>
  <c r="U835" i="1" s="1"/>
  <c r="Q491" i="1"/>
  <c r="U491" i="1" s="1"/>
  <c r="Q499" i="1"/>
  <c r="U499" i="1" s="1"/>
  <c r="Q507" i="1"/>
  <c r="U507" i="1" s="1"/>
  <c r="Q515" i="1"/>
  <c r="U515" i="1" s="1"/>
  <c r="Q523" i="1"/>
  <c r="U523" i="1" s="1"/>
  <c r="Q531" i="1"/>
  <c r="U531" i="1" s="1"/>
  <c r="Q539" i="1"/>
  <c r="U539" i="1" s="1"/>
  <c r="Q547" i="1"/>
  <c r="U547" i="1" s="1"/>
  <c r="Q555" i="1"/>
  <c r="U555" i="1" s="1"/>
  <c r="Q563" i="1"/>
  <c r="U563" i="1" s="1"/>
  <c r="Q571" i="1"/>
  <c r="U571" i="1" s="1"/>
  <c r="Q579" i="1"/>
  <c r="U579" i="1" s="1"/>
  <c r="Q587" i="1"/>
  <c r="U587" i="1" s="1"/>
  <c r="Q595" i="1"/>
  <c r="U595" i="1" s="1"/>
  <c r="Q658" i="1"/>
  <c r="U658" i="1" s="1"/>
  <c r="Q1459" i="1"/>
  <c r="U1459" i="1" s="1"/>
  <c r="Q1467" i="1"/>
  <c r="U1467" i="1" s="1"/>
  <c r="Q1475" i="1"/>
  <c r="U1475" i="1" s="1"/>
  <c r="Q1483" i="1"/>
  <c r="U1483" i="1" s="1"/>
  <c r="Q1491" i="1"/>
  <c r="U1491" i="1" s="1"/>
  <c r="Q1499" i="1"/>
  <c r="U1499" i="1" s="1"/>
  <c r="Q1507" i="1"/>
  <c r="U1507" i="1" s="1"/>
  <c r="Q1515" i="1"/>
  <c r="U1515" i="1" s="1"/>
  <c r="Q1523" i="1"/>
  <c r="U1523" i="1" s="1"/>
  <c r="Q1531" i="1"/>
  <c r="U1531" i="1" s="1"/>
  <c r="Q1539" i="1"/>
  <c r="U1539" i="1" s="1"/>
  <c r="Q1547" i="1"/>
  <c r="U1547" i="1" s="1"/>
  <c r="Q1555" i="1"/>
  <c r="U1555" i="1" s="1"/>
  <c r="Q1563" i="1"/>
  <c r="U1563" i="1" s="1"/>
  <c r="Q1571" i="1"/>
  <c r="U1571" i="1" s="1"/>
  <c r="Q173" i="1"/>
  <c r="U173" i="1" s="1"/>
  <c r="Q181" i="1"/>
  <c r="U181" i="1" s="1"/>
  <c r="Q189" i="1"/>
  <c r="U189" i="1" s="1"/>
  <c r="Q197" i="1"/>
  <c r="U197" i="1" s="1"/>
  <c r="Q205" i="1"/>
  <c r="U205" i="1" s="1"/>
  <c r="Q213" i="1"/>
  <c r="U213" i="1" s="1"/>
  <c r="Q229" i="1"/>
  <c r="U229" i="1" s="1"/>
  <c r="Q237" i="1"/>
  <c r="U237" i="1" s="1"/>
  <c r="Q421" i="1"/>
  <c r="U421" i="1" s="1"/>
  <c r="Q429" i="1"/>
  <c r="U429" i="1" s="1"/>
  <c r="Q437" i="1"/>
  <c r="U437" i="1" s="1"/>
  <c r="Q445" i="1"/>
  <c r="U445" i="1" s="1"/>
  <c r="Q461" i="1"/>
  <c r="U461" i="1" s="1"/>
  <c r="Q469" i="1"/>
  <c r="U469" i="1" s="1"/>
  <c r="Q493" i="1"/>
  <c r="U493" i="1" s="1"/>
  <c r="Q501" i="1"/>
  <c r="U501" i="1" s="1"/>
  <c r="Q509" i="1"/>
  <c r="U509" i="1" s="1"/>
  <c r="Q517" i="1"/>
  <c r="U517" i="1" s="1"/>
  <c r="Q613" i="1"/>
  <c r="U613" i="1" s="1"/>
  <c r="Q632" i="1"/>
  <c r="U632" i="1" s="1"/>
  <c r="Q637" i="1"/>
  <c r="U637" i="1" s="1"/>
  <c r="Q36" i="1"/>
  <c r="U36" i="1" s="1"/>
  <c r="Q84" i="1"/>
  <c r="U84" i="1" s="1"/>
  <c r="Q297" i="1"/>
  <c r="U297" i="1" s="1"/>
  <c r="Q352" i="1"/>
  <c r="U352" i="1" s="1"/>
  <c r="Q683" i="1"/>
  <c r="U683" i="1" s="1"/>
  <c r="Q691" i="1"/>
  <c r="U691" i="1" s="1"/>
  <c r="Q699" i="1"/>
  <c r="U699" i="1" s="1"/>
  <c r="Q1522" i="1"/>
  <c r="U1522" i="1" s="1"/>
  <c r="Q709" i="1"/>
  <c r="U709" i="1" s="1"/>
  <c r="Q717" i="1"/>
  <c r="U717" i="1" s="1"/>
  <c r="Q725" i="1"/>
  <c r="U725" i="1" s="1"/>
  <c r="Q353" i="1"/>
  <c r="U353" i="1" s="1"/>
  <c r="Q741" i="1"/>
  <c r="U741" i="1" s="1"/>
  <c r="Q749" i="1"/>
  <c r="U749" i="1" s="1"/>
  <c r="Q757" i="1"/>
  <c r="U757" i="1" s="1"/>
  <c r="Q765" i="1"/>
  <c r="U765" i="1" s="1"/>
  <c r="Q773" i="1"/>
  <c r="U773" i="1" s="1"/>
  <c r="Q487" i="1"/>
  <c r="U487" i="1" s="1"/>
  <c r="Q789" i="1"/>
  <c r="U789" i="1" s="1"/>
  <c r="Q925" i="1"/>
  <c r="U925" i="1" s="1"/>
  <c r="Q933" i="1"/>
  <c r="U933" i="1" s="1"/>
  <c r="Q941" i="1"/>
  <c r="U941" i="1" s="1"/>
  <c r="Q972" i="1"/>
  <c r="U972" i="1" s="1"/>
  <c r="Q1013" i="1"/>
  <c r="U1013" i="1" s="1"/>
  <c r="Q1077" i="1"/>
  <c r="U1077" i="1" s="1"/>
  <c r="Q1085" i="1"/>
  <c r="U1085" i="1" s="1"/>
  <c r="Q1101" i="1"/>
  <c r="U1101" i="1" s="1"/>
  <c r="Q1133" i="1"/>
  <c r="U1133" i="1" s="1"/>
  <c r="Q1253" i="1"/>
  <c r="U1253" i="1" s="1"/>
  <c r="Q1325" i="1"/>
  <c r="U1325" i="1" s="1"/>
  <c r="Q1341" i="1"/>
  <c r="U1341" i="1" s="1"/>
  <c r="Q1373" i="1"/>
  <c r="U1373" i="1" s="1"/>
  <c r="Q1405" i="1"/>
  <c r="U1405" i="1" s="1"/>
  <c r="Q1461" i="1"/>
  <c r="U1461" i="1" s="1"/>
  <c r="Q1469" i="1"/>
  <c r="U1469" i="1" s="1"/>
  <c r="Q1493" i="1"/>
  <c r="U1493" i="1" s="1"/>
  <c r="Q1501" i="1"/>
  <c r="U1501" i="1" s="1"/>
  <c r="Q1525" i="1"/>
  <c r="U1525" i="1" s="1"/>
  <c r="Q1549" i="1"/>
  <c r="U1549" i="1" s="1"/>
  <c r="Q1335" i="1"/>
  <c r="U1335" i="1" s="1"/>
  <c r="Q1511" i="1"/>
  <c r="U1511" i="1" s="1"/>
  <c r="Q1559" i="1"/>
  <c r="U1559" i="1" s="1"/>
  <c r="Q1575" i="1"/>
  <c r="U1575" i="1" s="1"/>
  <c r="Q1591" i="1"/>
  <c r="U1591" i="1" s="1"/>
  <c r="Q1599" i="1"/>
  <c r="U1599" i="1" s="1"/>
  <c r="Q1607" i="1"/>
  <c r="U1607" i="1" s="1"/>
  <c r="B3" i="3"/>
  <c r="B4" i="3"/>
  <c r="C4" i="3"/>
  <c r="C5" i="3"/>
  <c r="C6" i="3"/>
  <c r="C3" i="3"/>
  <c r="B5" i="3"/>
  <c r="B6" i="3"/>
  <c r="Q15" i="1"/>
  <c r="U15" i="1" s="1"/>
  <c r="Q20" i="1"/>
  <c r="U20" i="1" s="1"/>
  <c r="Q28" i="1"/>
  <c r="U28" i="1" s="1"/>
  <c r="Q1449" i="1"/>
  <c r="U1449" i="1" s="1"/>
  <c r="Q44" i="1"/>
  <c r="U44" i="1" s="1"/>
  <c r="Q52" i="1"/>
  <c r="U52" i="1" s="1"/>
  <c r="Q60" i="1"/>
  <c r="U60" i="1" s="1"/>
  <c r="Q68" i="1"/>
  <c r="U68" i="1" s="1"/>
  <c r="Q76" i="1"/>
  <c r="U76" i="1" s="1"/>
  <c r="Q667" i="1"/>
  <c r="U667" i="1" s="1"/>
  <c r="Q92" i="1"/>
  <c r="U92" i="1" s="1"/>
  <c r="Q100" i="1"/>
  <c r="U100" i="1" s="1"/>
  <c r="Q108" i="1"/>
  <c r="U108" i="1" s="1"/>
  <c r="Q116" i="1"/>
  <c r="U116" i="1" s="1"/>
  <c r="Q124" i="1"/>
  <c r="U124" i="1" s="1"/>
  <c r="Q132" i="1"/>
  <c r="U132" i="1" s="1"/>
  <c r="Q140" i="1"/>
  <c r="U140" i="1" s="1"/>
  <c r="Q148" i="1"/>
  <c r="U148" i="1" s="1"/>
  <c r="Q156" i="1"/>
  <c r="U156" i="1" s="1"/>
  <c r="Q164" i="1"/>
  <c r="U164" i="1" s="1"/>
  <c r="Q172" i="1"/>
  <c r="U172" i="1" s="1"/>
  <c r="Q180" i="1"/>
  <c r="U180" i="1" s="1"/>
  <c r="Q188" i="1"/>
  <c r="U188" i="1" s="1"/>
  <c r="Q196" i="1"/>
  <c r="U196" i="1" s="1"/>
  <c r="Q204" i="1"/>
  <c r="U204" i="1" s="1"/>
  <c r="Q212" i="1"/>
  <c r="U212" i="1" s="1"/>
  <c r="Q220" i="1"/>
  <c r="U220" i="1" s="1"/>
  <c r="Q228" i="1"/>
  <c r="U228" i="1" s="1"/>
  <c r="Q236" i="1"/>
  <c r="U236" i="1" s="1"/>
  <c r="Q244" i="1"/>
  <c r="U244" i="1" s="1"/>
  <c r="Q252" i="1"/>
  <c r="U252" i="1" s="1"/>
  <c r="Q260" i="1"/>
  <c r="U260" i="1" s="1"/>
  <c r="Q268" i="1"/>
  <c r="U268" i="1" s="1"/>
  <c r="Q276" i="1"/>
  <c r="U276" i="1" s="1"/>
  <c r="Q284" i="1"/>
  <c r="U284" i="1" s="1"/>
  <c r="Q1517" i="1"/>
  <c r="U1517" i="1" s="1"/>
  <c r="Q300" i="1"/>
  <c r="U300" i="1" s="1"/>
  <c r="Q308" i="1"/>
  <c r="U308" i="1" s="1"/>
  <c r="Q316" i="1"/>
  <c r="U316" i="1" s="1"/>
  <c r="Q324" i="1"/>
  <c r="U324" i="1" s="1"/>
  <c r="Q332" i="1"/>
  <c r="U332" i="1" s="1"/>
  <c r="Q340" i="1"/>
  <c r="U340" i="1" s="1"/>
  <c r="Q3" i="1"/>
  <c r="U3" i="1" s="1"/>
  <c r="Q33" i="1"/>
  <c r="U33" i="1" s="1"/>
  <c r="Q364" i="1"/>
  <c r="U364" i="1" s="1"/>
  <c r="Q372" i="1"/>
  <c r="U372" i="1" s="1"/>
  <c r="Q380" i="1"/>
  <c r="U380" i="1" s="1"/>
  <c r="Q388" i="1"/>
  <c r="U388" i="1" s="1"/>
  <c r="Q396" i="1"/>
  <c r="U396" i="1" s="1"/>
  <c r="Q404" i="1"/>
  <c r="U404" i="1" s="1"/>
  <c r="Q412" i="1"/>
  <c r="U412" i="1" s="1"/>
  <c r="Q420" i="1"/>
  <c r="U420" i="1" s="1"/>
  <c r="Q444" i="1"/>
  <c r="U444" i="1" s="1"/>
  <c r="Q508" i="1"/>
  <c r="U508" i="1" s="1"/>
  <c r="Q281" i="1"/>
  <c r="U281" i="1" s="1"/>
  <c r="Q289" i="1"/>
  <c r="U289" i="1" s="1"/>
  <c r="Q1520" i="1"/>
  <c r="U1520" i="1" s="1"/>
  <c r="Q393" i="1"/>
  <c r="U393" i="1" s="1"/>
  <c r="Q401" i="1"/>
  <c r="U401" i="1" s="1"/>
  <c r="Q409" i="1"/>
  <c r="U409" i="1" s="1"/>
  <c r="Q417" i="1"/>
  <c r="U417" i="1" s="1"/>
  <c r="Q425" i="1"/>
  <c r="U425" i="1" s="1"/>
  <c r="Q78" i="1"/>
  <c r="U78" i="1" s="1"/>
  <c r="Q1453" i="1"/>
  <c r="U1453" i="1" s="1"/>
  <c r="Q94" i="1"/>
  <c r="U94" i="1" s="1"/>
  <c r="Q102" i="1"/>
  <c r="U102" i="1" s="1"/>
  <c r="Q110" i="1"/>
  <c r="U110" i="1" s="1"/>
  <c r="Q118" i="1"/>
  <c r="U118" i="1" s="1"/>
  <c r="Q126" i="1"/>
  <c r="U126" i="1" s="1"/>
  <c r="Q134" i="1"/>
  <c r="U134" i="1" s="1"/>
  <c r="Q142" i="1"/>
  <c r="U142" i="1" s="1"/>
  <c r="Q150" i="1"/>
  <c r="U150" i="1" s="1"/>
  <c r="Q158" i="1"/>
  <c r="U158" i="1" s="1"/>
  <c r="Q166" i="1"/>
  <c r="U166" i="1" s="1"/>
  <c r="Q174" i="1"/>
  <c r="U174" i="1" s="1"/>
  <c r="Q182" i="1"/>
  <c r="U182" i="1" s="1"/>
  <c r="Q190" i="1"/>
  <c r="U190" i="1" s="1"/>
  <c r="Q198" i="1"/>
  <c r="U198" i="1" s="1"/>
  <c r="Q206" i="1"/>
  <c r="U206" i="1" s="1"/>
  <c r="Q214" i="1"/>
  <c r="U214" i="1" s="1"/>
  <c r="Q222" i="1"/>
  <c r="U222" i="1" s="1"/>
  <c r="Q230" i="1"/>
  <c r="U230" i="1" s="1"/>
  <c r="Q238" i="1"/>
  <c r="U238" i="1" s="1"/>
  <c r="Q246" i="1"/>
  <c r="U246" i="1" s="1"/>
  <c r="Q254" i="1"/>
  <c r="U254" i="1" s="1"/>
  <c r="Q262" i="1"/>
  <c r="U262" i="1" s="1"/>
  <c r="Q270" i="1"/>
  <c r="U270" i="1" s="1"/>
  <c r="Q278" i="1"/>
  <c r="U278" i="1" s="1"/>
  <c r="Q286" i="1"/>
  <c r="U286" i="1" s="1"/>
  <c r="Q294" i="1"/>
  <c r="U294" i="1" s="1"/>
  <c r="Q302" i="1"/>
  <c r="U302" i="1" s="1"/>
  <c r="Q310" i="1"/>
  <c r="U310" i="1" s="1"/>
  <c r="Q318" i="1"/>
  <c r="U318" i="1" s="1"/>
  <c r="Q326" i="1"/>
  <c r="U326" i="1" s="1"/>
  <c r="Q334" i="1"/>
  <c r="U334" i="1" s="1"/>
  <c r="Q342" i="1"/>
  <c r="U342" i="1" s="1"/>
  <c r="Q671" i="1"/>
  <c r="U671" i="1" s="1"/>
  <c r="Q832" i="1"/>
  <c r="U832" i="1" s="1"/>
  <c r="Q390" i="1"/>
  <c r="U390" i="1" s="1"/>
  <c r="Q398" i="1"/>
  <c r="U398" i="1" s="1"/>
  <c r="Q406" i="1"/>
  <c r="U406" i="1" s="1"/>
  <c r="Q414" i="1"/>
  <c r="U414" i="1" s="1"/>
  <c r="Q14" i="1"/>
  <c r="U14" i="1" s="1"/>
  <c r="Q19" i="1"/>
  <c r="U19" i="1" s="1"/>
  <c r="Q27" i="1"/>
  <c r="U27" i="1" s="1"/>
  <c r="Q664" i="1"/>
  <c r="U664" i="1" s="1"/>
  <c r="Q43" i="1"/>
  <c r="U43" i="1" s="1"/>
  <c r="Q51" i="1"/>
  <c r="U51" i="1" s="1"/>
  <c r="Q59" i="1"/>
  <c r="U59" i="1" s="1"/>
  <c r="Q67" i="1"/>
  <c r="U67" i="1" s="1"/>
  <c r="Q661" i="1"/>
  <c r="U661" i="1" s="1"/>
  <c r="Q8" i="1"/>
  <c r="U8" i="1" s="1"/>
  <c r="Q21" i="1"/>
  <c r="U21" i="1" s="1"/>
  <c r="Q663" i="1"/>
  <c r="U663" i="1" s="1"/>
  <c r="Q665" i="1"/>
  <c r="U665" i="1" s="1"/>
  <c r="Q45" i="1"/>
  <c r="U45" i="1" s="1"/>
  <c r="Q1451" i="1"/>
  <c r="U1451" i="1" s="1"/>
  <c r="Q61" i="1"/>
  <c r="U61" i="1" s="1"/>
  <c r="Q69" i="1"/>
  <c r="U69" i="1" s="1"/>
  <c r="Q77" i="1"/>
  <c r="U77" i="1" s="1"/>
  <c r="Q85" i="1"/>
  <c r="U85" i="1" s="1"/>
  <c r="Q93" i="1"/>
  <c r="U93" i="1" s="1"/>
  <c r="Q101" i="1"/>
  <c r="U101" i="1" s="1"/>
  <c r="Q109" i="1"/>
  <c r="U109" i="1" s="1"/>
  <c r="Q117" i="1"/>
  <c r="U117" i="1" s="1"/>
  <c r="Q125" i="1"/>
  <c r="U125" i="1" s="1"/>
  <c r="Q133" i="1"/>
  <c r="U133" i="1" s="1"/>
  <c r="Q141" i="1"/>
  <c r="U141" i="1" s="1"/>
  <c r="Q149" i="1"/>
  <c r="U149" i="1" s="1"/>
  <c r="Q157" i="1"/>
  <c r="U157" i="1" s="1"/>
  <c r="Q165" i="1"/>
  <c r="U165" i="1" s="1"/>
  <c r="Q221" i="1"/>
  <c r="U221" i="1" s="1"/>
  <c r="Q245" i="1"/>
  <c r="U245" i="1" s="1"/>
  <c r="Q253" i="1"/>
  <c r="U253" i="1" s="1"/>
  <c r="Q261" i="1"/>
  <c r="U261" i="1" s="1"/>
  <c r="Q269" i="1"/>
  <c r="U269" i="1" s="1"/>
  <c r="Q277" i="1"/>
  <c r="U277" i="1" s="1"/>
  <c r="Q285" i="1"/>
  <c r="U285" i="1" s="1"/>
  <c r="Q293" i="1"/>
  <c r="U293" i="1" s="1"/>
  <c r="Q301" i="1"/>
  <c r="U301" i="1" s="1"/>
  <c r="Q309" i="1"/>
  <c r="U309" i="1" s="1"/>
  <c r="Q317" i="1"/>
  <c r="U317" i="1" s="1"/>
  <c r="Q325" i="1"/>
  <c r="U325" i="1" s="1"/>
  <c r="Q333" i="1"/>
  <c r="U333" i="1" s="1"/>
  <c r="Q341" i="1"/>
  <c r="U341" i="1" s="1"/>
  <c r="Q779" i="1"/>
  <c r="U779" i="1" s="1"/>
  <c r="Q831" i="1"/>
  <c r="U831" i="1" s="1"/>
  <c r="Q365" i="1"/>
  <c r="U365" i="1" s="1"/>
  <c r="Q373" i="1"/>
  <c r="U373" i="1" s="1"/>
  <c r="Q381" i="1"/>
  <c r="U381" i="1" s="1"/>
  <c r="Q389" i="1"/>
  <c r="U389" i="1" s="1"/>
  <c r="Q397" i="1"/>
  <c r="U397" i="1" s="1"/>
  <c r="Q405" i="1"/>
  <c r="U405" i="1" s="1"/>
  <c r="Q413" i="1"/>
  <c r="U413" i="1" s="1"/>
  <c r="Q453" i="1"/>
  <c r="U453" i="1" s="1"/>
  <c r="Q477" i="1"/>
  <c r="U477" i="1" s="1"/>
  <c r="Q485" i="1"/>
  <c r="U485" i="1" s="1"/>
  <c r="Q525" i="1"/>
  <c r="U525" i="1" s="1"/>
  <c r="Q533" i="1"/>
  <c r="U533" i="1" s="1"/>
  <c r="Q541" i="1"/>
  <c r="U541" i="1" s="1"/>
  <c r="Q549" i="1"/>
  <c r="U549" i="1" s="1"/>
  <c r="Q557" i="1"/>
  <c r="U557" i="1" s="1"/>
  <c r="Q565" i="1"/>
  <c r="U565" i="1" s="1"/>
  <c r="Q573" i="1"/>
  <c r="U573" i="1" s="1"/>
  <c r="Q581" i="1"/>
  <c r="U581" i="1" s="1"/>
  <c r="Q589" i="1"/>
  <c r="U589" i="1" s="1"/>
  <c r="Q597" i="1"/>
  <c r="U597" i="1" s="1"/>
  <c r="Q605" i="1"/>
  <c r="U605" i="1" s="1"/>
  <c r="Q648" i="1"/>
  <c r="U648" i="1" s="1"/>
  <c r="Q797" i="1"/>
  <c r="U797" i="1" s="1"/>
  <c r="Q805" i="1"/>
  <c r="U805" i="1" s="1"/>
  <c r="Q813" i="1"/>
  <c r="U813" i="1" s="1"/>
  <c r="Q821" i="1"/>
  <c r="U821" i="1" s="1"/>
  <c r="Q829" i="1"/>
  <c r="U829" i="1" s="1"/>
  <c r="Q843" i="1"/>
  <c r="U843" i="1" s="1"/>
  <c r="Q851" i="1"/>
  <c r="U851" i="1" s="1"/>
  <c r="Q859" i="1"/>
  <c r="U859" i="1" s="1"/>
  <c r="Q868" i="1"/>
  <c r="U868" i="1" s="1"/>
  <c r="Q869" i="1"/>
  <c r="U869" i="1" s="1"/>
  <c r="Q877" i="1"/>
  <c r="U877" i="1" s="1"/>
  <c r="Q624" i="1"/>
  <c r="U624" i="1" s="1"/>
  <c r="Q893" i="1"/>
  <c r="U893" i="1" s="1"/>
  <c r="Q901" i="1"/>
  <c r="U901" i="1" s="1"/>
  <c r="Q909" i="1"/>
  <c r="U909" i="1" s="1"/>
  <c r="Q917" i="1"/>
  <c r="U917" i="1" s="1"/>
  <c r="Q13" i="1"/>
  <c r="U13" i="1" s="1"/>
  <c r="Q18" i="1"/>
  <c r="U18" i="1" s="1"/>
  <c r="Q26" i="1"/>
  <c r="U26" i="1" s="1"/>
  <c r="Q34" i="1"/>
  <c r="U34" i="1" s="1"/>
  <c r="Q42" i="1"/>
  <c r="U42" i="1" s="1"/>
  <c r="Q50" i="1"/>
  <c r="U50" i="1" s="1"/>
  <c r="Q58" i="1"/>
  <c r="U58" i="1" s="1"/>
  <c r="Q66" i="1"/>
  <c r="U66" i="1" s="1"/>
  <c r="Q74" i="1"/>
  <c r="U74" i="1" s="1"/>
  <c r="Q82" i="1"/>
  <c r="U82" i="1" s="1"/>
  <c r="Q90" i="1"/>
  <c r="U90" i="1" s="1"/>
  <c r="Q98" i="1"/>
  <c r="U98" i="1" s="1"/>
  <c r="Q106" i="1"/>
  <c r="U106" i="1" s="1"/>
  <c r="Q114" i="1"/>
  <c r="U114" i="1" s="1"/>
  <c r="Q122" i="1"/>
  <c r="U122" i="1" s="1"/>
  <c r="Q130" i="1"/>
  <c r="U130" i="1" s="1"/>
  <c r="Q138" i="1"/>
  <c r="U138" i="1" s="1"/>
  <c r="Q146" i="1"/>
  <c r="U146" i="1" s="1"/>
  <c r="Q154" i="1"/>
  <c r="U154" i="1" s="1"/>
  <c r="Q162" i="1"/>
  <c r="U162" i="1" s="1"/>
  <c r="Q170" i="1"/>
  <c r="U170" i="1" s="1"/>
  <c r="Q178" i="1"/>
  <c r="U178" i="1" s="1"/>
  <c r="Q186" i="1"/>
  <c r="U186" i="1" s="1"/>
  <c r="Q194" i="1"/>
  <c r="U194" i="1" s="1"/>
  <c r="Q202" i="1"/>
  <c r="U202" i="1" s="1"/>
  <c r="Q210" i="1"/>
  <c r="U210" i="1" s="1"/>
  <c r="Q218" i="1"/>
  <c r="U218" i="1" s="1"/>
  <c r="Q226" i="1"/>
  <c r="U226" i="1" s="1"/>
  <c r="Q234" i="1"/>
  <c r="U234" i="1" s="1"/>
  <c r="Q242" i="1"/>
  <c r="U242" i="1" s="1"/>
  <c r="Q250" i="1"/>
  <c r="U250" i="1" s="1"/>
  <c r="Q258" i="1"/>
  <c r="U258" i="1" s="1"/>
  <c r="Q266" i="1"/>
  <c r="U266" i="1" s="1"/>
  <c r="Q274" i="1"/>
  <c r="U274" i="1" s="1"/>
  <c r="Q282" i="1"/>
  <c r="U282" i="1" s="1"/>
  <c r="Q290" i="1"/>
  <c r="U290" i="1" s="1"/>
  <c r="Q298" i="1"/>
  <c r="U298" i="1" s="1"/>
  <c r="Q306" i="1"/>
  <c r="U306" i="1" s="1"/>
  <c r="Q314" i="1"/>
  <c r="U314" i="1" s="1"/>
  <c r="Q322" i="1"/>
  <c r="U322" i="1" s="1"/>
  <c r="Q330" i="1"/>
  <c r="U330" i="1" s="1"/>
  <c r="Q338" i="1"/>
  <c r="U338" i="1" s="1"/>
  <c r="Q777" i="1"/>
  <c r="U777" i="1" s="1"/>
  <c r="Q354" i="1"/>
  <c r="U354" i="1" s="1"/>
  <c r="Q834" i="1"/>
  <c r="U834" i="1" s="1"/>
  <c r="Q370" i="1"/>
  <c r="U370" i="1" s="1"/>
  <c r="Q378" i="1"/>
  <c r="U378" i="1" s="1"/>
  <c r="Q386" i="1"/>
  <c r="U386" i="1" s="1"/>
  <c r="Q394" i="1"/>
  <c r="U394" i="1" s="1"/>
  <c r="Q402" i="1"/>
  <c r="U402" i="1" s="1"/>
  <c r="Q410" i="1"/>
  <c r="U410" i="1" s="1"/>
  <c r="Q418" i="1"/>
  <c r="U418" i="1" s="1"/>
  <c r="Q426" i="1"/>
  <c r="U426" i="1" s="1"/>
  <c r="Q434" i="1"/>
  <c r="U434" i="1" s="1"/>
  <c r="Q442" i="1"/>
  <c r="U442" i="1" s="1"/>
  <c r="Q450" i="1"/>
  <c r="U450" i="1" s="1"/>
  <c r="Q458" i="1"/>
  <c r="U458" i="1" s="1"/>
  <c r="Q466" i="1"/>
  <c r="U466" i="1" s="1"/>
  <c r="Q474" i="1"/>
  <c r="U474" i="1" s="1"/>
  <c r="Q482" i="1"/>
  <c r="U482" i="1" s="1"/>
  <c r="Q490" i="1"/>
  <c r="U490" i="1" s="1"/>
  <c r="Q498" i="1"/>
  <c r="U498" i="1" s="1"/>
  <c r="Q506" i="1"/>
  <c r="U506" i="1" s="1"/>
  <c r="Q514" i="1"/>
  <c r="U514" i="1" s="1"/>
  <c r="Q522" i="1"/>
  <c r="U522" i="1" s="1"/>
  <c r="Q530" i="1"/>
  <c r="U530" i="1" s="1"/>
  <c r="Q538" i="1"/>
  <c r="U538" i="1" s="1"/>
  <c r="Q546" i="1"/>
  <c r="U546" i="1" s="1"/>
  <c r="Q554" i="1"/>
  <c r="U554" i="1" s="1"/>
  <c r="Q562" i="1"/>
  <c r="U562" i="1" s="1"/>
  <c r="Q570" i="1"/>
  <c r="U570" i="1" s="1"/>
  <c r="Q578" i="1"/>
  <c r="U578" i="1" s="1"/>
  <c r="Q586" i="1"/>
  <c r="U586" i="1" s="1"/>
  <c r="Q594" i="1"/>
  <c r="U594" i="1" s="1"/>
  <c r="Q602" i="1"/>
  <c r="U602" i="1" s="1"/>
  <c r="Q610" i="1"/>
  <c r="U610" i="1" s="1"/>
  <c r="Q618" i="1"/>
  <c r="U618" i="1" s="1"/>
  <c r="Q645" i="1"/>
  <c r="U645" i="1" s="1"/>
  <c r="Q653" i="1"/>
  <c r="U653" i="1" s="1"/>
  <c r="Q642" i="1"/>
  <c r="U642" i="1" s="1"/>
  <c r="Q54" i="1"/>
  <c r="U54" i="1" s="1"/>
  <c r="Q288" i="1"/>
  <c r="U288" i="1" s="1"/>
  <c r="Q349" i="1"/>
  <c r="U349" i="1" s="1"/>
  <c r="Q680" i="1"/>
  <c r="U680" i="1" s="1"/>
  <c r="Q688" i="1"/>
  <c r="U688" i="1" s="1"/>
  <c r="Q696" i="1"/>
  <c r="U696" i="1" s="1"/>
  <c r="Q743" i="1"/>
  <c r="U743" i="1" s="1"/>
  <c r="Q706" i="1"/>
  <c r="U706" i="1" s="1"/>
  <c r="Q714" i="1"/>
  <c r="U714" i="1" s="1"/>
  <c r="Q722" i="1"/>
  <c r="U722" i="1" s="1"/>
  <c r="Q730" i="1"/>
  <c r="U730" i="1" s="1"/>
  <c r="Q738" i="1"/>
  <c r="U738" i="1" s="1"/>
  <c r="Q746" i="1"/>
  <c r="U746" i="1" s="1"/>
  <c r="Q754" i="1"/>
  <c r="U754" i="1" s="1"/>
  <c r="Q762" i="1"/>
  <c r="U762" i="1" s="1"/>
  <c r="Q359" i="1"/>
  <c r="U359" i="1" s="1"/>
  <c r="Q361" i="1"/>
  <c r="U361" i="1" s="1"/>
  <c r="Q786" i="1"/>
  <c r="U786" i="1" s="1"/>
  <c r="Q794" i="1"/>
  <c r="U794" i="1" s="1"/>
  <c r="Q802" i="1"/>
  <c r="U802" i="1" s="1"/>
  <c r="Q810" i="1"/>
  <c r="U810" i="1" s="1"/>
  <c r="Q818" i="1"/>
  <c r="U818" i="1" s="1"/>
  <c r="Q826" i="1"/>
  <c r="U826" i="1" s="1"/>
  <c r="Q840" i="1"/>
  <c r="U840" i="1" s="1"/>
  <c r="Q848" i="1"/>
  <c r="U848" i="1" s="1"/>
  <c r="Q856" i="1"/>
  <c r="U856" i="1" s="1"/>
  <c r="Q864" i="1"/>
  <c r="U864" i="1" s="1"/>
  <c r="Q621" i="1"/>
  <c r="U621" i="1" s="1"/>
  <c r="Q874" i="1"/>
  <c r="U874" i="1" s="1"/>
  <c r="Q882" i="1"/>
  <c r="U882" i="1" s="1"/>
  <c r="Q890" i="1"/>
  <c r="U890" i="1" s="1"/>
  <c r="Q898" i="1"/>
  <c r="U898" i="1" s="1"/>
  <c r="Q906" i="1"/>
  <c r="U906" i="1" s="1"/>
  <c r="Q914" i="1"/>
  <c r="U914" i="1" s="1"/>
  <c r="Q922" i="1"/>
  <c r="U922" i="1" s="1"/>
  <c r="Q930" i="1"/>
  <c r="U930" i="1" s="1"/>
  <c r="Q938" i="1"/>
  <c r="U938" i="1" s="1"/>
  <c r="Q945" i="1"/>
  <c r="U945" i="1" s="1"/>
  <c r="Q953" i="1"/>
  <c r="U953" i="1" s="1"/>
  <c r="Q961" i="1"/>
  <c r="U961" i="1" s="1"/>
  <c r="Q969" i="1"/>
  <c r="U969" i="1" s="1"/>
  <c r="Q977" i="1"/>
  <c r="U977" i="1" s="1"/>
  <c r="Q985" i="1"/>
  <c r="U985" i="1" s="1"/>
  <c r="Q994" i="1"/>
  <c r="U994" i="1" s="1"/>
  <c r="Q1002" i="1"/>
  <c r="U1002" i="1" s="1"/>
  <c r="Q1010" i="1"/>
  <c r="U1010" i="1" s="1"/>
  <c r="Q1018" i="1"/>
  <c r="U1018" i="1" s="1"/>
  <c r="Q1026" i="1"/>
  <c r="U1026" i="1" s="1"/>
  <c r="Q1034" i="1"/>
  <c r="U1034" i="1" s="1"/>
  <c r="Q1042" i="1"/>
  <c r="U1042" i="1" s="1"/>
  <c r="Q1050" i="1"/>
  <c r="U1050" i="1" s="1"/>
  <c r="Q1058" i="1"/>
  <c r="U1058" i="1" s="1"/>
  <c r="Q1066" i="1"/>
  <c r="U1066" i="1" s="1"/>
  <c r="Q1074" i="1"/>
  <c r="U1074" i="1" s="1"/>
  <c r="Q1082" i="1"/>
  <c r="U1082" i="1" s="1"/>
  <c r="Q1090" i="1"/>
  <c r="U1090" i="1" s="1"/>
  <c r="Q1098" i="1"/>
  <c r="U1098" i="1" s="1"/>
  <c r="Q1106" i="1"/>
  <c r="U1106" i="1" s="1"/>
  <c r="Q1114" i="1"/>
  <c r="U1114" i="1" s="1"/>
  <c r="Q1122" i="1"/>
  <c r="U1122" i="1" s="1"/>
  <c r="Q1130" i="1"/>
  <c r="U1130" i="1" s="1"/>
  <c r="Q1138" i="1"/>
  <c r="U1138" i="1" s="1"/>
  <c r="Q1146" i="1"/>
  <c r="U1146" i="1" s="1"/>
  <c r="Q1154" i="1"/>
  <c r="U1154" i="1" s="1"/>
  <c r="Q1162" i="1"/>
  <c r="U1162" i="1" s="1"/>
  <c r="Q1170" i="1"/>
  <c r="U1170" i="1" s="1"/>
  <c r="Q1178" i="1"/>
  <c r="U1178" i="1" s="1"/>
  <c r="Q95" i="1"/>
  <c r="U95" i="1" s="1"/>
  <c r="Q103" i="1"/>
  <c r="U103" i="1" s="1"/>
  <c r="Q111" i="1"/>
  <c r="U111" i="1" s="1"/>
  <c r="Q119" i="1"/>
  <c r="U119" i="1" s="1"/>
  <c r="Q127" i="1"/>
  <c r="U127" i="1" s="1"/>
  <c r="Q135" i="1"/>
  <c r="U135" i="1" s="1"/>
  <c r="Q143" i="1"/>
  <c r="U143" i="1" s="1"/>
  <c r="Q151" i="1"/>
  <c r="U151" i="1" s="1"/>
  <c r="Q159" i="1"/>
  <c r="U159" i="1" s="1"/>
  <c r="Q167" i="1"/>
  <c r="U167" i="1" s="1"/>
  <c r="Q175" i="1"/>
  <c r="U175" i="1" s="1"/>
  <c r="Q183" i="1"/>
  <c r="U183" i="1" s="1"/>
  <c r="Q191" i="1"/>
  <c r="U191" i="1" s="1"/>
  <c r="Q199" i="1"/>
  <c r="U199" i="1" s="1"/>
  <c r="Q207" i="1"/>
  <c r="U207" i="1" s="1"/>
  <c r="Q215" i="1"/>
  <c r="U215" i="1" s="1"/>
  <c r="Q223" i="1"/>
  <c r="U223" i="1" s="1"/>
  <c r="Q231" i="1"/>
  <c r="U231" i="1" s="1"/>
  <c r="Q239" i="1"/>
  <c r="U239" i="1" s="1"/>
  <c r="Q247" i="1"/>
  <c r="U247" i="1" s="1"/>
  <c r="Q255" i="1"/>
  <c r="U255" i="1" s="1"/>
  <c r="Q263" i="1"/>
  <c r="U263" i="1" s="1"/>
  <c r="Q271" i="1"/>
  <c r="U271" i="1" s="1"/>
  <c r="Q279" i="1"/>
  <c r="U279" i="1" s="1"/>
  <c r="Q287" i="1"/>
  <c r="U287" i="1" s="1"/>
  <c r="Q1518" i="1"/>
  <c r="U1518" i="1" s="1"/>
  <c r="Q303" i="1"/>
  <c r="U303" i="1" s="1"/>
  <c r="Q311" i="1"/>
  <c r="U311" i="1" s="1"/>
  <c r="Q319" i="1"/>
  <c r="U319" i="1" s="1"/>
  <c r="Q327" i="1"/>
  <c r="U327" i="1" s="1"/>
  <c r="Q335" i="1"/>
  <c r="U335" i="1" s="1"/>
  <c r="Q343" i="1"/>
  <c r="U343" i="1" s="1"/>
  <c r="Q29" i="1"/>
  <c r="U29" i="1" s="1"/>
  <c r="Q673" i="1"/>
  <c r="U673" i="1" s="1"/>
  <c r="Q367" i="1"/>
  <c r="U367" i="1" s="1"/>
  <c r="Q375" i="1"/>
  <c r="U375" i="1" s="1"/>
  <c r="Q383" i="1"/>
  <c r="U383" i="1" s="1"/>
  <c r="Q391" i="1"/>
  <c r="U391" i="1" s="1"/>
  <c r="Q399" i="1"/>
  <c r="U399" i="1" s="1"/>
  <c r="Q407" i="1"/>
  <c r="U407" i="1" s="1"/>
  <c r="Q415" i="1"/>
  <c r="U415" i="1" s="1"/>
  <c r="Q423" i="1"/>
  <c r="U423" i="1" s="1"/>
  <c r="Q439" i="1"/>
  <c r="U439" i="1" s="1"/>
  <c r="Q455" i="1"/>
  <c r="U455" i="1" s="1"/>
  <c r="Q1185" i="1"/>
  <c r="U1185" i="1" s="1"/>
  <c r="Q1193" i="1"/>
  <c r="U1193" i="1" s="1"/>
  <c r="Q1201" i="1"/>
  <c r="U1201" i="1" s="1"/>
  <c r="Q1209" i="1"/>
  <c r="U1209" i="1" s="1"/>
  <c r="Q1218" i="1"/>
  <c r="U1218" i="1" s="1"/>
  <c r="Q1226" i="1"/>
  <c r="U1226" i="1" s="1"/>
  <c r="Q1234" i="1"/>
  <c r="U1234" i="1" s="1"/>
  <c r="Q1242" i="1"/>
  <c r="U1242" i="1" s="1"/>
  <c r="Q1250" i="1"/>
  <c r="U1250" i="1" s="1"/>
  <c r="Q1258" i="1"/>
  <c r="U1258" i="1" s="1"/>
  <c r="Q1266" i="1"/>
  <c r="U1266" i="1" s="1"/>
  <c r="Q1274" i="1"/>
  <c r="U1274" i="1" s="1"/>
  <c r="Q1282" i="1"/>
  <c r="U1282" i="1" s="1"/>
  <c r="Q1290" i="1"/>
  <c r="U1290" i="1" s="1"/>
  <c r="Q1298" i="1"/>
  <c r="U1298" i="1" s="1"/>
  <c r="Q1306" i="1"/>
  <c r="U1306" i="1" s="1"/>
  <c r="Q1314" i="1"/>
  <c r="U1314" i="1" s="1"/>
  <c r="Q1322" i="1"/>
  <c r="U1322" i="1" s="1"/>
  <c r="Q1330" i="1"/>
  <c r="U1330" i="1" s="1"/>
  <c r="Q1338" i="1"/>
  <c r="U1338" i="1" s="1"/>
  <c r="Q1346" i="1"/>
  <c r="U1346" i="1" s="1"/>
  <c r="Q1354" i="1"/>
  <c r="U1354" i="1" s="1"/>
  <c r="Q1362" i="1"/>
  <c r="U1362" i="1" s="1"/>
  <c r="Q1370" i="1"/>
  <c r="U1370" i="1" s="1"/>
  <c r="Q1378" i="1"/>
  <c r="U1378" i="1" s="1"/>
  <c r="Q1386" i="1"/>
  <c r="U1386" i="1" s="1"/>
  <c r="Q1394" i="1"/>
  <c r="U1394" i="1" s="1"/>
  <c r="Q1402" i="1"/>
  <c r="U1402" i="1" s="1"/>
  <c r="Q1410" i="1"/>
  <c r="U1410" i="1" s="1"/>
  <c r="Q1418" i="1"/>
  <c r="U1418" i="1" s="1"/>
  <c r="Q1426" i="1"/>
  <c r="U1426" i="1" s="1"/>
  <c r="Q1434" i="1"/>
  <c r="U1434" i="1" s="1"/>
  <c r="Q1442" i="1"/>
  <c r="U1442" i="1" s="1"/>
  <c r="Q657" i="1"/>
  <c r="U657" i="1" s="1"/>
  <c r="Q1458" i="1"/>
  <c r="U1458" i="1" s="1"/>
  <c r="Q1466" i="1"/>
  <c r="U1466" i="1" s="1"/>
  <c r="Q1474" i="1"/>
  <c r="U1474" i="1" s="1"/>
  <c r="Q1482" i="1"/>
  <c r="U1482" i="1" s="1"/>
  <c r="Q1490" i="1"/>
  <c r="U1490" i="1" s="1"/>
  <c r="Q1498" i="1"/>
  <c r="U1498" i="1" s="1"/>
  <c r="Q1506" i="1"/>
  <c r="U1506" i="1" s="1"/>
  <c r="Q1514" i="1"/>
  <c r="U1514" i="1" s="1"/>
  <c r="Q631" i="1"/>
  <c r="U631" i="1" s="1"/>
  <c r="Q1530" i="1"/>
  <c r="U1530" i="1" s="1"/>
  <c r="Q1538" i="1"/>
  <c r="U1538" i="1" s="1"/>
  <c r="Q1546" i="1"/>
  <c r="U1546" i="1" s="1"/>
  <c r="Q1554" i="1"/>
  <c r="U1554" i="1" s="1"/>
  <c r="Q1562" i="1"/>
  <c r="U1562" i="1" s="1"/>
  <c r="Q1570" i="1"/>
  <c r="U1570" i="1" s="1"/>
  <c r="Q1578" i="1"/>
  <c r="U1578" i="1" s="1"/>
  <c r="Q1586" i="1"/>
  <c r="U1586" i="1" s="1"/>
  <c r="Q1594" i="1"/>
  <c r="U1594" i="1" s="1"/>
  <c r="Q1602" i="1"/>
  <c r="U1602" i="1" s="1"/>
  <c r="Q1610" i="1"/>
  <c r="U1610" i="1" s="1"/>
  <c r="Q1618" i="1"/>
  <c r="U1618" i="1" s="1"/>
  <c r="Q1626" i="1"/>
  <c r="U1626" i="1" s="1"/>
  <c r="Q1383" i="1"/>
  <c r="U1383" i="1" s="1"/>
  <c r="Q1407" i="1"/>
  <c r="U1407" i="1" s="1"/>
  <c r="Q1495" i="1"/>
  <c r="U1495" i="1" s="1"/>
  <c r="Q1527" i="1"/>
  <c r="U1527" i="1" s="1"/>
  <c r="Q1535" i="1"/>
  <c r="U1535" i="1" s="1"/>
  <c r="Q1567" i="1"/>
  <c r="U1567" i="1" s="1"/>
  <c r="Q1583" i="1"/>
  <c r="U1583" i="1" s="1"/>
  <c r="Q428" i="1"/>
  <c r="U428" i="1" s="1"/>
  <c r="Q436" i="1"/>
  <c r="U436" i="1" s="1"/>
  <c r="Q452" i="1"/>
  <c r="U452" i="1" s="1"/>
  <c r="Q460" i="1"/>
  <c r="U460" i="1" s="1"/>
  <c r="Q468" i="1"/>
  <c r="U468" i="1" s="1"/>
  <c r="Q476" i="1"/>
  <c r="U476" i="1" s="1"/>
  <c r="Q484" i="1"/>
  <c r="U484" i="1" s="1"/>
  <c r="Q492" i="1"/>
  <c r="U492" i="1" s="1"/>
  <c r="Q500" i="1"/>
  <c r="U500" i="1" s="1"/>
  <c r="Q516" i="1"/>
  <c r="U516" i="1" s="1"/>
  <c r="Q524" i="1"/>
  <c r="U524" i="1" s="1"/>
  <c r="Q532" i="1"/>
  <c r="U532" i="1" s="1"/>
  <c r="Q540" i="1"/>
  <c r="U540" i="1" s="1"/>
  <c r="Q548" i="1"/>
  <c r="U548" i="1" s="1"/>
  <c r="Q556" i="1"/>
  <c r="U556" i="1" s="1"/>
  <c r="Q564" i="1"/>
  <c r="U564" i="1" s="1"/>
  <c r="Q572" i="1"/>
  <c r="U572" i="1" s="1"/>
  <c r="Q580" i="1"/>
  <c r="U580" i="1" s="1"/>
  <c r="Q588" i="1"/>
  <c r="U588" i="1" s="1"/>
  <c r="Q596" i="1"/>
  <c r="U596" i="1" s="1"/>
  <c r="Q604" i="1"/>
  <c r="U604" i="1" s="1"/>
  <c r="Q612" i="1"/>
  <c r="U612" i="1" s="1"/>
  <c r="Q620" i="1"/>
  <c r="U620" i="1" s="1"/>
  <c r="Q647" i="1"/>
  <c r="U647" i="1" s="1"/>
  <c r="Q636" i="1"/>
  <c r="U636" i="1" s="1"/>
  <c r="Q1521" i="1"/>
  <c r="U1521" i="1" s="1"/>
  <c r="Q83" i="1"/>
  <c r="U83" i="1" s="1"/>
  <c r="Q295" i="1"/>
  <c r="U295" i="1" s="1"/>
  <c r="Q351" i="1"/>
  <c r="U351" i="1" s="1"/>
  <c r="Q682" i="1"/>
  <c r="U682" i="1" s="1"/>
  <c r="Q690" i="1"/>
  <c r="U690" i="1" s="1"/>
  <c r="Q698" i="1"/>
  <c r="U698" i="1" s="1"/>
  <c r="Q766" i="1"/>
  <c r="U766" i="1" s="1"/>
  <c r="Q708" i="1"/>
  <c r="U708" i="1" s="1"/>
  <c r="Q716" i="1"/>
  <c r="U716" i="1" s="1"/>
  <c r="Q724" i="1"/>
  <c r="U724" i="1" s="1"/>
  <c r="Q732" i="1"/>
  <c r="U732" i="1" s="1"/>
  <c r="Q740" i="1"/>
  <c r="U740" i="1" s="1"/>
  <c r="Q748" i="1"/>
  <c r="U748" i="1" s="1"/>
  <c r="Q756" i="1"/>
  <c r="U756" i="1" s="1"/>
  <c r="Q764" i="1"/>
  <c r="U764" i="1" s="1"/>
  <c r="Q772" i="1"/>
  <c r="U772" i="1" s="1"/>
  <c r="Q483" i="1"/>
  <c r="U483" i="1" s="1"/>
  <c r="Q788" i="1"/>
  <c r="U788" i="1" s="1"/>
  <c r="Q796" i="1"/>
  <c r="U796" i="1" s="1"/>
  <c r="Q804" i="1"/>
  <c r="U804" i="1" s="1"/>
  <c r="Q812" i="1"/>
  <c r="U812" i="1" s="1"/>
  <c r="Q820" i="1"/>
  <c r="U820" i="1" s="1"/>
  <c r="Q828" i="1"/>
  <c r="U828" i="1" s="1"/>
  <c r="Q842" i="1"/>
  <c r="U842" i="1" s="1"/>
  <c r="Q850" i="1"/>
  <c r="U850" i="1" s="1"/>
  <c r="Q858" i="1"/>
  <c r="U858" i="1" s="1"/>
  <c r="Q866" i="1"/>
  <c r="U866" i="1" s="1"/>
  <c r="Q622" i="1"/>
  <c r="U622" i="1" s="1"/>
  <c r="Q876" i="1"/>
  <c r="U876" i="1" s="1"/>
  <c r="Q884" i="1"/>
  <c r="U884" i="1" s="1"/>
  <c r="Q892" i="1"/>
  <c r="U892" i="1" s="1"/>
  <c r="Q900" i="1"/>
  <c r="U900" i="1" s="1"/>
  <c r="Q908" i="1"/>
  <c r="U908" i="1" s="1"/>
  <c r="Q916" i="1"/>
  <c r="U916" i="1" s="1"/>
  <c r="Q924" i="1"/>
  <c r="U924" i="1" s="1"/>
  <c r="Q932" i="1"/>
  <c r="U932" i="1" s="1"/>
  <c r="Q940" i="1"/>
  <c r="U940" i="1" s="1"/>
  <c r="Q947" i="1"/>
  <c r="U947" i="1" s="1"/>
  <c r="Q955" i="1"/>
  <c r="U955" i="1" s="1"/>
  <c r="Q963" i="1"/>
  <c r="U963" i="1" s="1"/>
  <c r="Q971" i="1"/>
  <c r="U971" i="1" s="1"/>
  <c r="Q979" i="1"/>
  <c r="U979" i="1" s="1"/>
  <c r="Q987" i="1"/>
  <c r="U987" i="1" s="1"/>
  <c r="Q996" i="1"/>
  <c r="U996" i="1" s="1"/>
  <c r="Q1004" i="1"/>
  <c r="U1004" i="1" s="1"/>
  <c r="Q1012" i="1"/>
  <c r="U1012" i="1" s="1"/>
  <c r="Q1020" i="1"/>
  <c r="U1020" i="1" s="1"/>
  <c r="Q1028" i="1"/>
  <c r="U1028" i="1" s="1"/>
  <c r="Q1036" i="1"/>
  <c r="U1036" i="1" s="1"/>
  <c r="Q1044" i="1"/>
  <c r="U1044" i="1" s="1"/>
  <c r="Q1052" i="1"/>
  <c r="U1052" i="1" s="1"/>
  <c r="Q1060" i="1"/>
  <c r="U1060" i="1" s="1"/>
  <c r="Q1068" i="1"/>
  <c r="U1068" i="1" s="1"/>
  <c r="Q1076" i="1"/>
  <c r="U1076" i="1" s="1"/>
  <c r="Q1084" i="1"/>
  <c r="U1084" i="1" s="1"/>
  <c r="Q1092" i="1"/>
  <c r="U1092" i="1" s="1"/>
  <c r="Q1100" i="1"/>
  <c r="U1100" i="1" s="1"/>
  <c r="Q1108" i="1"/>
  <c r="U1108" i="1" s="1"/>
  <c r="Q1116" i="1"/>
  <c r="U1116" i="1" s="1"/>
  <c r="Q1124" i="1"/>
  <c r="U1124" i="1" s="1"/>
  <c r="Q1132" i="1"/>
  <c r="U1132" i="1" s="1"/>
  <c r="Q1140" i="1"/>
  <c r="U1140" i="1" s="1"/>
  <c r="Q1148" i="1"/>
  <c r="U1148" i="1" s="1"/>
  <c r="Q1156" i="1"/>
  <c r="U1156" i="1" s="1"/>
  <c r="Q1164" i="1"/>
  <c r="U1164" i="1" s="1"/>
  <c r="Q1172" i="1"/>
  <c r="U1172" i="1" s="1"/>
  <c r="Q1180" i="1"/>
  <c r="U1180" i="1" s="1"/>
  <c r="Q1187" i="1"/>
  <c r="U1187" i="1" s="1"/>
  <c r="Q1195" i="1"/>
  <c r="U1195" i="1" s="1"/>
  <c r="Q1203" i="1"/>
  <c r="U1203" i="1" s="1"/>
  <c r="Q1211" i="1"/>
  <c r="U1211" i="1" s="1"/>
  <c r="Q1220" i="1"/>
  <c r="U1220" i="1" s="1"/>
  <c r="Q1228" i="1"/>
  <c r="U1228" i="1" s="1"/>
  <c r="Q1236" i="1"/>
  <c r="U1236" i="1" s="1"/>
  <c r="Q1244" i="1"/>
  <c r="U1244" i="1" s="1"/>
  <c r="Q1252" i="1"/>
  <c r="U1252" i="1" s="1"/>
  <c r="Q1260" i="1"/>
  <c r="U1260" i="1" s="1"/>
  <c r="Q1268" i="1"/>
  <c r="U1268" i="1" s="1"/>
  <c r="Q1276" i="1"/>
  <c r="U1276" i="1" s="1"/>
  <c r="Q1284" i="1"/>
  <c r="U1284" i="1" s="1"/>
  <c r="Q1292" i="1"/>
  <c r="U1292" i="1" s="1"/>
  <c r="Q1300" i="1"/>
  <c r="U1300" i="1" s="1"/>
  <c r="Q1308" i="1"/>
  <c r="U1308" i="1" s="1"/>
  <c r="Q1316" i="1"/>
  <c r="U1316" i="1" s="1"/>
  <c r="Q1324" i="1"/>
  <c r="U1324" i="1" s="1"/>
  <c r="Q1332" i="1"/>
  <c r="U1332" i="1" s="1"/>
  <c r="Q1340" i="1"/>
  <c r="U1340" i="1" s="1"/>
  <c r="Q1348" i="1"/>
  <c r="U1348" i="1" s="1"/>
  <c r="Q1356" i="1"/>
  <c r="U1356" i="1" s="1"/>
  <c r="Q1364" i="1"/>
  <c r="U1364" i="1" s="1"/>
  <c r="Q1372" i="1"/>
  <c r="U1372" i="1" s="1"/>
  <c r="Q1380" i="1"/>
  <c r="U1380" i="1" s="1"/>
  <c r="Q1388" i="1"/>
  <c r="U1388" i="1" s="1"/>
  <c r="Q1396" i="1"/>
  <c r="U1396" i="1" s="1"/>
  <c r="Q1404" i="1"/>
  <c r="U1404" i="1" s="1"/>
  <c r="Q1412" i="1"/>
  <c r="U1412" i="1" s="1"/>
  <c r="Q1420" i="1"/>
  <c r="U1420" i="1" s="1"/>
  <c r="Q1428" i="1"/>
  <c r="U1428" i="1" s="1"/>
  <c r="Q1436" i="1"/>
  <c r="U1436" i="1" s="1"/>
  <c r="Q1444" i="1"/>
  <c r="U1444" i="1" s="1"/>
  <c r="Q659" i="1"/>
  <c r="U659" i="1" s="1"/>
  <c r="Q1460" i="1"/>
  <c r="U1460" i="1" s="1"/>
  <c r="Q1468" i="1"/>
  <c r="U1468" i="1" s="1"/>
  <c r="Q1476" i="1"/>
  <c r="U1476" i="1" s="1"/>
  <c r="Q1484" i="1"/>
  <c r="U1484" i="1" s="1"/>
  <c r="Q1492" i="1"/>
  <c r="U1492" i="1" s="1"/>
  <c r="Q1500" i="1"/>
  <c r="U1500" i="1" s="1"/>
  <c r="Q1508" i="1"/>
  <c r="U1508" i="1" s="1"/>
  <c r="Q626" i="1"/>
  <c r="U626" i="1" s="1"/>
  <c r="Q1524" i="1"/>
  <c r="U1524" i="1" s="1"/>
  <c r="Q1532" i="1"/>
  <c r="U1532" i="1" s="1"/>
  <c r="Q1540" i="1"/>
  <c r="U1540" i="1" s="1"/>
  <c r="Q1548" i="1"/>
  <c r="U1548" i="1" s="1"/>
  <c r="Q1556" i="1"/>
  <c r="U1556" i="1" s="1"/>
  <c r="Q1564" i="1"/>
  <c r="U1564" i="1" s="1"/>
  <c r="Q1572" i="1"/>
  <c r="U1572" i="1" s="1"/>
  <c r="Q1580" i="1"/>
  <c r="U1580" i="1" s="1"/>
  <c r="Q1588" i="1"/>
  <c r="U1588" i="1" s="1"/>
  <c r="Q1596" i="1"/>
  <c r="U1596" i="1" s="1"/>
  <c r="Q1604" i="1"/>
  <c r="U1604" i="1" s="1"/>
  <c r="Q1612" i="1"/>
  <c r="U1612" i="1" s="1"/>
  <c r="Q1620" i="1"/>
  <c r="U1620" i="1" s="1"/>
  <c r="Q1628" i="1"/>
  <c r="U1628" i="1" s="1"/>
  <c r="Q652" i="1"/>
  <c r="U652" i="1" s="1"/>
  <c r="Q737" i="1"/>
  <c r="U737" i="1" s="1"/>
  <c r="Q753" i="1"/>
  <c r="U753" i="1" s="1"/>
  <c r="Q360" i="1"/>
  <c r="U360" i="1" s="1"/>
  <c r="Q793" i="1"/>
  <c r="U793" i="1" s="1"/>
  <c r="Q801" i="1"/>
  <c r="U801" i="1" s="1"/>
  <c r="Q809" i="1"/>
  <c r="U809" i="1" s="1"/>
  <c r="Q817" i="1"/>
  <c r="U817" i="1" s="1"/>
  <c r="Q825" i="1"/>
  <c r="U825" i="1" s="1"/>
  <c r="Q847" i="1"/>
  <c r="U847" i="1" s="1"/>
  <c r="Q855" i="1"/>
  <c r="U855" i="1" s="1"/>
  <c r="Q863" i="1"/>
  <c r="U863" i="1" s="1"/>
  <c r="Q675" i="1"/>
  <c r="U675" i="1" s="1"/>
  <c r="Q873" i="1"/>
  <c r="U873" i="1" s="1"/>
  <c r="Q881" i="1"/>
  <c r="U881" i="1" s="1"/>
  <c r="Q889" i="1"/>
  <c r="U889" i="1" s="1"/>
  <c r="Q897" i="1"/>
  <c r="U897" i="1" s="1"/>
  <c r="Q905" i="1"/>
  <c r="U905" i="1" s="1"/>
  <c r="Q913" i="1"/>
  <c r="U913" i="1" s="1"/>
  <c r="Q921" i="1"/>
  <c r="U921" i="1" s="1"/>
  <c r="Q929" i="1"/>
  <c r="U929" i="1" s="1"/>
  <c r="Q937" i="1"/>
  <c r="U937" i="1" s="1"/>
  <c r="Q944" i="1"/>
  <c r="U944" i="1" s="1"/>
  <c r="Q952" i="1"/>
  <c r="U952" i="1" s="1"/>
  <c r="Q960" i="1"/>
  <c r="U960" i="1" s="1"/>
  <c r="Q968" i="1"/>
  <c r="U968" i="1" s="1"/>
  <c r="Q976" i="1"/>
  <c r="U976" i="1" s="1"/>
  <c r="Q984" i="1"/>
  <c r="U984" i="1" s="1"/>
  <c r="Q993" i="1"/>
  <c r="U993" i="1" s="1"/>
  <c r="Q1113" i="1"/>
  <c r="U1113" i="1" s="1"/>
  <c r="Q1121" i="1"/>
  <c r="U1121" i="1" s="1"/>
  <c r="Q1129" i="1"/>
  <c r="U1129" i="1" s="1"/>
  <c r="Q1137" i="1"/>
  <c r="U1137" i="1" s="1"/>
  <c r="Q1145" i="1"/>
  <c r="U1145" i="1" s="1"/>
  <c r="Q1153" i="1"/>
  <c r="U1153" i="1" s="1"/>
  <c r="Q1161" i="1"/>
  <c r="U1161" i="1" s="1"/>
  <c r="Q1257" i="1"/>
  <c r="U1257" i="1" s="1"/>
  <c r="Q1265" i="1"/>
  <c r="U1265" i="1" s="1"/>
  <c r="Q1273" i="1"/>
  <c r="U1273" i="1" s="1"/>
  <c r="Q1281" i="1"/>
  <c r="U1281" i="1" s="1"/>
  <c r="Q1289" i="1"/>
  <c r="U1289" i="1" s="1"/>
  <c r="Q1297" i="1"/>
  <c r="U1297" i="1" s="1"/>
  <c r="Q1305" i="1"/>
  <c r="U1305" i="1" s="1"/>
  <c r="Q1313" i="1"/>
  <c r="U1313" i="1" s="1"/>
  <c r="Q1321" i="1"/>
  <c r="U1321" i="1" s="1"/>
  <c r="Q1329" i="1"/>
  <c r="U1329" i="1" s="1"/>
  <c r="Q1337" i="1"/>
  <c r="U1337" i="1" s="1"/>
  <c r="Q1345" i="1"/>
  <c r="U1345" i="1" s="1"/>
  <c r="Q1353" i="1"/>
  <c r="U1353" i="1" s="1"/>
  <c r="Q1361" i="1"/>
  <c r="U1361" i="1" s="1"/>
  <c r="Q1369" i="1"/>
  <c r="U1369" i="1" s="1"/>
  <c r="Q1377" i="1"/>
  <c r="U1377" i="1" s="1"/>
  <c r="Q1385" i="1"/>
  <c r="U1385" i="1" s="1"/>
  <c r="Q1393" i="1"/>
  <c r="U1393" i="1" s="1"/>
  <c r="Q1425" i="1"/>
  <c r="U1425" i="1" s="1"/>
  <c r="Q1433" i="1"/>
  <c r="U1433" i="1" s="1"/>
  <c r="Q1441" i="1"/>
  <c r="U1441" i="1" s="1"/>
  <c r="Q656" i="1"/>
  <c r="U656" i="1" s="1"/>
  <c r="Q1457" i="1"/>
  <c r="U1457" i="1" s="1"/>
  <c r="Q1465" i="1"/>
  <c r="U1465" i="1" s="1"/>
  <c r="Q1473" i="1"/>
  <c r="U1473" i="1" s="1"/>
  <c r="Q1481" i="1"/>
  <c r="U1481" i="1" s="1"/>
  <c r="Q1489" i="1"/>
  <c r="U1489" i="1" s="1"/>
  <c r="Q630" i="1"/>
  <c r="U630" i="1" s="1"/>
  <c r="Q1529" i="1"/>
  <c r="U1529" i="1" s="1"/>
  <c r="Q1537" i="1"/>
  <c r="U1537" i="1" s="1"/>
  <c r="Q1545" i="1"/>
  <c r="U1545" i="1" s="1"/>
  <c r="Q1553" i="1"/>
  <c r="U1553" i="1" s="1"/>
  <c r="Q1561" i="1"/>
  <c r="U1561" i="1" s="1"/>
  <c r="Q1569" i="1"/>
  <c r="U1569" i="1" s="1"/>
  <c r="Q1577" i="1"/>
  <c r="U1577" i="1" s="1"/>
  <c r="Q1585" i="1"/>
  <c r="U1585" i="1" s="1"/>
  <c r="Q1593" i="1"/>
  <c r="U1593" i="1" s="1"/>
  <c r="Q1601" i="1"/>
  <c r="U1601" i="1" s="1"/>
  <c r="Q1609" i="1"/>
  <c r="U1609" i="1" s="1"/>
  <c r="Q1617" i="1"/>
  <c r="U1617" i="1" s="1"/>
  <c r="Q1625" i="1"/>
  <c r="U1625" i="1" s="1"/>
  <c r="Q478" i="1"/>
  <c r="U478" i="1" s="1"/>
  <c r="Q1181" i="1"/>
  <c r="U1181" i="1" s="1"/>
  <c r="Q1189" i="1"/>
  <c r="U1189" i="1" s="1"/>
  <c r="Q1197" i="1"/>
  <c r="U1197" i="1" s="1"/>
  <c r="Q1205" i="1"/>
  <c r="U1205" i="1" s="1"/>
  <c r="Q1213" i="1"/>
  <c r="U1213" i="1" s="1"/>
  <c r="Q1222" i="1"/>
  <c r="U1222" i="1" s="1"/>
  <c r="Q1230" i="1"/>
  <c r="U1230" i="1" s="1"/>
  <c r="Q1238" i="1"/>
  <c r="U1238" i="1" s="1"/>
  <c r="Q1246" i="1"/>
  <c r="U1246" i="1" s="1"/>
  <c r="Q1254" i="1"/>
  <c r="U1254" i="1" s="1"/>
  <c r="Q1262" i="1"/>
  <c r="U1262" i="1" s="1"/>
  <c r="Q1270" i="1"/>
  <c r="U1270" i="1" s="1"/>
  <c r="Q1278" i="1"/>
  <c r="U1278" i="1" s="1"/>
  <c r="Q1286" i="1"/>
  <c r="U1286" i="1" s="1"/>
  <c r="Q1294" i="1"/>
  <c r="U1294" i="1" s="1"/>
  <c r="Q1302" i="1"/>
  <c r="U1302" i="1" s="1"/>
  <c r="Q1310" i="1"/>
  <c r="U1310" i="1" s="1"/>
  <c r="Q1318" i="1"/>
  <c r="U1318" i="1" s="1"/>
  <c r="Q1326" i="1"/>
  <c r="U1326" i="1" s="1"/>
  <c r="Q1334" i="1"/>
  <c r="U1334" i="1" s="1"/>
  <c r="Q1342" i="1"/>
  <c r="U1342" i="1" s="1"/>
  <c r="Q1350" i="1"/>
  <c r="U1350" i="1" s="1"/>
  <c r="Q1358" i="1"/>
  <c r="U1358" i="1" s="1"/>
  <c r="Q1366" i="1"/>
  <c r="U1366" i="1" s="1"/>
  <c r="Q1374" i="1"/>
  <c r="U1374" i="1" s="1"/>
  <c r="Q1382" i="1"/>
  <c r="U1382" i="1" s="1"/>
  <c r="Q1390" i="1"/>
  <c r="U1390" i="1" s="1"/>
  <c r="Q1398" i="1"/>
  <c r="U1398" i="1" s="1"/>
  <c r="Q1406" i="1"/>
  <c r="U1406" i="1" s="1"/>
  <c r="Q1414" i="1"/>
  <c r="U1414" i="1" s="1"/>
  <c r="Q1422" i="1"/>
  <c r="U1422" i="1" s="1"/>
  <c r="Q1430" i="1"/>
  <c r="U1430" i="1" s="1"/>
  <c r="Q1438" i="1"/>
  <c r="U1438" i="1" s="1"/>
  <c r="Q1446" i="1"/>
  <c r="U1446" i="1" s="1"/>
  <c r="Q1454" i="1"/>
  <c r="U1454" i="1" s="1"/>
  <c r="Q1462" i="1"/>
  <c r="U1462" i="1" s="1"/>
  <c r="Q1470" i="1"/>
  <c r="U1470" i="1" s="1"/>
  <c r="Q1478" i="1"/>
  <c r="U1478" i="1" s="1"/>
  <c r="Q1486" i="1"/>
  <c r="U1486" i="1" s="1"/>
  <c r="Q1494" i="1"/>
  <c r="U1494" i="1" s="1"/>
  <c r="Q1502" i="1"/>
  <c r="U1502" i="1" s="1"/>
  <c r="Q1510" i="1"/>
  <c r="U1510" i="1" s="1"/>
  <c r="Q1579" i="1"/>
  <c r="U1579" i="1" s="1"/>
  <c r="Q1587" i="1"/>
  <c r="U1587" i="1" s="1"/>
  <c r="Q1595" i="1"/>
  <c r="U1595" i="1" s="1"/>
  <c r="Q1603" i="1"/>
  <c r="U1603" i="1" s="1"/>
  <c r="Q1611" i="1"/>
  <c r="U1611" i="1" s="1"/>
  <c r="Q1619" i="1"/>
  <c r="U1619" i="1" s="1"/>
  <c r="Q1627" i="1"/>
  <c r="U1627" i="1" s="1"/>
  <c r="D5" i="3" l="1"/>
  <c r="D4" i="3"/>
  <c r="C7" i="3"/>
  <c r="D3" i="3"/>
  <c r="D6" i="3"/>
  <c r="B7" i="3"/>
  <c r="D7" i="3" l="1"/>
</calcChain>
</file>

<file path=xl/sharedStrings.xml><?xml version="1.0" encoding="utf-8"?>
<sst xmlns="http://schemas.openxmlformats.org/spreadsheetml/2006/main" count="9908" uniqueCount="2302">
  <si>
    <t>Order_Number</t>
  </si>
  <si>
    <t>Activity</t>
  </si>
  <si>
    <t>Order_ID</t>
  </si>
  <si>
    <t>Product</t>
  </si>
  <si>
    <t>Activity_Zip</t>
  </si>
  <si>
    <t>Customer_Name</t>
  </si>
  <si>
    <t>Buyer_Type</t>
  </si>
  <si>
    <t>Units</t>
  </si>
  <si>
    <t>Activity_Month</t>
  </si>
  <si>
    <t>Sale</t>
  </si>
  <si>
    <t>3Lig90</t>
  </si>
  <si>
    <t>Light Linen Shirt</t>
  </si>
  <si>
    <t>Thomas Wells</t>
  </si>
  <si>
    <t>Online Individual</t>
  </si>
  <si>
    <t>FEB</t>
  </si>
  <si>
    <t>4Lig10</t>
  </si>
  <si>
    <t>Alexander Davis</t>
  </si>
  <si>
    <t>MAR</t>
  </si>
  <si>
    <t>7Pro10</t>
  </si>
  <si>
    <t>Professional Collar Shirt</t>
  </si>
  <si>
    <t>Elian Grant</t>
  </si>
  <si>
    <t>9Nav10</t>
  </si>
  <si>
    <t>Navy Blue Dapper Suit</t>
  </si>
  <si>
    <t>Nicholas Harris</t>
  </si>
  <si>
    <t>10Pro10</t>
  </si>
  <si>
    <t>Michael Roberts</t>
  </si>
  <si>
    <t>11Nav10</t>
  </si>
  <si>
    <t>James Smith</t>
  </si>
  <si>
    <t>12Pro10</t>
  </si>
  <si>
    <t>Ted Ellis</t>
  </si>
  <si>
    <t>14Pro10</t>
  </si>
  <si>
    <t>Daniel Bennett</t>
  </si>
  <si>
    <t>17Nav10</t>
  </si>
  <si>
    <t>Frederick Moore</t>
  </si>
  <si>
    <t>19Nav10</t>
  </si>
  <si>
    <t>Macys</t>
  </si>
  <si>
    <t>Retail Buyer</t>
  </si>
  <si>
    <t>21Nav10</t>
  </si>
  <si>
    <t>SAKS Fifth Avenue</t>
  </si>
  <si>
    <t>JAN</t>
  </si>
  <si>
    <t>23Woo10</t>
  </si>
  <si>
    <t>Wool Blue Jacket</t>
  </si>
  <si>
    <t>Barneys New York</t>
  </si>
  <si>
    <t>25Pro10</t>
  </si>
  <si>
    <t>28Sus10</t>
  </si>
  <si>
    <t>Susy Winter Coat</t>
  </si>
  <si>
    <t>29Woo10</t>
  </si>
  <si>
    <t>30Woo10</t>
  </si>
  <si>
    <t>32Sus10</t>
  </si>
  <si>
    <t>33Sus10</t>
  </si>
  <si>
    <t>34Sus10</t>
  </si>
  <si>
    <t>35Sus10</t>
  </si>
  <si>
    <t>36Pro10</t>
  </si>
  <si>
    <t>48Woo10</t>
  </si>
  <si>
    <t>59Woo10</t>
  </si>
  <si>
    <t>67Woo10</t>
  </si>
  <si>
    <t>101Nav10</t>
  </si>
  <si>
    <t>116Pro10</t>
  </si>
  <si>
    <t>117Pro10</t>
  </si>
  <si>
    <t>118Woo10</t>
  </si>
  <si>
    <t>122Woo10</t>
  </si>
  <si>
    <t>123Woo10</t>
  </si>
  <si>
    <t>124Woo10</t>
  </si>
  <si>
    <t>125Lig10</t>
  </si>
  <si>
    <t>126Pro10</t>
  </si>
  <si>
    <t>127Woo10</t>
  </si>
  <si>
    <t>128Pro10</t>
  </si>
  <si>
    <t>Arthur Owens</t>
  </si>
  <si>
    <t>129Woo10</t>
  </si>
  <si>
    <t>Roland Murray</t>
  </si>
  <si>
    <t>130Nav10</t>
  </si>
  <si>
    <t>Reid Spencer</t>
  </si>
  <si>
    <t>131Woo10</t>
  </si>
  <si>
    <t>132Woo10</t>
  </si>
  <si>
    <t>133Woo10</t>
  </si>
  <si>
    <t>134Woo10</t>
  </si>
  <si>
    <t>153Woo10</t>
  </si>
  <si>
    <t>154Woo10</t>
  </si>
  <si>
    <t>171Woo10</t>
  </si>
  <si>
    <t>172Woo10</t>
  </si>
  <si>
    <t>173Woo10</t>
  </si>
  <si>
    <t>174Woo10</t>
  </si>
  <si>
    <t>175Woo10</t>
  </si>
  <si>
    <t>176Woo10</t>
  </si>
  <si>
    <t>179Nav10</t>
  </si>
  <si>
    <t>203Woo10</t>
  </si>
  <si>
    <t>Rafael Ross</t>
  </si>
  <si>
    <t>204Woo10</t>
  </si>
  <si>
    <t>Aldus Moore</t>
  </si>
  <si>
    <t>205Pro10</t>
  </si>
  <si>
    <t>Ashton Crawford</t>
  </si>
  <si>
    <t>415Pro90</t>
  </si>
  <si>
    <t>Patrick Ryan</t>
  </si>
  <si>
    <t>431Pro33</t>
  </si>
  <si>
    <t>Derek Morgan</t>
  </si>
  <si>
    <t>432Pro33</t>
  </si>
  <si>
    <t>Kohls</t>
  </si>
  <si>
    <t>458Nav33</t>
  </si>
  <si>
    <t>Neiman Marcus</t>
  </si>
  <si>
    <t>459Nav33</t>
  </si>
  <si>
    <t>463Nav33</t>
  </si>
  <si>
    <t>465Nav33</t>
  </si>
  <si>
    <t>469Lig33</t>
  </si>
  <si>
    <t>471Lig33</t>
  </si>
  <si>
    <t>Alexander Casey</t>
  </si>
  <si>
    <t>476Nav33</t>
  </si>
  <si>
    <t>482Nav33</t>
  </si>
  <si>
    <t>483Nav33</t>
  </si>
  <si>
    <t>484Nav33</t>
  </si>
  <si>
    <t>486Nav33</t>
  </si>
  <si>
    <t>487Nav33</t>
  </si>
  <si>
    <t>488Nav33</t>
  </si>
  <si>
    <t>489Nav33</t>
  </si>
  <si>
    <t>491Nav33</t>
  </si>
  <si>
    <t>497Lig33</t>
  </si>
  <si>
    <t>498Lig33</t>
  </si>
  <si>
    <t>Arthur Watson</t>
  </si>
  <si>
    <t>502Nav33</t>
  </si>
  <si>
    <t>510Nav33</t>
  </si>
  <si>
    <t>Alexander Hill</t>
  </si>
  <si>
    <t>511Nav33</t>
  </si>
  <si>
    <t>Jack Bailey</t>
  </si>
  <si>
    <t>512Nav33</t>
  </si>
  <si>
    <t>Arny Turn</t>
  </si>
  <si>
    <t>515Lig33</t>
  </si>
  <si>
    <t>Haris Douglas</t>
  </si>
  <si>
    <t>575Woo10</t>
  </si>
  <si>
    <t>576Woo10</t>
  </si>
  <si>
    <t>577Nav10</t>
  </si>
  <si>
    <t>Albert Roberts</t>
  </si>
  <si>
    <t>578Pro10</t>
  </si>
  <si>
    <t>Victor Gibson</t>
  </si>
  <si>
    <t>579Woo10</t>
  </si>
  <si>
    <t>580Woo10</t>
  </si>
  <si>
    <t>Rafael Richardson</t>
  </si>
  <si>
    <t>581Woo10</t>
  </si>
  <si>
    <t>582Pro10</t>
  </si>
  <si>
    <t>Adison Kelley</t>
  </si>
  <si>
    <t>583Woo10</t>
  </si>
  <si>
    <t>584Pro10</t>
  </si>
  <si>
    <t>James Casey</t>
  </si>
  <si>
    <t>585Woo10</t>
  </si>
  <si>
    <t>586Pro10</t>
  </si>
  <si>
    <t>Eric Payne</t>
  </si>
  <si>
    <t>587Woo10</t>
  </si>
  <si>
    <t>588Woo10</t>
  </si>
  <si>
    <t>589Woo10</t>
  </si>
  <si>
    <t>590Woo10</t>
  </si>
  <si>
    <t>591Woo10</t>
  </si>
  <si>
    <t>592Woo10</t>
  </si>
  <si>
    <t>593Pro10</t>
  </si>
  <si>
    <t>594Pro10</t>
  </si>
  <si>
    <t>595Nav10</t>
  </si>
  <si>
    <t>597Pro10</t>
  </si>
  <si>
    <t>600Pro10</t>
  </si>
  <si>
    <t>602Nav10</t>
  </si>
  <si>
    <t>606Woo10</t>
  </si>
  <si>
    <t>607Woo10</t>
  </si>
  <si>
    <t>608Woo10</t>
  </si>
  <si>
    <t>609Woo10</t>
  </si>
  <si>
    <t>611Pro10</t>
  </si>
  <si>
    <t>646Nav10</t>
  </si>
  <si>
    <t>647Pro10</t>
  </si>
  <si>
    <t>648Pro10</t>
  </si>
  <si>
    <t>649Pro10</t>
  </si>
  <si>
    <t>655Woo10</t>
  </si>
  <si>
    <t>656Woo10</t>
  </si>
  <si>
    <t>657Woo10</t>
  </si>
  <si>
    <t>658Woo10</t>
  </si>
  <si>
    <t>659Woo10</t>
  </si>
  <si>
    <t>663Woo10</t>
  </si>
  <si>
    <t>666Pro10</t>
  </si>
  <si>
    <t>668Pro10</t>
  </si>
  <si>
    <t>670Woo10</t>
  </si>
  <si>
    <t>672Woo10</t>
  </si>
  <si>
    <t>674Woo10</t>
  </si>
  <si>
    <t>675Woo10</t>
  </si>
  <si>
    <t>676Woo10</t>
  </si>
  <si>
    <t>679Pro10</t>
  </si>
  <si>
    <t>680Pro10</t>
  </si>
  <si>
    <t>681Pro10</t>
  </si>
  <si>
    <t>Patrick Stevens</t>
  </si>
  <si>
    <t>682Pro10</t>
  </si>
  <si>
    <t>Ryan Stevens</t>
  </si>
  <si>
    <t>683Pro10</t>
  </si>
  <si>
    <t>Tony Ferguson</t>
  </si>
  <si>
    <t>684Pro10</t>
  </si>
  <si>
    <t>Bruce Henderson</t>
  </si>
  <si>
    <t>688Woo10</t>
  </si>
  <si>
    <t>689Woo10</t>
  </si>
  <si>
    <t>690Woo10</t>
  </si>
  <si>
    <t>695Lig90</t>
  </si>
  <si>
    <t>Arthur Johnston</t>
  </si>
  <si>
    <t>697Pro10</t>
  </si>
  <si>
    <t>Andrew Henderson</t>
  </si>
  <si>
    <t>698Pro10</t>
  </si>
  <si>
    <t>699Pro10</t>
  </si>
  <si>
    <t>700Pro10</t>
  </si>
  <si>
    <t>701Pro10</t>
  </si>
  <si>
    <t>702Pro10</t>
  </si>
  <si>
    <t>703Pro10</t>
  </si>
  <si>
    <t>704Pro10</t>
  </si>
  <si>
    <t>705Pro10</t>
  </si>
  <si>
    <t>707Pro10</t>
  </si>
  <si>
    <t>709Pro10</t>
  </si>
  <si>
    <t>710Pro10</t>
  </si>
  <si>
    <t>711Pro10</t>
  </si>
  <si>
    <t>712Pro10</t>
  </si>
  <si>
    <t>713Pro10</t>
  </si>
  <si>
    <t>714Pro10</t>
  </si>
  <si>
    <t>715Pro10</t>
  </si>
  <si>
    <t>716Pro10</t>
  </si>
  <si>
    <t>717Pro10</t>
  </si>
  <si>
    <t>718Pro10</t>
  </si>
  <si>
    <t>721Pro10</t>
  </si>
  <si>
    <t>Oscar Howard</t>
  </si>
  <si>
    <t>726Pro10</t>
  </si>
  <si>
    <t>James Watson</t>
  </si>
  <si>
    <t>727Pro10</t>
  </si>
  <si>
    <t>Sam Warren</t>
  </si>
  <si>
    <t>728Pro10</t>
  </si>
  <si>
    <t>Dainton Smith</t>
  </si>
  <si>
    <t>729Pro10</t>
  </si>
  <si>
    <t>Alfred Cole</t>
  </si>
  <si>
    <t>730Pro10</t>
  </si>
  <si>
    <t>Ryan Campbell</t>
  </si>
  <si>
    <t>731Pro10</t>
  </si>
  <si>
    <t>Luke Ryan</t>
  </si>
  <si>
    <t>735Pro10</t>
  </si>
  <si>
    <t>Oliver Hall</t>
  </si>
  <si>
    <t>736Pro10</t>
  </si>
  <si>
    <t>William Richards</t>
  </si>
  <si>
    <t>737Pro10</t>
  </si>
  <si>
    <t>James Harper</t>
  </si>
  <si>
    <t>738Pro10</t>
  </si>
  <si>
    <t>Patrick Mason</t>
  </si>
  <si>
    <t>742Pro10</t>
  </si>
  <si>
    <t>781Pro33</t>
  </si>
  <si>
    <t>967Lig80</t>
  </si>
  <si>
    <t>Oliver Rogers</t>
  </si>
  <si>
    <t>968Lig80</t>
  </si>
  <si>
    <t>Preston Parker</t>
  </si>
  <si>
    <t>969Lig80</t>
  </si>
  <si>
    <t>Carl Cole</t>
  </si>
  <si>
    <t>970Lig80</t>
  </si>
  <si>
    <t>Clark Johnston</t>
  </si>
  <si>
    <t>971Lig80</t>
  </si>
  <si>
    <t>David Hunt</t>
  </si>
  <si>
    <t>972Lig80</t>
  </si>
  <si>
    <t>David Ross</t>
  </si>
  <si>
    <t>973Lig80</t>
  </si>
  <si>
    <t>James Johnson</t>
  </si>
  <si>
    <t>974Lig80</t>
  </si>
  <si>
    <t>Sawyer Hawkins</t>
  </si>
  <si>
    <t>975Lig80</t>
  </si>
  <si>
    <t>Spike Walker</t>
  </si>
  <si>
    <t>976Lig80</t>
  </si>
  <si>
    <t>Stuart Warren</t>
  </si>
  <si>
    <t>977Sus80</t>
  </si>
  <si>
    <t>Daryl Ross</t>
  </si>
  <si>
    <t>979Lig80</t>
  </si>
  <si>
    <t>Oliver Allen</t>
  </si>
  <si>
    <t>982Lig80</t>
  </si>
  <si>
    <t>David Montgomery</t>
  </si>
  <si>
    <t>985Lig80</t>
  </si>
  <si>
    <t>Abraham Carroll</t>
  </si>
  <si>
    <t>986Sus80</t>
  </si>
  <si>
    <t>Walter Cameron</t>
  </si>
  <si>
    <t>987Lig80</t>
  </si>
  <si>
    <t>Spike Roberts</t>
  </si>
  <si>
    <t>988Lig80</t>
  </si>
  <si>
    <t>Garry Ross</t>
  </si>
  <si>
    <t>989Lig80</t>
  </si>
  <si>
    <t>Alfred Johnston</t>
  </si>
  <si>
    <t>990Lig80</t>
  </si>
  <si>
    <t>Jack Ellis</t>
  </si>
  <si>
    <t>991Lig80</t>
  </si>
  <si>
    <t>Arnold Morrison</t>
  </si>
  <si>
    <t>992Lig80</t>
  </si>
  <si>
    <t>Alexander Stewart</t>
  </si>
  <si>
    <t>993Lig80</t>
  </si>
  <si>
    <t>Marcus Casey</t>
  </si>
  <si>
    <t>994Lig80</t>
  </si>
  <si>
    <t>Sawyer Chapman</t>
  </si>
  <si>
    <t>995Lig80</t>
  </si>
  <si>
    <t>Jordan Cameron</t>
  </si>
  <si>
    <t>996Lig80</t>
  </si>
  <si>
    <t>Maximilian Hawkins</t>
  </si>
  <si>
    <t>997Lig80</t>
  </si>
  <si>
    <t>Eric Parker</t>
  </si>
  <si>
    <t>998Lig80</t>
  </si>
  <si>
    <t>Daryl Parker</t>
  </si>
  <si>
    <t>999Lig80</t>
  </si>
  <si>
    <t>Elian Carroll</t>
  </si>
  <si>
    <t>1000Lig80</t>
  </si>
  <si>
    <t>Ted Hunt</t>
  </si>
  <si>
    <t>1001Lig80</t>
  </si>
  <si>
    <t>Ryan Rogers</t>
  </si>
  <si>
    <t>1002Sus80</t>
  </si>
  <si>
    <t>Carlos Hamilton</t>
  </si>
  <si>
    <t>1003Lig80</t>
  </si>
  <si>
    <t>Martin Williams</t>
  </si>
  <si>
    <t>1004Lig80</t>
  </si>
  <si>
    <t>Paul Adams</t>
  </si>
  <si>
    <t>1005Lig80</t>
  </si>
  <si>
    <t>Alexander Ellis</t>
  </si>
  <si>
    <t>1006Lig80</t>
  </si>
  <si>
    <t>Clark Turner</t>
  </si>
  <si>
    <t>1007Lig80</t>
  </si>
  <si>
    <t>Alfred Harper</t>
  </si>
  <si>
    <t>1008Lig80</t>
  </si>
  <si>
    <t>Thomas Anderson</t>
  </si>
  <si>
    <t>1009Lig80</t>
  </si>
  <si>
    <t>Aston Hill</t>
  </si>
  <si>
    <t>1010Lig80</t>
  </si>
  <si>
    <t>Blake Lloyd</t>
  </si>
  <si>
    <t>1011Lig80</t>
  </si>
  <si>
    <t>Ashton Cameron</t>
  </si>
  <si>
    <t>1012Lig80</t>
  </si>
  <si>
    <t>Stuart Johnson</t>
  </si>
  <si>
    <t>1013Lig80</t>
  </si>
  <si>
    <t>John Anderson</t>
  </si>
  <si>
    <t>1014Lig80</t>
  </si>
  <si>
    <t>Brad Bennett</t>
  </si>
  <si>
    <t>1015Woo80</t>
  </si>
  <si>
    <t>Albert Alexander</t>
  </si>
  <si>
    <t>1016Lig80</t>
  </si>
  <si>
    <t>Garry Smith</t>
  </si>
  <si>
    <t>1017Lig80</t>
  </si>
  <si>
    <t>Adam Perkins</t>
  </si>
  <si>
    <t>1018Lig80</t>
  </si>
  <si>
    <t>Dexter Wright</t>
  </si>
  <si>
    <t>1019Lig80</t>
  </si>
  <si>
    <t>Jack Howard</t>
  </si>
  <si>
    <t>1020Lig80</t>
  </si>
  <si>
    <t>Adrian Evans</t>
  </si>
  <si>
    <t>1021Lig80</t>
  </si>
  <si>
    <t>Tony Adams</t>
  </si>
  <si>
    <t>1022Lig80</t>
  </si>
  <si>
    <t>Max Cooper</t>
  </si>
  <si>
    <t>1023Lig80</t>
  </si>
  <si>
    <t>Dominik Myers</t>
  </si>
  <si>
    <t>1024Lig80</t>
  </si>
  <si>
    <t>James Wells</t>
  </si>
  <si>
    <t>1025Lig80</t>
  </si>
  <si>
    <t>Andrew Foster</t>
  </si>
  <si>
    <t>1026Lig80</t>
  </si>
  <si>
    <t>Antony Barnes</t>
  </si>
  <si>
    <t>1027Lig80</t>
  </si>
  <si>
    <t>Fenton Phillips</t>
  </si>
  <si>
    <t>1028Lig80</t>
  </si>
  <si>
    <t>Aiden Cooper</t>
  </si>
  <si>
    <t>1029Lig80</t>
  </si>
  <si>
    <t>Aiden Anderson</t>
  </si>
  <si>
    <t>1030Lig80</t>
  </si>
  <si>
    <t>Lenny Foster</t>
  </si>
  <si>
    <t>1031Lig80</t>
  </si>
  <si>
    <t>Steven Stevens</t>
  </si>
  <si>
    <t>1032Woo80</t>
  </si>
  <si>
    <t>George Ferguson</t>
  </si>
  <si>
    <t>1033Lig80</t>
  </si>
  <si>
    <t>Edgar Warren</t>
  </si>
  <si>
    <t>1034Lig80</t>
  </si>
  <si>
    <t>Vincent Ferguson</t>
  </si>
  <si>
    <t>1035Lig80</t>
  </si>
  <si>
    <t>Daniel Rogers</t>
  </si>
  <si>
    <t>1036Lig80</t>
  </si>
  <si>
    <t>Oliver Owens</t>
  </si>
  <si>
    <t>1037Lig80</t>
  </si>
  <si>
    <t>Carl Henderson</t>
  </si>
  <si>
    <t>1038Lig80</t>
  </si>
  <si>
    <t>Luke Cole</t>
  </si>
  <si>
    <t>1039Lig80</t>
  </si>
  <si>
    <t>Adam Chapman</t>
  </si>
  <si>
    <t>1040Lig80</t>
  </si>
  <si>
    <t>Vincent Stevens</t>
  </si>
  <si>
    <t>1041Lig80</t>
  </si>
  <si>
    <t>Fenton Tucker</t>
  </si>
  <si>
    <t>1042Lig80</t>
  </si>
  <si>
    <t>Freddie Thomas</t>
  </si>
  <si>
    <t>1043Lig80</t>
  </si>
  <si>
    <t>Dainton Stevens</t>
  </si>
  <si>
    <t>1044Woo80</t>
  </si>
  <si>
    <t>Jared Jones</t>
  </si>
  <si>
    <t>1045Lig80</t>
  </si>
  <si>
    <t>Max Phillips</t>
  </si>
  <si>
    <t>1046Lig80</t>
  </si>
  <si>
    <t>Brad Anderson</t>
  </si>
  <si>
    <t>1047Lig80</t>
  </si>
  <si>
    <t>Oscar Wilson</t>
  </si>
  <si>
    <t>1048Lig80</t>
  </si>
  <si>
    <t>Ryan Johnston</t>
  </si>
  <si>
    <t>1049Lig80</t>
  </si>
  <si>
    <t>Henry Barnes</t>
  </si>
  <si>
    <t>1050Lig80</t>
  </si>
  <si>
    <t>Martin Harris</t>
  </si>
  <si>
    <t>1051Lig80</t>
  </si>
  <si>
    <t>Arnold Turner</t>
  </si>
  <si>
    <t>1052Pro80</t>
  </si>
  <si>
    <t>Dale Spencer</t>
  </si>
  <si>
    <t>1053Lig80</t>
  </si>
  <si>
    <t>Adison Morris</t>
  </si>
  <si>
    <t>1054Lig80</t>
  </si>
  <si>
    <t>Walter Morrison</t>
  </si>
  <si>
    <t>1055Lig80</t>
  </si>
  <si>
    <t>Haris Hall</t>
  </si>
  <si>
    <t>1056Woo80</t>
  </si>
  <si>
    <t>Lyndon Cameron</t>
  </si>
  <si>
    <t>1057Pro80</t>
  </si>
  <si>
    <t>John Jones</t>
  </si>
  <si>
    <t>1058Lig80</t>
  </si>
  <si>
    <t>Patrick Tucker</t>
  </si>
  <si>
    <t>1059Lig80</t>
  </si>
  <si>
    <t>Robert Ryan</t>
  </si>
  <si>
    <t>1060Lig80</t>
  </si>
  <si>
    <t>Justin Crawford</t>
  </si>
  <si>
    <t>1061Pro80</t>
  </si>
  <si>
    <t>Garry Martin</t>
  </si>
  <si>
    <t>1062Lig80</t>
  </si>
  <si>
    <t>Alfred Martin</t>
  </si>
  <si>
    <t>1063Lig80</t>
  </si>
  <si>
    <t>Andrew Murray</t>
  </si>
  <si>
    <t>1064Lig80</t>
  </si>
  <si>
    <t>Richard Carter</t>
  </si>
  <si>
    <t>1065Woo80</t>
  </si>
  <si>
    <t>Daryl Cole</t>
  </si>
  <si>
    <t>1066Lig80</t>
  </si>
  <si>
    <t>Arthur Robinson</t>
  </si>
  <si>
    <t>1067Lig80</t>
  </si>
  <si>
    <t>Ted Myers</t>
  </si>
  <si>
    <t>1068Lig80</t>
  </si>
  <si>
    <t>Victor Smith</t>
  </si>
  <si>
    <t>1069Lig80</t>
  </si>
  <si>
    <t>John Smith</t>
  </si>
  <si>
    <t>1070Woo80</t>
  </si>
  <si>
    <t>Alexander Warren</t>
  </si>
  <si>
    <t>1071Lig80</t>
  </si>
  <si>
    <t>Adrian Thompson</t>
  </si>
  <si>
    <t>1072Lig80</t>
  </si>
  <si>
    <t>Andrew Watson</t>
  </si>
  <si>
    <t>1073Lig80</t>
  </si>
  <si>
    <t>Charlie Harper</t>
  </si>
  <si>
    <t>1074Pro80</t>
  </si>
  <si>
    <t>Aiden Moore</t>
  </si>
  <si>
    <t>1075Lig80</t>
  </si>
  <si>
    <t>Luke Bennett</t>
  </si>
  <si>
    <t>1076Pro80</t>
  </si>
  <si>
    <t>Haris Thompson</t>
  </si>
  <si>
    <t>1077Lig80</t>
  </si>
  <si>
    <t>Mike Allen</t>
  </si>
  <si>
    <t>1078Pro80</t>
  </si>
  <si>
    <t>Martin Murray</t>
  </si>
  <si>
    <t>1079Lig80</t>
  </si>
  <si>
    <t>Dainton Morgan</t>
  </si>
  <si>
    <t>1080Lig80</t>
  </si>
  <si>
    <t>Mike Reed</t>
  </si>
  <si>
    <t>1081Lig80</t>
  </si>
  <si>
    <t>Dexter Stewart</t>
  </si>
  <si>
    <t>1082Lig80</t>
  </si>
  <si>
    <t>James Sullivan</t>
  </si>
  <si>
    <t>1083Lig80</t>
  </si>
  <si>
    <t>John Williams</t>
  </si>
  <si>
    <t>1084Lig80</t>
  </si>
  <si>
    <t>Edwin Lloyd</t>
  </si>
  <si>
    <t>1085Lig80</t>
  </si>
  <si>
    <t>Julian Lloyd</t>
  </si>
  <si>
    <t>1086Lig80</t>
  </si>
  <si>
    <t>Eddy Harris</t>
  </si>
  <si>
    <t>1087Lig80</t>
  </si>
  <si>
    <t>Stuart Nelson</t>
  </si>
  <si>
    <t>1088Lig80</t>
  </si>
  <si>
    <t>Patrick Turner</t>
  </si>
  <si>
    <t>1089Lig80</t>
  </si>
  <si>
    <t>Dexter Perkins</t>
  </si>
  <si>
    <t>1090Woo80</t>
  </si>
  <si>
    <t>Abraham Turner</t>
  </si>
  <si>
    <t>1091Lig10</t>
  </si>
  <si>
    <t>1092Lig80</t>
  </si>
  <si>
    <t>Ryan Murphy</t>
  </si>
  <si>
    <t>1093Lig80</t>
  </si>
  <si>
    <t>Eric Morrison</t>
  </si>
  <si>
    <t>1094Woo80</t>
  </si>
  <si>
    <t>Martin Henderson</t>
  </si>
  <si>
    <t>1095Lig80</t>
  </si>
  <si>
    <t>Carlos Murray</t>
  </si>
  <si>
    <t>1096Lig80</t>
  </si>
  <si>
    <t>Daniel Henderson</t>
  </si>
  <si>
    <t>1097Woo80</t>
  </si>
  <si>
    <t>Steven Brooks</t>
  </si>
  <si>
    <t>1098Lig80</t>
  </si>
  <si>
    <t>Julian Kelly</t>
  </si>
  <si>
    <t>1099Woo80</t>
  </si>
  <si>
    <t>Harold Jones</t>
  </si>
  <si>
    <t>1100Lig80</t>
  </si>
  <si>
    <t>Eric Warren</t>
  </si>
  <si>
    <t>1101Lig80</t>
  </si>
  <si>
    <t>Target</t>
  </si>
  <si>
    <t>1102Lig80</t>
  </si>
  <si>
    <t>1103Lig80</t>
  </si>
  <si>
    <t>1104Lig80</t>
  </si>
  <si>
    <t>1105Lig10</t>
  </si>
  <si>
    <t>1106Lig10</t>
  </si>
  <si>
    <t>1107Lig10</t>
  </si>
  <si>
    <t>1108Lig10</t>
  </si>
  <si>
    <t>1Red90</t>
  </si>
  <si>
    <t>Red Poplin Summer Dress</t>
  </si>
  <si>
    <t>Cadie Alexander</t>
  </si>
  <si>
    <t>2Red90</t>
  </si>
  <si>
    <t>Jasmine Wilson</t>
  </si>
  <si>
    <t>5Red10</t>
  </si>
  <si>
    <t>6Red10</t>
  </si>
  <si>
    <t>8Red10</t>
  </si>
  <si>
    <t>13Woo10</t>
  </si>
  <si>
    <t>15Sus10</t>
  </si>
  <si>
    <t>16Sus10</t>
  </si>
  <si>
    <t>18Sus10</t>
  </si>
  <si>
    <t>20Sus10</t>
  </si>
  <si>
    <t>22Sus10</t>
  </si>
  <si>
    <t>24Sus10</t>
  </si>
  <si>
    <t>26Sus10</t>
  </si>
  <si>
    <t>27Sus10</t>
  </si>
  <si>
    <t>31Sus10</t>
  </si>
  <si>
    <t>37Sus10</t>
  </si>
  <si>
    <t>38Sus10</t>
  </si>
  <si>
    <t>39Woo10</t>
  </si>
  <si>
    <t>40Woo10</t>
  </si>
  <si>
    <t>41Woo10</t>
  </si>
  <si>
    <t>42Woo10</t>
  </si>
  <si>
    <t>43Woo10</t>
  </si>
  <si>
    <t>44Woo10</t>
  </si>
  <si>
    <t>Sienna Sullivan</t>
  </si>
  <si>
    <t>45Woo10</t>
  </si>
  <si>
    <t>Hailey Foster</t>
  </si>
  <si>
    <t>46Woo10</t>
  </si>
  <si>
    <t>Violet Tucker</t>
  </si>
  <si>
    <t>47Woo10</t>
  </si>
  <si>
    <t>Sienna Davis</t>
  </si>
  <si>
    <t>49Sus10</t>
  </si>
  <si>
    <t>Lucy Jones</t>
  </si>
  <si>
    <t>50Red10</t>
  </si>
  <si>
    <t>Amanda Cooper</t>
  </si>
  <si>
    <t>51Red10</t>
  </si>
  <si>
    <t>Honey Walker</t>
  </si>
  <si>
    <t>52Sus10</t>
  </si>
  <si>
    <t>Briony Williams</t>
  </si>
  <si>
    <t>53Sus10</t>
  </si>
  <si>
    <t>Miranda Rogers</t>
  </si>
  <si>
    <t>54Sus10</t>
  </si>
  <si>
    <t>55Sus10</t>
  </si>
  <si>
    <t>56Sus10</t>
  </si>
  <si>
    <t>57Sus10</t>
  </si>
  <si>
    <t>58Red10</t>
  </si>
  <si>
    <t>60Red10</t>
  </si>
  <si>
    <t>61Red10</t>
  </si>
  <si>
    <t>62Red10</t>
  </si>
  <si>
    <t>63Sus10</t>
  </si>
  <si>
    <t>64Sus10</t>
  </si>
  <si>
    <t>65Bla10</t>
  </si>
  <si>
    <t>Black Crepe Business Jacket</t>
  </si>
  <si>
    <t>66Sus10</t>
  </si>
  <si>
    <t>68Red10</t>
  </si>
  <si>
    <t>69Bla10</t>
  </si>
  <si>
    <t>70Red10</t>
  </si>
  <si>
    <t>71Sus10</t>
  </si>
  <si>
    <t>Sarah Higgins</t>
  </si>
  <si>
    <t>72Nav10</t>
  </si>
  <si>
    <t>Navy Floral Light Halter</t>
  </si>
  <si>
    <t>Catherine Hamilton</t>
  </si>
  <si>
    <t>73Sus10</t>
  </si>
  <si>
    <t>Isabella Johnston</t>
  </si>
  <si>
    <t>74Bla10</t>
  </si>
  <si>
    <t>Mary Walker</t>
  </si>
  <si>
    <t>75Sus10</t>
  </si>
  <si>
    <t>Adrianna Hill</t>
  </si>
  <si>
    <t>76Sus10</t>
  </si>
  <si>
    <t>Adrianna Harper</t>
  </si>
  <si>
    <t>77Red10</t>
  </si>
  <si>
    <t>Natalie Barnes</t>
  </si>
  <si>
    <t>78Bla10</t>
  </si>
  <si>
    <t>Melanie Anderson</t>
  </si>
  <si>
    <t>79Sus10</t>
  </si>
  <si>
    <t>Tess Bennett</t>
  </si>
  <si>
    <t>80Sus10</t>
  </si>
  <si>
    <t>Alisa Robinson</t>
  </si>
  <si>
    <t>81Red10</t>
  </si>
  <si>
    <t>Aida Hawkins</t>
  </si>
  <si>
    <t>82Red10</t>
  </si>
  <si>
    <t>Joyce Farrell</t>
  </si>
  <si>
    <t>83Red10</t>
  </si>
  <si>
    <t>Jasmine Cooper</t>
  </si>
  <si>
    <t>84Red10</t>
  </si>
  <si>
    <t>Heather Edwards</t>
  </si>
  <si>
    <t>85Red10</t>
  </si>
  <si>
    <t>Agata Williams</t>
  </si>
  <si>
    <t>86Red10</t>
  </si>
  <si>
    <t>Deanna Morrison</t>
  </si>
  <si>
    <t>87Red10</t>
  </si>
  <si>
    <t>Cadie Ferguson</t>
  </si>
  <si>
    <t>88Red10</t>
  </si>
  <si>
    <t>Abigail Cole</t>
  </si>
  <si>
    <t>89Red10</t>
  </si>
  <si>
    <t>90Red10</t>
  </si>
  <si>
    <t>91Red10</t>
  </si>
  <si>
    <t>92Car10</t>
  </si>
  <si>
    <t>Carissa Cocktail Gown</t>
  </si>
  <si>
    <t>93Red10</t>
  </si>
  <si>
    <t>94Bla10</t>
  </si>
  <si>
    <t>95Red10</t>
  </si>
  <si>
    <t>96Red10</t>
  </si>
  <si>
    <t>97Red10</t>
  </si>
  <si>
    <t>98Red10</t>
  </si>
  <si>
    <t>99Red10</t>
  </si>
  <si>
    <t>Lilianna Morris</t>
  </si>
  <si>
    <t>100Red10</t>
  </si>
  <si>
    <t>Paige Walker</t>
  </si>
  <si>
    <t>102Car10</t>
  </si>
  <si>
    <t>Amanda Moore</t>
  </si>
  <si>
    <t>103Red10</t>
  </si>
  <si>
    <t>Naomi Turner</t>
  </si>
  <si>
    <t>104Red10</t>
  </si>
  <si>
    <t>Jessica Moore</t>
  </si>
  <si>
    <t>105Red10</t>
  </si>
  <si>
    <t>Connie Adams</t>
  </si>
  <si>
    <t>106Red10</t>
  </si>
  <si>
    <t>Naomi Morris</t>
  </si>
  <si>
    <t>107Red10</t>
  </si>
  <si>
    <t>Lilianna Carroll</t>
  </si>
  <si>
    <t>108Red10</t>
  </si>
  <si>
    <t>Honey Kelley</t>
  </si>
  <si>
    <t>109Red10</t>
  </si>
  <si>
    <t>Ada Howard</t>
  </si>
  <si>
    <t>110Red10</t>
  </si>
  <si>
    <t>111Bla10</t>
  </si>
  <si>
    <t>112Red10</t>
  </si>
  <si>
    <t>113Red10</t>
  </si>
  <si>
    <t>114Red10</t>
  </si>
  <si>
    <t>115Red10</t>
  </si>
  <si>
    <t>119Red10</t>
  </si>
  <si>
    <t>120Red10</t>
  </si>
  <si>
    <t>121Red10</t>
  </si>
  <si>
    <t>135Sus10</t>
  </si>
  <si>
    <t>136Sus10</t>
  </si>
  <si>
    <t>137Red10</t>
  </si>
  <si>
    <t>138Red10</t>
  </si>
  <si>
    <t>139Red10</t>
  </si>
  <si>
    <t>140Red10</t>
  </si>
  <si>
    <t>141Red10</t>
  </si>
  <si>
    <t>142Red10</t>
  </si>
  <si>
    <t>143Red10</t>
  </si>
  <si>
    <t>144Red10</t>
  </si>
  <si>
    <t>145Red10</t>
  </si>
  <si>
    <t>146Red10</t>
  </si>
  <si>
    <t>147Red10</t>
  </si>
  <si>
    <t>148Sus10</t>
  </si>
  <si>
    <t>149Sus10</t>
  </si>
  <si>
    <t>150Red10</t>
  </si>
  <si>
    <t>151Red10</t>
  </si>
  <si>
    <t>Melanie Smith</t>
  </si>
  <si>
    <t>152Red10</t>
  </si>
  <si>
    <t>Darcy Andrews</t>
  </si>
  <si>
    <t>155Red10</t>
  </si>
  <si>
    <t>Nicole Perkins</t>
  </si>
  <si>
    <t>156Red10</t>
  </si>
  <si>
    <t>Michelle Hawkins</t>
  </si>
  <si>
    <t>157Red10</t>
  </si>
  <si>
    <t>Natalie Kelley</t>
  </si>
  <si>
    <t>158Red10</t>
  </si>
  <si>
    <t>Gianna Crawford</t>
  </si>
  <si>
    <t>159Red10</t>
  </si>
  <si>
    <t>Emma Craig</t>
  </si>
  <si>
    <t>160Red10</t>
  </si>
  <si>
    <t>Paige Montgomery</t>
  </si>
  <si>
    <t>161Red10</t>
  </si>
  <si>
    <t>Rebecca Nelson</t>
  </si>
  <si>
    <t>162Red10</t>
  </si>
  <si>
    <t>163Red10</t>
  </si>
  <si>
    <t>164Red10</t>
  </si>
  <si>
    <t>165Red10</t>
  </si>
  <si>
    <t>166Red10</t>
  </si>
  <si>
    <t>167Red10</t>
  </si>
  <si>
    <t>168Red10</t>
  </si>
  <si>
    <t>169Red10</t>
  </si>
  <si>
    <t>170Red10</t>
  </si>
  <si>
    <t>177Red10</t>
  </si>
  <si>
    <t>178Red10</t>
  </si>
  <si>
    <t>180Red10</t>
  </si>
  <si>
    <t>181Bla10</t>
  </si>
  <si>
    <t>182Red10</t>
  </si>
  <si>
    <t>183Red10</t>
  </si>
  <si>
    <t>184Red10</t>
  </si>
  <si>
    <t>185Red10</t>
  </si>
  <si>
    <t>186Red10</t>
  </si>
  <si>
    <t>187Red10</t>
  </si>
  <si>
    <t>188Red10</t>
  </si>
  <si>
    <t>189Red10</t>
  </si>
  <si>
    <t>190Red10</t>
  </si>
  <si>
    <t>191Red10</t>
  </si>
  <si>
    <t>192Red10</t>
  </si>
  <si>
    <t>193Red10</t>
  </si>
  <si>
    <t>194Red10</t>
  </si>
  <si>
    <t>195Red10</t>
  </si>
  <si>
    <t>196Red10</t>
  </si>
  <si>
    <t>197Red10</t>
  </si>
  <si>
    <t>198Red10</t>
  </si>
  <si>
    <t>199Red10</t>
  </si>
  <si>
    <t>200Red10</t>
  </si>
  <si>
    <t>201Nav10</t>
  </si>
  <si>
    <t>202Bla10</t>
  </si>
  <si>
    <t>206Nav80</t>
  </si>
  <si>
    <t>207Nav80</t>
  </si>
  <si>
    <t>208Nav80</t>
  </si>
  <si>
    <t>209Nav80</t>
  </si>
  <si>
    <t>210Nav80</t>
  </si>
  <si>
    <t>211Nav80</t>
  </si>
  <si>
    <t>212Nav80</t>
  </si>
  <si>
    <t>213Nav80</t>
  </si>
  <si>
    <t>214Nav80</t>
  </si>
  <si>
    <t>215Nav80</t>
  </si>
  <si>
    <t>216Nav80</t>
  </si>
  <si>
    <t>217Nav80</t>
  </si>
  <si>
    <t>218Nav80</t>
  </si>
  <si>
    <t>219Nav80</t>
  </si>
  <si>
    <t>220Nav80</t>
  </si>
  <si>
    <t>221Nav80</t>
  </si>
  <si>
    <t>222Nav80</t>
  </si>
  <si>
    <t>223Nav80</t>
  </si>
  <si>
    <t>224Sus80</t>
  </si>
  <si>
    <t>Annabella Ellis</t>
  </si>
  <si>
    <t>225Nav80</t>
  </si>
  <si>
    <t>226Nav80</t>
  </si>
  <si>
    <t>227Sus80</t>
  </si>
  <si>
    <t>Caroline Warren</t>
  </si>
  <si>
    <t>228Nav80</t>
  </si>
  <si>
    <t>229Nav80</t>
  </si>
  <si>
    <t>230Sus80</t>
  </si>
  <si>
    <t>Connie Spencer</t>
  </si>
  <si>
    <t>231Nav80</t>
  </si>
  <si>
    <t>232Nav80</t>
  </si>
  <si>
    <t>Emily Farrell</t>
  </si>
  <si>
    <t>233Nav80</t>
  </si>
  <si>
    <t>Lucy Myers</t>
  </si>
  <si>
    <t>234Sus80</t>
  </si>
  <si>
    <t>Camila Wells</t>
  </si>
  <si>
    <t>235Nav80</t>
  </si>
  <si>
    <t>Valeria Hawkins</t>
  </si>
  <si>
    <t>236Nav80</t>
  </si>
  <si>
    <t>Darcy Higgins</t>
  </si>
  <si>
    <t>237Nav80</t>
  </si>
  <si>
    <t>Emma Nelson</t>
  </si>
  <si>
    <t>238Nav80</t>
  </si>
  <si>
    <t>Adrianna Roberts</t>
  </si>
  <si>
    <t>239Nav80</t>
  </si>
  <si>
    <t>Nicole Martin</t>
  </si>
  <si>
    <t>240Nav80</t>
  </si>
  <si>
    <t>Elise Perry</t>
  </si>
  <si>
    <t>241Nav80</t>
  </si>
  <si>
    <t>Tiana Jones</t>
  </si>
  <si>
    <t>242Nav80</t>
  </si>
  <si>
    <t>Sabrina Anderson</t>
  </si>
  <si>
    <t>243Nav80</t>
  </si>
  <si>
    <t>Catherine Richards</t>
  </si>
  <si>
    <t>244Nav80</t>
  </si>
  <si>
    <t>Naomi Hunt</t>
  </si>
  <si>
    <t>245Nav80</t>
  </si>
  <si>
    <t>Tara Armstrong</t>
  </si>
  <si>
    <t>246Nav80</t>
  </si>
  <si>
    <t>Emma Miller</t>
  </si>
  <si>
    <t>247Nav80</t>
  </si>
  <si>
    <t>248Nav80</t>
  </si>
  <si>
    <t>249Nav80</t>
  </si>
  <si>
    <t>250Nav80</t>
  </si>
  <si>
    <t>251Nav80</t>
  </si>
  <si>
    <t>252Nav80</t>
  </si>
  <si>
    <t>253Nav80</t>
  </si>
  <si>
    <t>254Nav80</t>
  </si>
  <si>
    <t>255Nav80</t>
  </si>
  <si>
    <t>256Nav80</t>
  </si>
  <si>
    <t>257Nav80</t>
  </si>
  <si>
    <t>258Nav80</t>
  </si>
  <si>
    <t>259Nav80</t>
  </si>
  <si>
    <t>260Nav80</t>
  </si>
  <si>
    <t>261Nav80</t>
  </si>
  <si>
    <t>262Nav80</t>
  </si>
  <si>
    <t>263Nav80</t>
  </si>
  <si>
    <t>Isabella Henderson</t>
  </si>
  <si>
    <t>264Nav80</t>
  </si>
  <si>
    <t>Amy Barrett</t>
  </si>
  <si>
    <t>265Nav80</t>
  </si>
  <si>
    <t>Chelsea Davis</t>
  </si>
  <si>
    <t>266Nav80</t>
  </si>
  <si>
    <t>Charlotte Williams</t>
  </si>
  <si>
    <t>267Nav80</t>
  </si>
  <si>
    <t>Gianna Jones</t>
  </si>
  <si>
    <t>268Nav80</t>
  </si>
  <si>
    <t>Caroline Riley</t>
  </si>
  <si>
    <t>269Nav80</t>
  </si>
  <si>
    <t>Chloe Carroll</t>
  </si>
  <si>
    <t>270Nav80</t>
  </si>
  <si>
    <t>Connie Smith</t>
  </si>
  <si>
    <t>271Nav80</t>
  </si>
  <si>
    <t>Myra Turner</t>
  </si>
  <si>
    <t>272Nav80</t>
  </si>
  <si>
    <t>Arianna Barrett</t>
  </si>
  <si>
    <t>273Nav80</t>
  </si>
  <si>
    <t>Paige Craig</t>
  </si>
  <si>
    <t>274Nav80</t>
  </si>
  <si>
    <t>Melanie Morris</t>
  </si>
  <si>
    <t>275Nav80</t>
  </si>
  <si>
    <t>Agata Wilson</t>
  </si>
  <si>
    <t>276Nav80</t>
  </si>
  <si>
    <t>Tess Craig</t>
  </si>
  <si>
    <t>277Nav80</t>
  </si>
  <si>
    <t>Tess Fowler</t>
  </si>
  <si>
    <t>278Nav80</t>
  </si>
  <si>
    <t>Eleanor Morgan</t>
  </si>
  <si>
    <t>279Nav80</t>
  </si>
  <si>
    <t>Kate Russell</t>
  </si>
  <si>
    <t>280Nav80</t>
  </si>
  <si>
    <t>Aida Harper</t>
  </si>
  <si>
    <t>281Nav80</t>
  </si>
  <si>
    <t>282Nav80</t>
  </si>
  <si>
    <t>283Nav80</t>
  </si>
  <si>
    <t>284Nav80</t>
  </si>
  <si>
    <t>285Nav80</t>
  </si>
  <si>
    <t>286Nav80</t>
  </si>
  <si>
    <t>287Nav80</t>
  </si>
  <si>
    <t>288Nav80</t>
  </si>
  <si>
    <t>289Nav80</t>
  </si>
  <si>
    <t>290Nav80</t>
  </si>
  <si>
    <t>291Nav80</t>
  </si>
  <si>
    <t>292Nav80</t>
  </si>
  <si>
    <t>293Nav80</t>
  </si>
  <si>
    <t>294Nav80</t>
  </si>
  <si>
    <t>295Nav80</t>
  </si>
  <si>
    <t>296Nav80</t>
  </si>
  <si>
    <t>297Nav80</t>
  </si>
  <si>
    <t>298Nav80</t>
  </si>
  <si>
    <t>299Nav80</t>
  </si>
  <si>
    <t>300Nav80</t>
  </si>
  <si>
    <t>301Nav80</t>
  </si>
  <si>
    <t>302Nav80</t>
  </si>
  <si>
    <t>Joyce Bennett</t>
  </si>
  <si>
    <t>303Nav80</t>
  </si>
  <si>
    <t>Honey Barrett</t>
  </si>
  <si>
    <t>304Nav80</t>
  </si>
  <si>
    <t>Melissa Carroll</t>
  </si>
  <si>
    <t>305Nav80</t>
  </si>
  <si>
    <t>Chloe Rogers</t>
  </si>
  <si>
    <t>306Nav80</t>
  </si>
  <si>
    <t>Tess Carroll</t>
  </si>
  <si>
    <t>307Nav80</t>
  </si>
  <si>
    <t>Lucia Ferguson</t>
  </si>
  <si>
    <t>308Nav80</t>
  </si>
  <si>
    <t>Isabella Russell</t>
  </si>
  <si>
    <t>309Nav80</t>
  </si>
  <si>
    <t>Deanna Wells</t>
  </si>
  <si>
    <t>310Nav80</t>
  </si>
  <si>
    <t>Carina Davis</t>
  </si>
  <si>
    <t>311Nav80</t>
  </si>
  <si>
    <t>Michelle Henderson</t>
  </si>
  <si>
    <t>312Nav80</t>
  </si>
  <si>
    <t>Edith Owens</t>
  </si>
  <si>
    <t>313Nav80</t>
  </si>
  <si>
    <t>Olivia Adams</t>
  </si>
  <si>
    <t>314Nav80</t>
  </si>
  <si>
    <t>Alisa Hill</t>
  </si>
  <si>
    <t>315Nav80</t>
  </si>
  <si>
    <t>Chloe Kelley</t>
  </si>
  <si>
    <t>316Nav80</t>
  </si>
  <si>
    <t>317Nav80</t>
  </si>
  <si>
    <t>318Nav80</t>
  </si>
  <si>
    <t>319Nav80</t>
  </si>
  <si>
    <t>320Nav80</t>
  </si>
  <si>
    <t>321Nav80</t>
  </si>
  <si>
    <t>322Nav80</t>
  </si>
  <si>
    <t>323Nav80</t>
  </si>
  <si>
    <t>324Nav80</t>
  </si>
  <si>
    <t>325Nav80</t>
  </si>
  <si>
    <t>326Nav80</t>
  </si>
  <si>
    <t>327Nav80</t>
  </si>
  <si>
    <t>328Nav80</t>
  </si>
  <si>
    <t>329Nav80</t>
  </si>
  <si>
    <t>330Nav80</t>
  </si>
  <si>
    <t>331Nav80</t>
  </si>
  <si>
    <t>332Nav80</t>
  </si>
  <si>
    <t>333Nav80</t>
  </si>
  <si>
    <t>334Nav80</t>
  </si>
  <si>
    <t>335Nav80</t>
  </si>
  <si>
    <t>336Nav80</t>
  </si>
  <si>
    <t>337Nav80</t>
  </si>
  <si>
    <t>Tiana Ellis</t>
  </si>
  <si>
    <t>338Nav80</t>
  </si>
  <si>
    <t>Vivian Tucker</t>
  </si>
  <si>
    <t>339Nav80</t>
  </si>
  <si>
    <t>Vivian Martin</t>
  </si>
  <si>
    <t>340Nav80</t>
  </si>
  <si>
    <t>Myra Johnson</t>
  </si>
  <si>
    <t>341Nav80</t>
  </si>
  <si>
    <t>Adelaide Lloyd</t>
  </si>
  <si>
    <t>342Nav80</t>
  </si>
  <si>
    <t>Maddie Henderson</t>
  </si>
  <si>
    <t>343Nav80</t>
  </si>
  <si>
    <t>Emma Morris</t>
  </si>
  <si>
    <t>344Nav80</t>
  </si>
  <si>
    <t>Lucia Moore</t>
  </si>
  <si>
    <t>345Nav80</t>
  </si>
  <si>
    <t>Florrie Howard</t>
  </si>
  <si>
    <t>346Nav80</t>
  </si>
  <si>
    <t>Violet Grant</t>
  </si>
  <si>
    <t>347Nav80</t>
  </si>
  <si>
    <t>348Nav80</t>
  </si>
  <si>
    <t>349Nav80</t>
  </si>
  <si>
    <t>350Nav80</t>
  </si>
  <si>
    <t>351Nav80</t>
  </si>
  <si>
    <t>352Nav80</t>
  </si>
  <si>
    <t>353Nav80</t>
  </si>
  <si>
    <t>354Nav80</t>
  </si>
  <si>
    <t>355Nav80</t>
  </si>
  <si>
    <t>356Nav80</t>
  </si>
  <si>
    <t>357Nav80</t>
  </si>
  <si>
    <t>358Nav80</t>
  </si>
  <si>
    <t>359Nav80</t>
  </si>
  <si>
    <t>360Nav80</t>
  </si>
  <si>
    <t>361Nav80</t>
  </si>
  <si>
    <t>362Nav80</t>
  </si>
  <si>
    <t>Adrianna Ross</t>
  </si>
  <si>
    <t>363Nav80</t>
  </si>
  <si>
    <t>Kimberly Crawford</t>
  </si>
  <si>
    <t>364Nav80</t>
  </si>
  <si>
    <t>Abigail Thomas</t>
  </si>
  <si>
    <t>365Nav80</t>
  </si>
  <si>
    <t>Hailey Stevens</t>
  </si>
  <si>
    <t>366Nav80</t>
  </si>
  <si>
    <t>Kimberly Richards</t>
  </si>
  <si>
    <t>367Nav80</t>
  </si>
  <si>
    <t>Lucia Cunningham</t>
  </si>
  <si>
    <t>368Nav80</t>
  </si>
  <si>
    <t>Violet Alexander</t>
  </si>
  <si>
    <t>369Nav80</t>
  </si>
  <si>
    <t>Melanie Turner</t>
  </si>
  <si>
    <t>370Nav80</t>
  </si>
  <si>
    <t>Miley Hall</t>
  </si>
  <si>
    <t>371Nav80</t>
  </si>
  <si>
    <t>372Nav80</t>
  </si>
  <si>
    <t>373Nav80</t>
  </si>
  <si>
    <t>374Nav80</t>
  </si>
  <si>
    <t>375Nav80</t>
  </si>
  <si>
    <t>376Nav80</t>
  </si>
  <si>
    <t>377Nav80</t>
  </si>
  <si>
    <t>378Nav80</t>
  </si>
  <si>
    <t>379Nav80</t>
  </si>
  <si>
    <t>380Nav80</t>
  </si>
  <si>
    <t>381Nav80</t>
  </si>
  <si>
    <t>382Nav80</t>
  </si>
  <si>
    <t>383Nav80</t>
  </si>
  <si>
    <t>384Nav80</t>
  </si>
  <si>
    <t>385Nav80</t>
  </si>
  <si>
    <t>386Nav80</t>
  </si>
  <si>
    <t>Florrie Thomas</t>
  </si>
  <si>
    <t>387Nav80</t>
  </si>
  <si>
    <t>Adelaide Martin</t>
  </si>
  <si>
    <t>388Nav80</t>
  </si>
  <si>
    <t>Nicole Ross</t>
  </si>
  <si>
    <t>389Nav80</t>
  </si>
  <si>
    <t>Julia Armstrong</t>
  </si>
  <si>
    <t>390Nav80</t>
  </si>
  <si>
    <t>Naomi Montgomery</t>
  </si>
  <si>
    <t>391Whi33</t>
  </si>
  <si>
    <t>White Ellery Wedding Gown</t>
  </si>
  <si>
    <t>Alexia Williams</t>
  </si>
  <si>
    <t>392Bla90</t>
  </si>
  <si>
    <t>Anna Smith</t>
  </si>
  <si>
    <t>393Bla90</t>
  </si>
  <si>
    <t>Savana Brown</t>
  </si>
  <si>
    <t>394Bla90</t>
  </si>
  <si>
    <t>Vanessa Evans</t>
  </si>
  <si>
    <t>395Bla90</t>
  </si>
  <si>
    <t>Chelsea Murphy</t>
  </si>
  <si>
    <t>396Bla90</t>
  </si>
  <si>
    <t>Sophia Chapman</t>
  </si>
  <si>
    <t>397Bla90</t>
  </si>
  <si>
    <t>Bloomingdales</t>
  </si>
  <si>
    <t>398Bla90</t>
  </si>
  <si>
    <t>399Bla90</t>
  </si>
  <si>
    <t>400Bla90</t>
  </si>
  <si>
    <t>401Bla90</t>
  </si>
  <si>
    <t>402Bla90</t>
  </si>
  <si>
    <t>403Bla90</t>
  </si>
  <si>
    <t>404Bla90</t>
  </si>
  <si>
    <t>Alisa Ferguson</t>
  </si>
  <si>
    <t>405Bla90</t>
  </si>
  <si>
    <t>Mary Ferguson</t>
  </si>
  <si>
    <t>406Bla90</t>
  </si>
  <si>
    <t>407Bla90</t>
  </si>
  <si>
    <t>408Bla90</t>
  </si>
  <si>
    <t>409Bla90</t>
  </si>
  <si>
    <t>410Bla90</t>
  </si>
  <si>
    <t>411Bla90</t>
  </si>
  <si>
    <t>412Bla90</t>
  </si>
  <si>
    <t>413Bla90</t>
  </si>
  <si>
    <t>Vivian Ellis</t>
  </si>
  <si>
    <t>414Bla90</t>
  </si>
  <si>
    <t>Lydia Hunt</t>
  </si>
  <si>
    <t>416Bla90</t>
  </si>
  <si>
    <t>Kate Turner</t>
  </si>
  <si>
    <t>417Bla90</t>
  </si>
  <si>
    <t>Alisa Carter</t>
  </si>
  <si>
    <t>418Car33</t>
  </si>
  <si>
    <t>Heather Russell</t>
  </si>
  <si>
    <t>419Car33</t>
  </si>
  <si>
    <t>Daisy Scott</t>
  </si>
  <si>
    <t>420Car33</t>
  </si>
  <si>
    <t>Kirsten Harris</t>
  </si>
  <si>
    <t>421Car33</t>
  </si>
  <si>
    <t>Arianna Thompson</t>
  </si>
  <si>
    <t>422Car33</t>
  </si>
  <si>
    <t>Elise Edwards</t>
  </si>
  <si>
    <t>423Car33</t>
  </si>
  <si>
    <t>Briony Clark</t>
  </si>
  <si>
    <t>424Car33</t>
  </si>
  <si>
    <t>Rebecca Morris</t>
  </si>
  <si>
    <t>425Car33</t>
  </si>
  <si>
    <t>426Car33</t>
  </si>
  <si>
    <t>427Car33</t>
  </si>
  <si>
    <t>428Car33</t>
  </si>
  <si>
    <t>429Car33</t>
  </si>
  <si>
    <t>430Car33</t>
  </si>
  <si>
    <t>433Car33</t>
  </si>
  <si>
    <t>434Car33</t>
  </si>
  <si>
    <t>435Car33</t>
  </si>
  <si>
    <t>436Car33</t>
  </si>
  <si>
    <t>437Car33</t>
  </si>
  <si>
    <t>438Car33</t>
  </si>
  <si>
    <t>Kate Thompson</t>
  </si>
  <si>
    <t>439Car33</t>
  </si>
  <si>
    <t>Tara Ellis</t>
  </si>
  <si>
    <t>440Car33</t>
  </si>
  <si>
    <t>Myra Farrell</t>
  </si>
  <si>
    <t>441Car33</t>
  </si>
  <si>
    <t>Chloe Ellis</t>
  </si>
  <si>
    <t>442Car33</t>
  </si>
  <si>
    <t>Caroline Farrell</t>
  </si>
  <si>
    <t>443Car33</t>
  </si>
  <si>
    <t>Kelsey Reed</t>
  </si>
  <si>
    <t>444Nav33</t>
  </si>
  <si>
    <t>Elise Hawkins</t>
  </si>
  <si>
    <t>445Car33</t>
  </si>
  <si>
    <t>Lana Baker</t>
  </si>
  <si>
    <t>446Car33</t>
  </si>
  <si>
    <t>447Car33</t>
  </si>
  <si>
    <t>448Car33</t>
  </si>
  <si>
    <t>449Car33</t>
  </si>
  <si>
    <t>450Car33</t>
  </si>
  <si>
    <t>451Whi33</t>
  </si>
  <si>
    <t>452Car33</t>
  </si>
  <si>
    <t>Lydia Owens</t>
  </si>
  <si>
    <t>453Car33</t>
  </si>
  <si>
    <t>Briony Armstrong</t>
  </si>
  <si>
    <t>454Car33</t>
  </si>
  <si>
    <t>Ali Gibs</t>
  </si>
  <si>
    <t>455Car33</t>
  </si>
  <si>
    <t>Connie Harper</t>
  </si>
  <si>
    <t>456Car33</t>
  </si>
  <si>
    <t>Amy Ellis</t>
  </si>
  <si>
    <t>457Car33</t>
  </si>
  <si>
    <t>Abigail Rogers</t>
  </si>
  <si>
    <t>460Car33</t>
  </si>
  <si>
    <t>Emily Tucker</t>
  </si>
  <si>
    <t>461Car33</t>
  </si>
  <si>
    <t>Honua Tho</t>
  </si>
  <si>
    <t>462Car33</t>
  </si>
  <si>
    <t>464Car33</t>
  </si>
  <si>
    <t>466Car33</t>
  </si>
  <si>
    <t>467Car33</t>
  </si>
  <si>
    <t>468Car33</t>
  </si>
  <si>
    <t>470Nav33</t>
  </si>
  <si>
    <t>472Car33</t>
  </si>
  <si>
    <t>473Whi33</t>
  </si>
  <si>
    <t>474Whi33</t>
  </si>
  <si>
    <t>475Whi33</t>
  </si>
  <si>
    <t>477Whi33</t>
  </si>
  <si>
    <t>478Whi33</t>
  </si>
  <si>
    <t>479Whi33</t>
  </si>
  <si>
    <t>480Whi33</t>
  </si>
  <si>
    <t>481Car33</t>
  </si>
  <si>
    <t>485Car33</t>
  </si>
  <si>
    <t>Rubie Murphy</t>
  </si>
  <si>
    <t>490Red33</t>
  </si>
  <si>
    <t>492Car33</t>
  </si>
  <si>
    <t>Janice Harkins</t>
  </si>
  <si>
    <t>493Car33</t>
  </si>
  <si>
    <t>Lydia Perry</t>
  </si>
  <si>
    <t>494Car33</t>
  </si>
  <si>
    <t>Maddie Gray</t>
  </si>
  <si>
    <t>495Car33</t>
  </si>
  <si>
    <t>Isabella Campbell</t>
  </si>
  <si>
    <t>496Car33</t>
  </si>
  <si>
    <t>Olivia Cunningham</t>
  </si>
  <si>
    <t>499Car33</t>
  </si>
  <si>
    <t>500Bla90</t>
  </si>
  <si>
    <t>Paige Mitchell</t>
  </si>
  <si>
    <t>501Bla33</t>
  </si>
  <si>
    <t>503Car33</t>
  </si>
  <si>
    <t>504Car33</t>
  </si>
  <si>
    <t>505Car33</t>
  </si>
  <si>
    <t>506Car33</t>
  </si>
  <si>
    <t>Charlotte Scott</t>
  </si>
  <si>
    <t>507Car33</t>
  </si>
  <si>
    <t>Melissa Douglas</t>
  </si>
  <si>
    <t>508Car33</t>
  </si>
  <si>
    <t>Alberta Edwards</t>
  </si>
  <si>
    <t>509Car33</t>
  </si>
  <si>
    <t>513Car33</t>
  </si>
  <si>
    <t>514Bla90</t>
  </si>
  <si>
    <t>Camila Nelson</t>
  </si>
  <si>
    <t>516Bla90</t>
  </si>
  <si>
    <t>Myra Murphy</t>
  </si>
  <si>
    <t>517Car33</t>
  </si>
  <si>
    <t>518Car33</t>
  </si>
  <si>
    <t>519Car33</t>
  </si>
  <si>
    <t>520Car33</t>
  </si>
  <si>
    <t>521Car33</t>
  </si>
  <si>
    <t>522Car33</t>
  </si>
  <si>
    <t>523Car33</t>
  </si>
  <si>
    <t>524Car33</t>
  </si>
  <si>
    <t>525Car33</t>
  </si>
  <si>
    <t>526Car33</t>
  </si>
  <si>
    <t>527Car33</t>
  </si>
  <si>
    <t>528Car33</t>
  </si>
  <si>
    <t>529Car33</t>
  </si>
  <si>
    <t>Natalie Harrison</t>
  </si>
  <si>
    <t>530Whi33</t>
  </si>
  <si>
    <t>Tess Dixon</t>
  </si>
  <si>
    <t>531Car33</t>
  </si>
  <si>
    <t>532Whi33</t>
  </si>
  <si>
    <t>533Car33</t>
  </si>
  <si>
    <t>534Car33</t>
  </si>
  <si>
    <t>535Car33</t>
  </si>
  <si>
    <t>536Car33</t>
  </si>
  <si>
    <t>537Car33</t>
  </si>
  <si>
    <t>538Bla90</t>
  </si>
  <si>
    <t>Sydney Harris</t>
  </si>
  <si>
    <t>539Car33</t>
  </si>
  <si>
    <t>540Bla90</t>
  </si>
  <si>
    <t>541Car33</t>
  </si>
  <si>
    <t>542Bla90</t>
  </si>
  <si>
    <t>543Car33</t>
  </si>
  <si>
    <t>544Car33</t>
  </si>
  <si>
    <t>545Car33</t>
  </si>
  <si>
    <t>546Car33</t>
  </si>
  <si>
    <t>547Car33</t>
  </si>
  <si>
    <t>548Car33</t>
  </si>
  <si>
    <t>549Bla90</t>
  </si>
  <si>
    <t>550Bla90</t>
  </si>
  <si>
    <t>551Bla90</t>
  </si>
  <si>
    <t>552Bla90</t>
  </si>
  <si>
    <t>553Bla90</t>
  </si>
  <si>
    <t>554Car33</t>
  </si>
  <si>
    <t>555Sus10</t>
  </si>
  <si>
    <t>556Sus10</t>
  </si>
  <si>
    <t>557Sus10</t>
  </si>
  <si>
    <t>558Sus10</t>
  </si>
  <si>
    <t>559Sus10</t>
  </si>
  <si>
    <t>560Sus10</t>
  </si>
  <si>
    <t>561Sus10</t>
  </si>
  <si>
    <t>562Sus10</t>
  </si>
  <si>
    <t>563Sus10</t>
  </si>
  <si>
    <t>564Sus10</t>
  </si>
  <si>
    <t>565Sus10</t>
  </si>
  <si>
    <t>566Sus10</t>
  </si>
  <si>
    <t>567Sus10</t>
  </si>
  <si>
    <t>568Sus10</t>
  </si>
  <si>
    <t>569Sus10</t>
  </si>
  <si>
    <t>570Sus10</t>
  </si>
  <si>
    <t>571Sus10</t>
  </si>
  <si>
    <t>572Sus10</t>
  </si>
  <si>
    <t>573Sus10</t>
  </si>
  <si>
    <t>574Sus10</t>
  </si>
  <si>
    <t>596Sus10</t>
  </si>
  <si>
    <t>598Sus10</t>
  </si>
  <si>
    <t>599Sus10</t>
  </si>
  <si>
    <t>601Sus10</t>
  </si>
  <si>
    <t>603Sus10</t>
  </si>
  <si>
    <t>604Sus10</t>
  </si>
  <si>
    <t>605Sus10</t>
  </si>
  <si>
    <t>610Sus10</t>
  </si>
  <si>
    <t>612Sus10</t>
  </si>
  <si>
    <t>613Sus10</t>
  </si>
  <si>
    <t>614Sus10</t>
  </si>
  <si>
    <t>615Sus10</t>
  </si>
  <si>
    <t>616Sus10</t>
  </si>
  <si>
    <t>617Sus10</t>
  </si>
  <si>
    <t>618Sus10</t>
  </si>
  <si>
    <t>619Sus10</t>
  </si>
  <si>
    <t>620Sus10</t>
  </si>
  <si>
    <t>621Sus10</t>
  </si>
  <si>
    <t>622Sus10</t>
  </si>
  <si>
    <t>623Sus10</t>
  </si>
  <si>
    <t>624Sus10</t>
  </si>
  <si>
    <t>625Sus10</t>
  </si>
  <si>
    <t>626Sus10</t>
  </si>
  <si>
    <t>627Sus10</t>
  </si>
  <si>
    <t>628Sus10</t>
  </si>
  <si>
    <t>629Sus10</t>
  </si>
  <si>
    <t>630Sus10</t>
  </si>
  <si>
    <t>631Sus10</t>
  </si>
  <si>
    <t>632Sus10</t>
  </si>
  <si>
    <t>633Sus10</t>
  </si>
  <si>
    <t>634Sus10</t>
  </si>
  <si>
    <t>635Sus10</t>
  </si>
  <si>
    <t>636Sus10</t>
  </si>
  <si>
    <t>637Sus10</t>
  </si>
  <si>
    <t>638Sus10</t>
  </si>
  <si>
    <t>639Sus10</t>
  </si>
  <si>
    <t>640Sus10</t>
  </si>
  <si>
    <t>641Sus10</t>
  </si>
  <si>
    <t>642Sus10</t>
  </si>
  <si>
    <t>643Sus10</t>
  </si>
  <si>
    <t>644Sus10</t>
  </si>
  <si>
    <t>645Sus10</t>
  </si>
  <si>
    <t>650Sus10</t>
  </si>
  <si>
    <t>651Sus10</t>
  </si>
  <si>
    <t>652Sus10</t>
  </si>
  <si>
    <t>653Sus10</t>
  </si>
  <si>
    <t>654Sus10</t>
  </si>
  <si>
    <t>660Sus10</t>
  </si>
  <si>
    <t>661Sus10</t>
  </si>
  <si>
    <t>662Sus10</t>
  </si>
  <si>
    <t>664Sus10</t>
  </si>
  <si>
    <t>665Sus10</t>
  </si>
  <si>
    <t>667Sus10</t>
  </si>
  <si>
    <t>669Sus10</t>
  </si>
  <si>
    <t>671Sus10</t>
  </si>
  <si>
    <t>673Sus10</t>
  </si>
  <si>
    <t>677Sus10</t>
  </si>
  <si>
    <t>678Sus10</t>
  </si>
  <si>
    <t>685Sus10</t>
  </si>
  <si>
    <t>686Sus10</t>
  </si>
  <si>
    <t>687Sus10</t>
  </si>
  <si>
    <t>691Red90</t>
  </si>
  <si>
    <t>Mary Kelly</t>
  </si>
  <si>
    <t>692Red90</t>
  </si>
  <si>
    <t>Ryan Evans</t>
  </si>
  <si>
    <t>693Bla90</t>
  </si>
  <si>
    <t>Ashton Watson</t>
  </si>
  <si>
    <t>694Red90</t>
  </si>
  <si>
    <t>Olivia Miller</t>
  </si>
  <si>
    <t>696Bla90</t>
  </si>
  <si>
    <t>Robert Roberts</t>
  </si>
  <si>
    <t>706Red10</t>
  </si>
  <si>
    <t>708Red10</t>
  </si>
  <si>
    <t>719Red10</t>
  </si>
  <si>
    <t>Jenna Miller</t>
  </si>
  <si>
    <t>720Red10</t>
  </si>
  <si>
    <t>Lana Bennett</t>
  </si>
  <si>
    <t>722Red10</t>
  </si>
  <si>
    <t>Thomas Mitchell</t>
  </si>
  <si>
    <t>723Red10</t>
  </si>
  <si>
    <t>Mike Perry</t>
  </si>
  <si>
    <t>724Red10</t>
  </si>
  <si>
    <t>JCPenney</t>
  </si>
  <si>
    <t>725Red10</t>
  </si>
  <si>
    <t>732Red10</t>
  </si>
  <si>
    <t>733Red10</t>
  </si>
  <si>
    <t>734Red10</t>
  </si>
  <si>
    <t>739Red10</t>
  </si>
  <si>
    <t>740Red10</t>
  </si>
  <si>
    <t>741Red10</t>
  </si>
  <si>
    <t>743Bla90</t>
  </si>
  <si>
    <t>Eleanor Clark</t>
  </si>
  <si>
    <t>744Car33</t>
  </si>
  <si>
    <t>745Bla90</t>
  </si>
  <si>
    <t>Bruce Myers</t>
  </si>
  <si>
    <t>746Whi33</t>
  </si>
  <si>
    <t>747Bla90</t>
  </si>
  <si>
    <t>Paige Murray</t>
  </si>
  <si>
    <t>748Car33</t>
  </si>
  <si>
    <t>749Car33</t>
  </si>
  <si>
    <t>750Car33</t>
  </si>
  <si>
    <t>Bruce Payne</t>
  </si>
  <si>
    <t>751Car33</t>
  </si>
  <si>
    <t>Ted Jones</t>
  </si>
  <si>
    <t>752Car33</t>
  </si>
  <si>
    <t>Julian Edwards</t>
  </si>
  <si>
    <t>753Car33</t>
  </si>
  <si>
    <t>Kellan Ryan</t>
  </si>
  <si>
    <t>754Car33</t>
  </si>
  <si>
    <t>Carl Moore</t>
  </si>
  <si>
    <t>755Car33</t>
  </si>
  <si>
    <t>David Davis</t>
  </si>
  <si>
    <t>756Car33</t>
  </si>
  <si>
    <t>Amelia Ellis</t>
  </si>
  <si>
    <t>757Car33</t>
  </si>
  <si>
    <t>Amber Cameron</t>
  </si>
  <si>
    <t>758Car33</t>
  </si>
  <si>
    <t>Steven Casey</t>
  </si>
  <si>
    <t>759Car33</t>
  </si>
  <si>
    <t>Edwin Cole</t>
  </si>
  <si>
    <t>760Car33</t>
  </si>
  <si>
    <t>Martin Ross</t>
  </si>
  <si>
    <t>761Car33</t>
  </si>
  <si>
    <t>Emily Wells</t>
  </si>
  <si>
    <t>762Car33</t>
  </si>
  <si>
    <t>Kellan Johnson</t>
  </si>
  <si>
    <t>763Car33</t>
  </si>
  <si>
    <t>Adelaide Johnston</t>
  </si>
  <si>
    <t>764Car33</t>
  </si>
  <si>
    <t>Amy Moore</t>
  </si>
  <si>
    <t>765Car33</t>
  </si>
  <si>
    <t>Martin Scott</t>
  </si>
  <si>
    <t>766Car33</t>
  </si>
  <si>
    <t>Oliver Baker</t>
  </si>
  <si>
    <t>767Car33</t>
  </si>
  <si>
    <t>Naomi Wilson</t>
  </si>
  <si>
    <t>768Car33</t>
  </si>
  <si>
    <t>Abraham Cole</t>
  </si>
  <si>
    <t>769Car33</t>
  </si>
  <si>
    <t>Jared Robinson</t>
  </si>
  <si>
    <t>770Car33</t>
  </si>
  <si>
    <t>Daniel Payne</t>
  </si>
  <si>
    <t>771Car33</t>
  </si>
  <si>
    <t>Aston Richardson</t>
  </si>
  <si>
    <t>772Car33</t>
  </si>
  <si>
    <t>Oscar Cameron</t>
  </si>
  <si>
    <t>773Car33</t>
  </si>
  <si>
    <t>Myra Taylor</t>
  </si>
  <si>
    <t>774Car33</t>
  </si>
  <si>
    <t>Owen Lloyd</t>
  </si>
  <si>
    <t>775Car33</t>
  </si>
  <si>
    <t>Adrian Moore</t>
  </si>
  <si>
    <t>776Car33</t>
  </si>
  <si>
    <t>Jordan Elliott</t>
  </si>
  <si>
    <t>777Car33</t>
  </si>
  <si>
    <t>Honey Johnston</t>
  </si>
  <si>
    <t>778Car33</t>
  </si>
  <si>
    <t>Tyler Cole</t>
  </si>
  <si>
    <t>779Car33</t>
  </si>
  <si>
    <t>Brooke Russell</t>
  </si>
  <si>
    <t>780Car33</t>
  </si>
  <si>
    <t>782Car33</t>
  </si>
  <si>
    <t>783Car33</t>
  </si>
  <si>
    <t>784Car33</t>
  </si>
  <si>
    <t>785Car33</t>
  </si>
  <si>
    <t>786Nav33</t>
  </si>
  <si>
    <t>Fiona Russell</t>
  </si>
  <si>
    <t>787Car33</t>
  </si>
  <si>
    <t>788Nav33</t>
  </si>
  <si>
    <t>Aston Casey</t>
  </si>
  <si>
    <t>789Car33</t>
  </si>
  <si>
    <t>790Car33</t>
  </si>
  <si>
    <t>791Car33</t>
  </si>
  <si>
    <t>792Car33</t>
  </si>
  <si>
    <t>793Car33</t>
  </si>
  <si>
    <t>794Car33</t>
  </si>
  <si>
    <t>795Car33</t>
  </si>
  <si>
    <t>796Car33</t>
  </si>
  <si>
    <t>797Car33</t>
  </si>
  <si>
    <t>798Car33</t>
  </si>
  <si>
    <t>Edgar Scott</t>
  </si>
  <si>
    <t>799Car33</t>
  </si>
  <si>
    <t>Elian Wells</t>
  </si>
  <si>
    <t>800Car33</t>
  </si>
  <si>
    <t>Nordstrom</t>
  </si>
  <si>
    <t>801Car33</t>
  </si>
  <si>
    <t>802Car33</t>
  </si>
  <si>
    <t>803Sus10</t>
  </si>
  <si>
    <t>804Sus10</t>
  </si>
  <si>
    <t>805Sus10</t>
  </si>
  <si>
    <t>806Sus10</t>
  </si>
  <si>
    <t>807Sus10</t>
  </si>
  <si>
    <t>808Sus10</t>
  </si>
  <si>
    <t>809Sus10</t>
  </si>
  <si>
    <t>810Sus10</t>
  </si>
  <si>
    <t>811Sus10</t>
  </si>
  <si>
    <t>812Sus10</t>
  </si>
  <si>
    <t>813Sus10</t>
  </si>
  <si>
    <t>814Sus10</t>
  </si>
  <si>
    <t>815Sus10</t>
  </si>
  <si>
    <t>816Sus10</t>
  </si>
  <si>
    <t>817Sus10</t>
  </si>
  <si>
    <t>818Sus10</t>
  </si>
  <si>
    <t>819Sus10</t>
  </si>
  <si>
    <t>820Sus10</t>
  </si>
  <si>
    <t>821Sus10</t>
  </si>
  <si>
    <t>822Sus10</t>
  </si>
  <si>
    <t>823Sus10</t>
  </si>
  <si>
    <t>824Sus10</t>
  </si>
  <si>
    <t>825Sus10</t>
  </si>
  <si>
    <t>826Sus10</t>
  </si>
  <si>
    <t>827Sus10</t>
  </si>
  <si>
    <t>828Sus10</t>
  </si>
  <si>
    <t>829Sus10</t>
  </si>
  <si>
    <t>830Sus10</t>
  </si>
  <si>
    <t>831Sus10</t>
  </si>
  <si>
    <t>832Sus10</t>
  </si>
  <si>
    <t>833Sus10</t>
  </si>
  <si>
    <t>834Sus10</t>
  </si>
  <si>
    <t>835Sus10</t>
  </si>
  <si>
    <t>836Sus10</t>
  </si>
  <si>
    <t>837Sus10</t>
  </si>
  <si>
    <t>838Sus10</t>
  </si>
  <si>
    <t>839Sus10</t>
  </si>
  <si>
    <t>840Sus10</t>
  </si>
  <si>
    <t>841Sus10</t>
  </si>
  <si>
    <t>842Sus10</t>
  </si>
  <si>
    <t>843Sus10</t>
  </si>
  <si>
    <t>844Sus10</t>
  </si>
  <si>
    <t>845Sus10</t>
  </si>
  <si>
    <t>846Sus10</t>
  </si>
  <si>
    <t>847Sus10</t>
  </si>
  <si>
    <t>848Sus10</t>
  </si>
  <si>
    <t>849Sus10</t>
  </si>
  <si>
    <t>850Car33</t>
  </si>
  <si>
    <t>Ted Russell</t>
  </si>
  <si>
    <t>851Whi33</t>
  </si>
  <si>
    <t>Carlos Lloyd</t>
  </si>
  <si>
    <t>852Whi33</t>
  </si>
  <si>
    <t>853Whi33</t>
  </si>
  <si>
    <t>854Whi33</t>
  </si>
  <si>
    <t>855Whi33</t>
  </si>
  <si>
    <t>856Whi33</t>
  </si>
  <si>
    <t>857Whi33</t>
  </si>
  <si>
    <t>858Whi33</t>
  </si>
  <si>
    <t>859Whi33</t>
  </si>
  <si>
    <t>860Whi33</t>
  </si>
  <si>
    <t>861Whi33</t>
  </si>
  <si>
    <t>862Whi33</t>
  </si>
  <si>
    <t>863Car33</t>
  </si>
  <si>
    <t>Honey Thomas</t>
  </si>
  <si>
    <t>864Car33</t>
  </si>
  <si>
    <t>Paul Reed</t>
  </si>
  <si>
    <t>865Car33</t>
  </si>
  <si>
    <t>Derek Tucker</t>
  </si>
  <si>
    <t>866Car33</t>
  </si>
  <si>
    <t>Blake Murphy</t>
  </si>
  <si>
    <t>867Car33</t>
  </si>
  <si>
    <t>868Car33</t>
  </si>
  <si>
    <t>869Car33</t>
  </si>
  <si>
    <t>870Car33</t>
  </si>
  <si>
    <t>871Car33</t>
  </si>
  <si>
    <t>James Brooks</t>
  </si>
  <si>
    <t>872Car33</t>
  </si>
  <si>
    <t>Deanna Martin</t>
  </si>
  <si>
    <t>873Car33</t>
  </si>
  <si>
    <t>Alan West</t>
  </si>
  <si>
    <t>874Car33</t>
  </si>
  <si>
    <t>Valeria Perkins</t>
  </si>
  <si>
    <t>875Car33</t>
  </si>
  <si>
    <t>Eleanor Carter</t>
  </si>
  <si>
    <t>876Car33</t>
  </si>
  <si>
    <t>877Car33</t>
  </si>
  <si>
    <t>878Whi33</t>
  </si>
  <si>
    <t>879Whi33</t>
  </si>
  <si>
    <t>880Whi33</t>
  </si>
  <si>
    <t>881Whi33</t>
  </si>
  <si>
    <t>882Whi33</t>
  </si>
  <si>
    <t>883Whi33</t>
  </si>
  <si>
    <t>884Whi33</t>
  </si>
  <si>
    <t>885Whi33</t>
  </si>
  <si>
    <t>886Whi33</t>
  </si>
  <si>
    <t>Cherry Holmes</t>
  </si>
  <si>
    <t>887Whi33</t>
  </si>
  <si>
    <t>Amanda Morrison</t>
  </si>
  <si>
    <t>888Whi33</t>
  </si>
  <si>
    <t>Alisa Jones</t>
  </si>
  <si>
    <t>889Car33</t>
  </si>
  <si>
    <t>Lilianna Barrett</t>
  </si>
  <si>
    <t>890Car33</t>
  </si>
  <si>
    <t>891Car33</t>
  </si>
  <si>
    <t>892Car33</t>
  </si>
  <si>
    <t>893Car33</t>
  </si>
  <si>
    <t>Deanna Johnston</t>
  </si>
  <si>
    <t>894Car33</t>
  </si>
  <si>
    <t>Sydney Wright</t>
  </si>
  <si>
    <t>895Car33</t>
  </si>
  <si>
    <t>Savana Holmes</t>
  </si>
  <si>
    <t>896Car33</t>
  </si>
  <si>
    <t>Lana Alexander</t>
  </si>
  <si>
    <t>897Car33</t>
  </si>
  <si>
    <t>898Car33</t>
  </si>
  <si>
    <t>899Car33</t>
  </si>
  <si>
    <t>900Car33</t>
  </si>
  <si>
    <t>901Car33</t>
  </si>
  <si>
    <t>902Whi33</t>
  </si>
  <si>
    <t>903Car33</t>
  </si>
  <si>
    <t>904Car33</t>
  </si>
  <si>
    <t>905Car33</t>
  </si>
  <si>
    <t>906Car33</t>
  </si>
  <si>
    <t>907Car33</t>
  </si>
  <si>
    <t>908Car33</t>
  </si>
  <si>
    <t>Fiona Hill</t>
  </si>
  <si>
    <t>909Car33</t>
  </si>
  <si>
    <t>Paige Harrison</t>
  </si>
  <si>
    <t>910Car33</t>
  </si>
  <si>
    <t>Adelaide Murray</t>
  </si>
  <si>
    <t>911Car33</t>
  </si>
  <si>
    <t>Adrianna Gray</t>
  </si>
  <si>
    <t>912Car33</t>
  </si>
  <si>
    <t>913Car33</t>
  </si>
  <si>
    <t>Lily Spencer</t>
  </si>
  <si>
    <t>914Car33</t>
  </si>
  <si>
    <t>915Car33</t>
  </si>
  <si>
    <t>916Car33</t>
  </si>
  <si>
    <t>917Car33</t>
  </si>
  <si>
    <t>Rubie Harris</t>
  </si>
  <si>
    <t>918Car33</t>
  </si>
  <si>
    <t>Savana Hall</t>
  </si>
  <si>
    <t>919Car33</t>
  </si>
  <si>
    <t>Melanie Owens</t>
  </si>
  <si>
    <t>920Nav80</t>
  </si>
  <si>
    <t>Alberta Robinson</t>
  </si>
  <si>
    <t>921Nav80</t>
  </si>
  <si>
    <t>Ema Mill</t>
  </si>
  <si>
    <t>922Nav80</t>
  </si>
  <si>
    <t>923Nav80</t>
  </si>
  <si>
    <t>924Nav80</t>
  </si>
  <si>
    <t>925Nav80</t>
  </si>
  <si>
    <t>926Nav80</t>
  </si>
  <si>
    <t>927Nav80</t>
  </si>
  <si>
    <t>928Nav80</t>
  </si>
  <si>
    <t>929Red80</t>
  </si>
  <si>
    <t>930Nav80</t>
  </si>
  <si>
    <t>931Nav80</t>
  </si>
  <si>
    <t>Lucy Andrews</t>
  </si>
  <si>
    <t>932Nav80</t>
  </si>
  <si>
    <t>Heather Andrews</t>
  </si>
  <si>
    <t>933Nav80</t>
  </si>
  <si>
    <t>Maya Mason</t>
  </si>
  <si>
    <t>934Nav80</t>
  </si>
  <si>
    <t>Valeria Reed</t>
  </si>
  <si>
    <t>935Nav80</t>
  </si>
  <si>
    <t>Ada Moore</t>
  </si>
  <si>
    <t>936Nav80</t>
  </si>
  <si>
    <t>Grace Johnston</t>
  </si>
  <si>
    <t>937Nav80</t>
  </si>
  <si>
    <t>938Nav80</t>
  </si>
  <si>
    <t>939Nav80</t>
  </si>
  <si>
    <t>940Nav80</t>
  </si>
  <si>
    <t>941Nav80</t>
  </si>
  <si>
    <t>942Red80</t>
  </si>
  <si>
    <t>943Nav80</t>
  </si>
  <si>
    <t>944Nav80</t>
  </si>
  <si>
    <t>945Nav80</t>
  </si>
  <si>
    <t>946Nav80</t>
  </si>
  <si>
    <t>947Nav80</t>
  </si>
  <si>
    <t>948Nav80</t>
  </si>
  <si>
    <t>949Nav80</t>
  </si>
  <si>
    <t>950Nav80</t>
  </si>
  <si>
    <t>951Nav80</t>
  </si>
  <si>
    <t>952Nav80</t>
  </si>
  <si>
    <t>953Nav80</t>
  </si>
  <si>
    <t>954Nav80</t>
  </si>
  <si>
    <t>955Nav80</t>
  </si>
  <si>
    <t>956Nav80</t>
  </si>
  <si>
    <t>957Nav80</t>
  </si>
  <si>
    <t>958Nav80</t>
  </si>
  <si>
    <t>959Nav80</t>
  </si>
  <si>
    <t>960Nav80</t>
  </si>
  <si>
    <t>961Nav80</t>
  </si>
  <si>
    <t>Sabrina Ryan</t>
  </si>
  <si>
    <t>962Nav80</t>
  </si>
  <si>
    <t>Penelope Armstrong</t>
  </si>
  <si>
    <t>963Nav80</t>
  </si>
  <si>
    <t>Maya Wright</t>
  </si>
  <si>
    <t>964Nav80</t>
  </si>
  <si>
    <t>Lilianna Carter</t>
  </si>
  <si>
    <t>965Nav80</t>
  </si>
  <si>
    <t>Melissa Scott</t>
  </si>
  <si>
    <t>966Nav80</t>
  </si>
  <si>
    <t>Ellia Henderson</t>
  </si>
  <si>
    <t>978Nav80</t>
  </si>
  <si>
    <t>Lydia Russell</t>
  </si>
  <si>
    <t>980Nav80</t>
  </si>
  <si>
    <t>Alisa Kelley</t>
  </si>
  <si>
    <t>981Nav80</t>
  </si>
  <si>
    <t>Michelle Barnes</t>
  </si>
  <si>
    <t>983Nav80</t>
  </si>
  <si>
    <t>Miley Reed</t>
  </si>
  <si>
    <t>984Nav80</t>
  </si>
  <si>
    <t>Olivia Cameron</t>
  </si>
  <si>
    <t>1109Nav80</t>
  </si>
  <si>
    <t>Kate Williams</t>
  </si>
  <si>
    <t>1110Nav80</t>
  </si>
  <si>
    <t>Naomi Adams</t>
  </si>
  <si>
    <t>1111Nav80</t>
  </si>
  <si>
    <t>1112Nav80</t>
  </si>
  <si>
    <t>1113Nav80</t>
  </si>
  <si>
    <t>1114Nav80</t>
  </si>
  <si>
    <t>1115Nav80</t>
  </si>
  <si>
    <t>1116Nav80</t>
  </si>
  <si>
    <t>1117Nav80</t>
  </si>
  <si>
    <t>1118Nav80</t>
  </si>
  <si>
    <t>1119Nav80</t>
  </si>
  <si>
    <t>1120Nav80</t>
  </si>
  <si>
    <t>1121Nav80</t>
  </si>
  <si>
    <t>1122Nav80</t>
  </si>
  <si>
    <t>1123Nav80</t>
  </si>
  <si>
    <t>1124Nav80</t>
  </si>
  <si>
    <t>1125Nav80</t>
  </si>
  <si>
    <t>1126Nav80</t>
  </si>
  <si>
    <t>1127Nav80</t>
  </si>
  <si>
    <t>1128Nav80</t>
  </si>
  <si>
    <t>1129Nav80</t>
  </si>
  <si>
    <t>1130Nav80</t>
  </si>
  <si>
    <t>1131Nav80</t>
  </si>
  <si>
    <t>1132Nav80</t>
  </si>
  <si>
    <t>1133Nav80</t>
  </si>
  <si>
    <t>1134Nav80</t>
  </si>
  <si>
    <t>1135Nav80</t>
  </si>
  <si>
    <t>1136Nav80</t>
  </si>
  <si>
    <t>1137Nav80</t>
  </si>
  <si>
    <t>1138Nav80</t>
  </si>
  <si>
    <t>1139Nav80</t>
  </si>
  <si>
    <t>1140Nav80</t>
  </si>
  <si>
    <t>1141Nav80</t>
  </si>
  <si>
    <t>1142Nav80</t>
  </si>
  <si>
    <t>1143Red10</t>
  </si>
  <si>
    <t>1144Red10</t>
  </si>
  <si>
    <t>1145Red10</t>
  </si>
  <si>
    <t>1146Red10</t>
  </si>
  <si>
    <t>1147Red10</t>
  </si>
  <si>
    <t>1148Red10</t>
  </si>
  <si>
    <t>1149Red10</t>
  </si>
  <si>
    <t>1150Red10</t>
  </si>
  <si>
    <t>1151Red10</t>
  </si>
  <si>
    <t>1152Red10</t>
  </si>
  <si>
    <t>1153Red10</t>
  </si>
  <si>
    <t>1154Red10</t>
  </si>
  <si>
    <t>1155Red10</t>
  </si>
  <si>
    <t>1156Red10</t>
  </si>
  <si>
    <t>Emma Farrell</t>
  </si>
  <si>
    <t>1157Red10</t>
  </si>
  <si>
    <t>Samantha Chapman</t>
  </si>
  <si>
    <t>1158Red10</t>
  </si>
  <si>
    <t>Joyce Miller</t>
  </si>
  <si>
    <t>1159Red10</t>
  </si>
  <si>
    <t>Connie Mitchell</t>
  </si>
  <si>
    <t>1160Red10</t>
  </si>
  <si>
    <t>Joyce Hill</t>
  </si>
  <si>
    <t>1161Red10</t>
  </si>
  <si>
    <t>Alissa Carter</t>
  </si>
  <si>
    <t>1162Red10</t>
  </si>
  <si>
    <t>Adelaide West</t>
  </si>
  <si>
    <t>1163Red10</t>
  </si>
  <si>
    <t>Gianna Murray</t>
  </si>
  <si>
    <t>1164Red10</t>
  </si>
  <si>
    <t>Valeria Foster</t>
  </si>
  <si>
    <t>1165Red10</t>
  </si>
  <si>
    <t>1166Red10</t>
  </si>
  <si>
    <t>1167Red10</t>
  </si>
  <si>
    <t>1168Red10</t>
  </si>
  <si>
    <t>1169Red10</t>
  </si>
  <si>
    <t>1170Red10</t>
  </si>
  <si>
    <t>1171Red10</t>
  </si>
  <si>
    <t>1172Red10</t>
  </si>
  <si>
    <t>1173Red10</t>
  </si>
  <si>
    <t>1174Red10</t>
  </si>
  <si>
    <t>1175Red10</t>
  </si>
  <si>
    <t>1176Red10</t>
  </si>
  <si>
    <t>1177Red10</t>
  </si>
  <si>
    <t>1178Red10</t>
  </si>
  <si>
    <t>1179Sus10</t>
  </si>
  <si>
    <t>1180Sus10</t>
  </si>
  <si>
    <t>1181Sus10</t>
  </si>
  <si>
    <t>1182Sus10</t>
  </si>
  <si>
    <t>1183Sus10</t>
  </si>
  <si>
    <t>1184Sus10</t>
  </si>
  <si>
    <t>1185Sus10</t>
  </si>
  <si>
    <t>1186Sus10</t>
  </si>
  <si>
    <t>1187Sus10</t>
  </si>
  <si>
    <t>1188Sus10</t>
  </si>
  <si>
    <t>1189Sus10</t>
  </si>
  <si>
    <t>1190Sus10</t>
  </si>
  <si>
    <t>1191Sus10</t>
  </si>
  <si>
    <t>1192Sus10</t>
  </si>
  <si>
    <t>1193Sus10</t>
  </si>
  <si>
    <t>1194Sus10</t>
  </si>
  <si>
    <t>1195Sus10</t>
  </si>
  <si>
    <t>1196Sus10</t>
  </si>
  <si>
    <t>1197Sus10</t>
  </si>
  <si>
    <t>1198Sus10</t>
  </si>
  <si>
    <t>1199Sus10</t>
  </si>
  <si>
    <t>1200Sus10</t>
  </si>
  <si>
    <t>1201Sus10</t>
  </si>
  <si>
    <t>1202Sus10</t>
  </si>
  <si>
    <t>1203Sus10</t>
  </si>
  <si>
    <t>1204Sus10</t>
  </si>
  <si>
    <t>1205Sus10</t>
  </si>
  <si>
    <t>1206Sus10</t>
  </si>
  <si>
    <t>1207Sus10</t>
  </si>
  <si>
    <t>1208Sus10</t>
  </si>
  <si>
    <t>1209Sus10</t>
  </si>
  <si>
    <t>1210Sus10</t>
  </si>
  <si>
    <t>1211Sus10</t>
  </si>
  <si>
    <t>1212Sus10</t>
  </si>
  <si>
    <t>1213Sus10</t>
  </si>
  <si>
    <t>1214Sus10</t>
  </si>
  <si>
    <t>1215Sus10</t>
  </si>
  <si>
    <t>1216Sus10</t>
  </si>
  <si>
    <t>1217Sus10</t>
  </si>
  <si>
    <t>1218Sus10</t>
  </si>
  <si>
    <t>1219Sus10</t>
  </si>
  <si>
    <t>1220Sus10</t>
  </si>
  <si>
    <t>1221Sus10</t>
  </si>
  <si>
    <t>1222Sus10</t>
  </si>
  <si>
    <t>1223Sus10</t>
  </si>
  <si>
    <t>1224Sus10</t>
  </si>
  <si>
    <t>1225Sus10</t>
  </si>
  <si>
    <t>1226Sus10</t>
  </si>
  <si>
    <t>1227Sus10</t>
  </si>
  <si>
    <t>1228Sus10</t>
  </si>
  <si>
    <t>1229Sus10</t>
  </si>
  <si>
    <t>1230Sus10</t>
  </si>
  <si>
    <t>1231Sus10</t>
  </si>
  <si>
    <t>1232Sus10</t>
  </si>
  <si>
    <t>1233Sus10</t>
  </si>
  <si>
    <t>1234Red10</t>
  </si>
  <si>
    <t>1235Red10</t>
  </si>
  <si>
    <t>1236Red10</t>
  </si>
  <si>
    <t>1237Red10</t>
  </si>
  <si>
    <t>1238Red10</t>
  </si>
  <si>
    <t>1239Red10</t>
  </si>
  <si>
    <t>1240Red10</t>
  </si>
  <si>
    <t>1241Red10</t>
  </si>
  <si>
    <t>1242Red10</t>
  </si>
  <si>
    <t>1243Red10</t>
  </si>
  <si>
    <t>1244Red10</t>
  </si>
  <si>
    <t>1245Red10</t>
  </si>
  <si>
    <t>1246Red10</t>
  </si>
  <si>
    <t>1247Red10</t>
  </si>
  <si>
    <t>1248Red10</t>
  </si>
  <si>
    <t>1249Red10</t>
  </si>
  <si>
    <t>1250Red10</t>
  </si>
  <si>
    <t>1251Red10</t>
  </si>
  <si>
    <t>Connie Hawkins</t>
  </si>
  <si>
    <t>1252Red10</t>
  </si>
  <si>
    <t>Honey Sullivan</t>
  </si>
  <si>
    <t>1253Red10</t>
  </si>
  <si>
    <t>Connie Murphy</t>
  </si>
  <si>
    <t>1254Red10</t>
  </si>
  <si>
    <t>Myrada Sull</t>
  </si>
  <si>
    <t>1255Red10</t>
  </si>
  <si>
    <t>Tara Edwards</t>
  </si>
  <si>
    <t>1256Red10</t>
  </si>
  <si>
    <t>Cadie Crawford</t>
  </si>
  <si>
    <t>1257Red10</t>
  </si>
  <si>
    <t>Alina Barnes</t>
  </si>
  <si>
    <t>1258Red10</t>
  </si>
  <si>
    <t>Cherry Cunningham</t>
  </si>
  <si>
    <t>1259Red10</t>
  </si>
  <si>
    <t>Alexia Scott</t>
  </si>
  <si>
    <t>1260Red10</t>
  </si>
  <si>
    <t>Chloe Thompson</t>
  </si>
  <si>
    <t>1261Red10</t>
  </si>
  <si>
    <t>Rebecca Gray</t>
  </si>
  <si>
    <t>1262Red10</t>
  </si>
  <si>
    <t>Kimberly Mason</t>
  </si>
  <si>
    <t>1263Red10</t>
  </si>
  <si>
    <t>Hailey Morrison</t>
  </si>
  <si>
    <t>1264Red10</t>
  </si>
  <si>
    <t>Audrey Crawford</t>
  </si>
  <si>
    <t>1265Red10</t>
  </si>
  <si>
    <t>Michelle Perry</t>
  </si>
  <si>
    <t>1266Red10</t>
  </si>
  <si>
    <t>Brianna Harper</t>
  </si>
  <si>
    <t>1267Red10</t>
  </si>
  <si>
    <t>1268Red10</t>
  </si>
  <si>
    <t>1269Red10</t>
  </si>
  <si>
    <t>1270Red10</t>
  </si>
  <si>
    <t>1271Red10</t>
  </si>
  <si>
    <t>1272Red10</t>
  </si>
  <si>
    <t>1273Red10</t>
  </si>
  <si>
    <t>1274Red10</t>
  </si>
  <si>
    <t>1275Red10</t>
  </si>
  <si>
    <t>1276Red10</t>
  </si>
  <si>
    <t>1277Red10</t>
  </si>
  <si>
    <t>1278Red10</t>
  </si>
  <si>
    <t>1279Red10</t>
  </si>
  <si>
    <t>1280Red10</t>
  </si>
  <si>
    <t>1281Red10</t>
  </si>
  <si>
    <t>1282Red10</t>
  </si>
  <si>
    <t>1283Red10</t>
  </si>
  <si>
    <t>1284Red10</t>
  </si>
  <si>
    <t>1285Red10</t>
  </si>
  <si>
    <t>Lucy Montgomery</t>
  </si>
  <si>
    <t>1286Red10</t>
  </si>
  <si>
    <t>Mary Lloyd</t>
  </si>
  <si>
    <t>1287Red10</t>
  </si>
  <si>
    <t>Savana Farrell</t>
  </si>
  <si>
    <t>1288Red10</t>
  </si>
  <si>
    <t>Arianna Davis</t>
  </si>
  <si>
    <t>1289Red10</t>
  </si>
  <si>
    <t>Tess Harper</t>
  </si>
  <si>
    <t>1290Red10</t>
  </si>
  <si>
    <t>Natalie Jones</t>
  </si>
  <si>
    <t>1291Red10</t>
  </si>
  <si>
    <t>Naomi Spencer</t>
  </si>
  <si>
    <t>1292Red10</t>
  </si>
  <si>
    <t>Florrie Riley</t>
  </si>
  <si>
    <t>1293Red10</t>
  </si>
  <si>
    <t>Darcy Lloyd</t>
  </si>
  <si>
    <t>1294Red10</t>
  </si>
  <si>
    <t>Darcy Rogers</t>
  </si>
  <si>
    <t>1295Red10</t>
  </si>
  <si>
    <t>Darcy Roberts</t>
  </si>
  <si>
    <t>1296Red10</t>
  </si>
  <si>
    <t>Charlotte Russell</t>
  </si>
  <si>
    <t>1297Red10</t>
  </si>
  <si>
    <t>1298Red10</t>
  </si>
  <si>
    <t>1299Red10</t>
  </si>
  <si>
    <t>1300Red10</t>
  </si>
  <si>
    <t>1301Red10</t>
  </si>
  <si>
    <t>1302Red10</t>
  </si>
  <si>
    <t>1303Red10</t>
  </si>
  <si>
    <t>1304Red10</t>
  </si>
  <si>
    <t>1305Red10</t>
  </si>
  <si>
    <t>1306Red10</t>
  </si>
  <si>
    <t>1307Red10</t>
  </si>
  <si>
    <t>1308Red10</t>
  </si>
  <si>
    <t>1309Red10</t>
  </si>
  <si>
    <t>1310Red10</t>
  </si>
  <si>
    <t>1311Red10</t>
  </si>
  <si>
    <t>1312Red10</t>
  </si>
  <si>
    <t>1313Red10</t>
  </si>
  <si>
    <t>1314Red10</t>
  </si>
  <si>
    <t>1315Red10</t>
  </si>
  <si>
    <t>1316Red10</t>
  </si>
  <si>
    <t>1317Red10</t>
  </si>
  <si>
    <t>1318Red10</t>
  </si>
  <si>
    <t>1319Red10</t>
  </si>
  <si>
    <t>Maddie Parker</t>
  </si>
  <si>
    <t>1320Red10</t>
  </si>
  <si>
    <t>Lilianna Ellis</t>
  </si>
  <si>
    <t>1321Red10</t>
  </si>
  <si>
    <t>1322Red10</t>
  </si>
  <si>
    <t>1323Red10</t>
  </si>
  <si>
    <t>1324Red10</t>
  </si>
  <si>
    <t>1325Red10</t>
  </si>
  <si>
    <t>1326Red10</t>
  </si>
  <si>
    <t>1327Red10</t>
  </si>
  <si>
    <t>1328Red10</t>
  </si>
  <si>
    <t>1329Red10</t>
  </si>
  <si>
    <t>1330Red10</t>
  </si>
  <si>
    <t>1331Red10</t>
  </si>
  <si>
    <t>1332Red10</t>
  </si>
  <si>
    <t>1333Red10</t>
  </si>
  <si>
    <t>1334Red10</t>
  </si>
  <si>
    <t>1335Red10</t>
  </si>
  <si>
    <t>1336Red10</t>
  </si>
  <si>
    <t>1337Red10</t>
  </si>
  <si>
    <t>1338Red10</t>
  </si>
  <si>
    <t>1339Red10</t>
  </si>
  <si>
    <t>1340Red10</t>
  </si>
  <si>
    <t>1341Red10</t>
  </si>
  <si>
    <t>1342Red10</t>
  </si>
  <si>
    <t>1343Red10</t>
  </si>
  <si>
    <t>1344Red10</t>
  </si>
  <si>
    <t>1345Red10</t>
  </si>
  <si>
    <t>1346Red10</t>
  </si>
  <si>
    <t>1347Red10</t>
  </si>
  <si>
    <t>1348Red10</t>
  </si>
  <si>
    <t>1349Red10</t>
  </si>
  <si>
    <t>1350Red10</t>
  </si>
  <si>
    <t>1351Red10</t>
  </si>
  <si>
    <t>Miley Walker</t>
  </si>
  <si>
    <t>1352Red10</t>
  </si>
  <si>
    <t>Madaline Parker</t>
  </si>
  <si>
    <t>1353Red10</t>
  </si>
  <si>
    <t>April Andrews</t>
  </si>
  <si>
    <t>1354Red10</t>
  </si>
  <si>
    <t>Savana Payne</t>
  </si>
  <si>
    <t>1355Red10</t>
  </si>
  <si>
    <t>Rebecca Jones</t>
  </si>
  <si>
    <t>1356Red10</t>
  </si>
  <si>
    <t>Myra Morris</t>
  </si>
  <si>
    <t>1357Red10</t>
  </si>
  <si>
    <t>Violet Russell</t>
  </si>
  <si>
    <t>1358Red10</t>
  </si>
  <si>
    <t>Sabrina Harrison</t>
  </si>
  <si>
    <t>1359Red10</t>
  </si>
  <si>
    <t>Alberta Smith</t>
  </si>
  <si>
    <t>1360Red10</t>
  </si>
  <si>
    <t>Evelyn Watson</t>
  </si>
  <si>
    <t>1361Red10</t>
  </si>
  <si>
    <t>Alina Gibson</t>
  </si>
  <si>
    <t>1362Red10</t>
  </si>
  <si>
    <t>Rebecca Ferguson</t>
  </si>
  <si>
    <t>1363Red10</t>
  </si>
  <si>
    <t>Rubie Payne</t>
  </si>
  <si>
    <t>1364Red10</t>
  </si>
  <si>
    <t>Carina Harrison</t>
  </si>
  <si>
    <t>1365Red10</t>
  </si>
  <si>
    <t>Alisa Holmes</t>
  </si>
  <si>
    <t>1366Red10</t>
  </si>
  <si>
    <t>Isabella Walker</t>
  </si>
  <si>
    <t>1367Red10</t>
  </si>
  <si>
    <t>Jasmine Richards</t>
  </si>
  <si>
    <t>1368Red10</t>
  </si>
  <si>
    <t>Myra Evans</t>
  </si>
  <si>
    <t>1369Red10</t>
  </si>
  <si>
    <t>Abigail Ross</t>
  </si>
  <si>
    <t>1370Red10</t>
  </si>
  <si>
    <t>Deanna Davis</t>
  </si>
  <si>
    <t>1371Red10</t>
  </si>
  <si>
    <t>1372Red10</t>
  </si>
  <si>
    <t>1373Red10</t>
  </si>
  <si>
    <t>1374Red10</t>
  </si>
  <si>
    <t>1375Red10</t>
  </si>
  <si>
    <t>1376Red10</t>
  </si>
  <si>
    <t>1377Red10</t>
  </si>
  <si>
    <t>1378Red10</t>
  </si>
  <si>
    <t>1379Red10</t>
  </si>
  <si>
    <t>1380Red10</t>
  </si>
  <si>
    <t>1381Red10</t>
  </si>
  <si>
    <t>1382Red10</t>
  </si>
  <si>
    <t>1383Red10</t>
  </si>
  <si>
    <t>1384Red10</t>
  </si>
  <si>
    <t>1385Red10</t>
  </si>
  <si>
    <t>1386Red10</t>
  </si>
  <si>
    <t>1387Red10</t>
  </si>
  <si>
    <t>1388Nav80</t>
  </si>
  <si>
    <t>Vanessa Lloyd</t>
  </si>
  <si>
    <t>1389Nav80</t>
  </si>
  <si>
    <t>Joyce Hunt</t>
  </si>
  <si>
    <t>1390Nav80</t>
  </si>
  <si>
    <t>Violet Wells</t>
  </si>
  <si>
    <t>1391Nav80</t>
  </si>
  <si>
    <t>Maddie Phillips</t>
  </si>
  <si>
    <t>1392Nav80</t>
  </si>
  <si>
    <t>Myra Nelson</t>
  </si>
  <si>
    <t>1393Nav80</t>
  </si>
  <si>
    <t>Emily Hill</t>
  </si>
  <si>
    <t>1394Nav80</t>
  </si>
  <si>
    <t>Fiona West</t>
  </si>
  <si>
    <t>1395Nav80</t>
  </si>
  <si>
    <t>Connie Allen</t>
  </si>
  <si>
    <t>1396Nav80</t>
  </si>
  <si>
    <t>Adelaide Crawford</t>
  </si>
  <si>
    <t>1397Nav80</t>
  </si>
  <si>
    <t>Samantha Allen</t>
  </si>
  <si>
    <t>1398Nav80</t>
  </si>
  <si>
    <t>Myra Morgan</t>
  </si>
  <si>
    <t>1399Nav80</t>
  </si>
  <si>
    <t>Deanna Sullivan</t>
  </si>
  <si>
    <t>1400Nav80</t>
  </si>
  <si>
    <t>Audrey Cameron</t>
  </si>
  <si>
    <t>1401Nav80</t>
  </si>
  <si>
    <t>Catherine Ferguson</t>
  </si>
  <si>
    <t>1402Nav80</t>
  </si>
  <si>
    <t>Adele Armstrong</t>
  </si>
  <si>
    <t>1403Nav80</t>
  </si>
  <si>
    <t>Miranda Thompson</t>
  </si>
  <si>
    <t>1404Nav80</t>
  </si>
  <si>
    <t>Myra Sullivan</t>
  </si>
  <si>
    <t>1405Nav80</t>
  </si>
  <si>
    <t>Carina Gibson</t>
  </si>
  <si>
    <t>1406Nav80</t>
  </si>
  <si>
    <t>Maddie Montgomery</t>
  </si>
  <si>
    <t>1407Nav80</t>
  </si>
  <si>
    <t>Lydia Turner</t>
  </si>
  <si>
    <t>1408Nav80</t>
  </si>
  <si>
    <t>Agata Hawkins</t>
  </si>
  <si>
    <t>1409Nav80</t>
  </si>
  <si>
    <t>Paige Holmes</t>
  </si>
  <si>
    <t>1410Nav80</t>
  </si>
  <si>
    <t>Brooke Spencer</t>
  </si>
  <si>
    <t>1411Nav80</t>
  </si>
  <si>
    <t>Grace Hill</t>
  </si>
  <si>
    <t>1412Nav80</t>
  </si>
  <si>
    <t>Lydia Ferguson</t>
  </si>
  <si>
    <t>1413Nav80</t>
  </si>
  <si>
    <t>Briony Warren</t>
  </si>
  <si>
    <t>1414Nav80</t>
  </si>
  <si>
    <t>Joyce Ross</t>
  </si>
  <si>
    <t>1415Nav80</t>
  </si>
  <si>
    <t>Aida Montgomery</t>
  </si>
  <si>
    <t>1416Nav80</t>
  </si>
  <si>
    <t>Ellia Foster</t>
  </si>
  <si>
    <t>1417Nav80</t>
  </si>
  <si>
    <t>Connie Gray</t>
  </si>
  <si>
    <t>1418Nav80</t>
  </si>
  <si>
    <t>Nicole Jones</t>
  </si>
  <si>
    <t>1419Nav80</t>
  </si>
  <si>
    <t>Abigail Hawkins</t>
  </si>
  <si>
    <t>1420Nav80</t>
  </si>
  <si>
    <t>Belinda Hamilton</t>
  </si>
  <si>
    <t>1421Nav80</t>
  </si>
  <si>
    <t>April Chapman</t>
  </si>
  <si>
    <t>1422Nav80</t>
  </si>
  <si>
    <t>Melissa Anderson</t>
  </si>
  <si>
    <t>1423Nav80</t>
  </si>
  <si>
    <t>Stella Brown</t>
  </si>
  <si>
    <t>1424Nav80</t>
  </si>
  <si>
    <t>Aida Spencer</t>
  </si>
  <si>
    <t>1425Nav80</t>
  </si>
  <si>
    <t>Naomi Morgan</t>
  </si>
  <si>
    <t>1426Nav80</t>
  </si>
  <si>
    <t>Chloe Miller</t>
  </si>
  <si>
    <t>1427Nav80</t>
  </si>
  <si>
    <t>Lily Douglas</t>
  </si>
  <si>
    <t>1428Nav80</t>
  </si>
  <si>
    <t>Lydia Wright</t>
  </si>
  <si>
    <t>1429Nav80</t>
  </si>
  <si>
    <t>Kirsten Alexander</t>
  </si>
  <si>
    <t>1430Nav80</t>
  </si>
  <si>
    <t>Penelope Miller</t>
  </si>
  <si>
    <t>1431Nav80</t>
  </si>
  <si>
    <t>Sydney Henderson</t>
  </si>
  <si>
    <t>1432Nav80</t>
  </si>
  <si>
    <t>Belinda Spencer</t>
  </si>
  <si>
    <t>1433Nav80</t>
  </si>
  <si>
    <t>Isabella Ryan</t>
  </si>
  <si>
    <t>1434Nav80</t>
  </si>
  <si>
    <t>Rebecca Kelley</t>
  </si>
  <si>
    <t>1435Nav80</t>
  </si>
  <si>
    <t>Cherry Dixon</t>
  </si>
  <si>
    <t>1436Nav80</t>
  </si>
  <si>
    <t>Sofia Douglas</t>
  </si>
  <si>
    <t>1437Nav80</t>
  </si>
  <si>
    <t>Kimberly Morrison</t>
  </si>
  <si>
    <t>1438Nav80</t>
  </si>
  <si>
    <t>Jenna Cameron</t>
  </si>
  <si>
    <t>1439Nav80</t>
  </si>
  <si>
    <t>Alissa Richardson</t>
  </si>
  <si>
    <t>1440Nav80</t>
  </si>
  <si>
    <t>Amelia Martin</t>
  </si>
  <si>
    <t>1441Nav80</t>
  </si>
  <si>
    <t>Naomi Ryan</t>
  </si>
  <si>
    <t>1442Nav80</t>
  </si>
  <si>
    <t>Sofia Johnston</t>
  </si>
  <si>
    <t>1443Nav80</t>
  </si>
  <si>
    <t>Maddie Richardson</t>
  </si>
  <si>
    <t>1444Nav80</t>
  </si>
  <si>
    <t>Maya Davis</t>
  </si>
  <si>
    <t>1445Nav80</t>
  </si>
  <si>
    <t>Ellia Edwards</t>
  </si>
  <si>
    <t>1446Nav80</t>
  </si>
  <si>
    <t>Grace Johnson</t>
  </si>
  <si>
    <t>1447Nav80</t>
  </si>
  <si>
    <t>Isabella Owens</t>
  </si>
  <si>
    <t>1448Nav80</t>
  </si>
  <si>
    <t>Daisy Payne</t>
  </si>
  <si>
    <t>1449Nav80</t>
  </si>
  <si>
    <t>Evelyn Morris</t>
  </si>
  <si>
    <t>1450Nav80</t>
  </si>
  <si>
    <t>Annabella Cunningham</t>
  </si>
  <si>
    <t>1451Nav80</t>
  </si>
  <si>
    <t>Alexia Stevens</t>
  </si>
  <si>
    <t>1452Nav80</t>
  </si>
  <si>
    <t>Kirsten Murphy</t>
  </si>
  <si>
    <t>1453Nav80</t>
  </si>
  <si>
    <t>Sarah Evans</t>
  </si>
  <si>
    <t>1454Nav80</t>
  </si>
  <si>
    <t>Cadie Kelly</t>
  </si>
  <si>
    <t>1455Nav80</t>
  </si>
  <si>
    <t>Honey Mason</t>
  </si>
  <si>
    <t>1456Nav80</t>
  </si>
  <si>
    <t>Kelsey Farrell</t>
  </si>
  <si>
    <t>1457Nav80</t>
  </si>
  <si>
    <t>Vivian Scott</t>
  </si>
  <si>
    <t>1458Nav80</t>
  </si>
  <si>
    <t>Jenna Armstrong</t>
  </si>
  <si>
    <t>1459Nav80</t>
  </si>
  <si>
    <t>Anna Hall</t>
  </si>
  <si>
    <t>1460Nav80</t>
  </si>
  <si>
    <t>Joyce Harrison</t>
  </si>
  <si>
    <t>1461Nav80</t>
  </si>
  <si>
    <t>Hailey Craig</t>
  </si>
  <si>
    <t>1462Nav80</t>
  </si>
  <si>
    <t>Mary Robinson</t>
  </si>
  <si>
    <t>1463Nav80</t>
  </si>
  <si>
    <t>Sarah Gray</t>
  </si>
  <si>
    <t>1464Nav80</t>
  </si>
  <si>
    <t>Eleanor Warren</t>
  </si>
  <si>
    <t>1465Nav80</t>
  </si>
  <si>
    <t>Emma Williams</t>
  </si>
  <si>
    <t>1466Nav80</t>
  </si>
  <si>
    <t>Charlotte Turner</t>
  </si>
  <si>
    <t>1467Nav80</t>
  </si>
  <si>
    <t>Ellia Myers</t>
  </si>
  <si>
    <t>1468Nav80</t>
  </si>
  <si>
    <t>Daisy Gray</t>
  </si>
  <si>
    <t>1469Nav80</t>
  </si>
  <si>
    <t>Grace Morgan</t>
  </si>
  <si>
    <t>1470Nav80</t>
  </si>
  <si>
    <t>Sienna Wells</t>
  </si>
  <si>
    <t>1471Nav80</t>
  </si>
  <si>
    <t>Annabella Payne</t>
  </si>
  <si>
    <t>1472Nav80</t>
  </si>
  <si>
    <t>Anna Harris</t>
  </si>
  <si>
    <t>1473Nav80</t>
  </si>
  <si>
    <t>Abigail Hamilton</t>
  </si>
  <si>
    <t>1474Nav80</t>
  </si>
  <si>
    <t>Abigail Murray</t>
  </si>
  <si>
    <t>1475Nav80</t>
  </si>
  <si>
    <t>Hail Fost</t>
  </si>
  <si>
    <t>1476Nav80</t>
  </si>
  <si>
    <t>Camila Rogers</t>
  </si>
  <si>
    <t>1477Nav80</t>
  </si>
  <si>
    <t>Lucia Kelley</t>
  </si>
  <si>
    <t>1478Nav80</t>
  </si>
  <si>
    <t>Gianna Montgomery</t>
  </si>
  <si>
    <t>1479Nav80</t>
  </si>
  <si>
    <t>Chelsea Brown</t>
  </si>
  <si>
    <t>1480Nav80</t>
  </si>
  <si>
    <t>Lucia Harris</t>
  </si>
  <si>
    <t>1481Nav80</t>
  </si>
  <si>
    <t>April Kelley</t>
  </si>
  <si>
    <t>1482Nav80</t>
  </si>
  <si>
    <t>Aida Chapman</t>
  </si>
  <si>
    <t>1483Nav80</t>
  </si>
  <si>
    <t>Michelle Adams</t>
  </si>
  <si>
    <t>1484Nav80</t>
  </si>
  <si>
    <t>Savana Lloyd</t>
  </si>
  <si>
    <t>1485Nav80</t>
  </si>
  <si>
    <t>Miley Perry</t>
  </si>
  <si>
    <t>1486Nav80</t>
  </si>
  <si>
    <t>Belinda Johnson</t>
  </si>
  <si>
    <t>1487Nav80</t>
  </si>
  <si>
    <t>Ada Martin</t>
  </si>
  <si>
    <t>1488Nav80</t>
  </si>
  <si>
    <t>Kirsten Carroll</t>
  </si>
  <si>
    <t>1489Nav80</t>
  </si>
  <si>
    <t>Elise Ellis</t>
  </si>
  <si>
    <t>1490Nav80</t>
  </si>
  <si>
    <t>Lilianna Baker</t>
  </si>
  <si>
    <t>1491Nav80</t>
  </si>
  <si>
    <t>Kimberly Jones</t>
  </si>
  <si>
    <t>1492Nav80</t>
  </si>
  <si>
    <t>Heather Harper</t>
  </si>
  <si>
    <t>1493Nav80</t>
  </si>
  <si>
    <t>Melanie Grant</t>
  </si>
  <si>
    <t>1494Nav80</t>
  </si>
  <si>
    <t>Julia Ryan</t>
  </si>
  <si>
    <t>1495Nav80</t>
  </si>
  <si>
    <t>1496Nav80</t>
  </si>
  <si>
    <t>1497Nav80</t>
  </si>
  <si>
    <t>1498Nav80</t>
  </si>
  <si>
    <t>1499Nav80</t>
  </si>
  <si>
    <t>1500Nav80</t>
  </si>
  <si>
    <t>1501Nav80</t>
  </si>
  <si>
    <t>1502Nav80</t>
  </si>
  <si>
    <t>1503Nav80</t>
  </si>
  <si>
    <t>1504Nav80</t>
  </si>
  <si>
    <t>1505Nav80</t>
  </si>
  <si>
    <t>1506Nav80</t>
  </si>
  <si>
    <t>1507Nav80</t>
  </si>
  <si>
    <t>1508Nav80</t>
  </si>
  <si>
    <t>1509Nav80</t>
  </si>
  <si>
    <t>1510Nav80</t>
  </si>
  <si>
    <t>1511Nav80</t>
  </si>
  <si>
    <t>1512Nav80</t>
  </si>
  <si>
    <t>1513Nav80</t>
  </si>
  <si>
    <t>1514Bla90</t>
  </si>
  <si>
    <t>1515Bla90</t>
  </si>
  <si>
    <t>1516Bla90</t>
  </si>
  <si>
    <t>1517Bla90</t>
  </si>
  <si>
    <t>1518Bla90</t>
  </si>
  <si>
    <t>1519Bla90</t>
  </si>
  <si>
    <t>1520Bla90</t>
  </si>
  <si>
    <t>1521Bla90</t>
  </si>
  <si>
    <t>1522Red10</t>
  </si>
  <si>
    <t>1523Red10</t>
  </si>
  <si>
    <t>1524Red10</t>
  </si>
  <si>
    <t>1525Red10</t>
  </si>
  <si>
    <t>1526Red10</t>
  </si>
  <si>
    <t>1527Red10</t>
  </si>
  <si>
    <t>1528Red10</t>
  </si>
  <si>
    <t>1529Red10</t>
  </si>
  <si>
    <t>1530Red10</t>
  </si>
  <si>
    <t>1531Red10</t>
  </si>
  <si>
    <t>1532Red10</t>
  </si>
  <si>
    <t>1533Red10</t>
  </si>
  <si>
    <t>1534Red10</t>
  </si>
  <si>
    <t>1535Red10</t>
  </si>
  <si>
    <t>1536Red10</t>
  </si>
  <si>
    <t>1537Red10</t>
  </si>
  <si>
    <t>1538Red10</t>
  </si>
  <si>
    <t>1539Red10</t>
  </si>
  <si>
    <t>1540Red10</t>
  </si>
  <si>
    <t>1541Red10</t>
  </si>
  <si>
    <t>1542Red10</t>
  </si>
  <si>
    <t>1543Red10</t>
  </si>
  <si>
    <t>1544Red10</t>
  </si>
  <si>
    <t>1545Red10</t>
  </si>
  <si>
    <t>1546Red10</t>
  </si>
  <si>
    <t>1547Red10</t>
  </si>
  <si>
    <t>1548Red10</t>
  </si>
  <si>
    <t>1549Red10</t>
  </si>
  <si>
    <t>1550Red10</t>
  </si>
  <si>
    <t>1551Red10</t>
  </si>
  <si>
    <t>1552Red10</t>
  </si>
  <si>
    <t>1553Red10</t>
  </si>
  <si>
    <t>1554Red10</t>
  </si>
  <si>
    <t>1555Red10</t>
  </si>
  <si>
    <t>1556Red10</t>
  </si>
  <si>
    <t>1557Red10</t>
  </si>
  <si>
    <t>1558Red10</t>
  </si>
  <si>
    <t>1559Red10</t>
  </si>
  <si>
    <t>1560Red10</t>
  </si>
  <si>
    <t>1561Red10</t>
  </si>
  <si>
    <t>1562Red10</t>
  </si>
  <si>
    <t>1563Red10</t>
  </si>
  <si>
    <t>1564Red10</t>
  </si>
  <si>
    <t>1565Red10</t>
  </si>
  <si>
    <t>1566Red10</t>
  </si>
  <si>
    <t>1567Red10</t>
  </si>
  <si>
    <t>1568Red10</t>
  </si>
  <si>
    <t>1569Red10</t>
  </si>
  <si>
    <t>1570Red10</t>
  </si>
  <si>
    <t>1571Red10</t>
  </si>
  <si>
    <t>1572Red10</t>
  </si>
  <si>
    <t>1573Red10</t>
  </si>
  <si>
    <t>1574Red10</t>
  </si>
  <si>
    <t>1575Red10</t>
  </si>
  <si>
    <t>1576Red10</t>
  </si>
  <si>
    <t>1577Red10</t>
  </si>
  <si>
    <t>1578Red10</t>
  </si>
  <si>
    <t>1579Red10</t>
  </si>
  <si>
    <t>1580Red10</t>
  </si>
  <si>
    <t>1581Red10</t>
  </si>
  <si>
    <t>1582Red10</t>
  </si>
  <si>
    <t>1583Red10</t>
  </si>
  <si>
    <t>1584Red10</t>
  </si>
  <si>
    <t>1585Red10</t>
  </si>
  <si>
    <t>1586Red10</t>
  </si>
  <si>
    <t>1587Red10</t>
  </si>
  <si>
    <t>1588Red10</t>
  </si>
  <si>
    <t>1589Red10</t>
  </si>
  <si>
    <t>1590Red10</t>
  </si>
  <si>
    <t>1591Nav80</t>
  </si>
  <si>
    <t>1592Nav80</t>
  </si>
  <si>
    <t>1593Nav80</t>
  </si>
  <si>
    <t>1594Nav80</t>
  </si>
  <si>
    <t>1595Nav80</t>
  </si>
  <si>
    <t>1596Nav80</t>
  </si>
  <si>
    <t>1597Nav80</t>
  </si>
  <si>
    <t>1598Nav80</t>
  </si>
  <si>
    <t>1599Nav80</t>
  </si>
  <si>
    <t>1600Nav80</t>
  </si>
  <si>
    <t>1601Nav80</t>
  </si>
  <si>
    <t>1602Nav80</t>
  </si>
  <si>
    <t>1603Nav80</t>
  </si>
  <si>
    <t>1604Nav80</t>
  </si>
  <si>
    <t>1605Nav80</t>
  </si>
  <si>
    <t>1606Nav80</t>
  </si>
  <si>
    <t>1607Nav80</t>
  </si>
  <si>
    <t>1608Nav80</t>
  </si>
  <si>
    <t>1609Nav80</t>
  </si>
  <si>
    <t>1610Nav80</t>
  </si>
  <si>
    <t>1611Nav80</t>
  </si>
  <si>
    <t>1612Nav80</t>
  </si>
  <si>
    <t>1613Nav80</t>
  </si>
  <si>
    <t>1614Nav80</t>
  </si>
  <si>
    <t>1615Nav80</t>
  </si>
  <si>
    <t>1616Nav80</t>
  </si>
  <si>
    <t>1617Nav80</t>
  </si>
  <si>
    <t>1618Nav80</t>
  </si>
  <si>
    <t>1619Nav80</t>
  </si>
  <si>
    <t>1620Nav80</t>
  </si>
  <si>
    <t>1621Nav80</t>
  </si>
  <si>
    <t>1622Nav80</t>
  </si>
  <si>
    <t>1623Nav80</t>
  </si>
  <si>
    <t>1624Nav80</t>
  </si>
  <si>
    <t>1625Nav80</t>
  </si>
  <si>
    <t>1626Nav80</t>
  </si>
  <si>
    <t>1627Nav80</t>
  </si>
  <si>
    <t>1628Nav80</t>
  </si>
  <si>
    <t>LL_Hub</t>
  </si>
  <si>
    <t>Apparel_Demographics</t>
  </si>
  <si>
    <t>Style_Category</t>
  </si>
  <si>
    <t>Product_Origin</t>
  </si>
  <si>
    <t>Import_Frm_Region</t>
  </si>
  <si>
    <t>Inventory_Cost</t>
  </si>
  <si>
    <t>Sale_Price</t>
  </si>
  <si>
    <t>Los Angeles</t>
  </si>
  <si>
    <t>New York</t>
  </si>
  <si>
    <t>Miami</t>
  </si>
  <si>
    <t>Denver</t>
  </si>
  <si>
    <t>profit</t>
  </si>
  <si>
    <t>Sales</t>
  </si>
  <si>
    <t>Cost</t>
  </si>
  <si>
    <t>Profit</t>
  </si>
  <si>
    <t>Grand Total</t>
  </si>
  <si>
    <t>Analysis: Miami and NY are the most profitable. LA and denver are the least, in fact Denver is losing money</t>
  </si>
  <si>
    <t>Row Labels</t>
  </si>
  <si>
    <t>Count of Order_ID</t>
  </si>
  <si>
    <t>Casual n Light</t>
  </si>
  <si>
    <t>Fancy Sheek</t>
  </si>
  <si>
    <t>Winter Warmth</t>
  </si>
  <si>
    <t>Sum of Inventory_Cost</t>
  </si>
  <si>
    <t>Sum of Sale_Price</t>
  </si>
  <si>
    <t>(All)</t>
  </si>
  <si>
    <t>Hub_Risk</t>
  </si>
  <si>
    <t>Style_Risk</t>
  </si>
  <si>
    <t>Risk_List</t>
  </si>
  <si>
    <t>Order Value</t>
  </si>
  <si>
    <t>Column Labels</t>
  </si>
  <si>
    <t>High Value</t>
  </si>
  <si>
    <t>Low Value</t>
  </si>
  <si>
    <t>Sum of Units</t>
  </si>
  <si>
    <t>Sum of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</si>
</sst>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0" borderId="10" xfId="0" applyBorder="1"/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17" fillId="33" borderId="0" xfId="0" applyFont="1" applyFill="1" applyAlignment="1">
      <alignment horizontal="center"/>
    </xf>
    <xf numFmtId="0" fontId="17" fillId="34" borderId="0" xfId="0" applyFont="1" applyFill="1" applyAlignment="1">
      <alignment horizontal="center"/>
    </xf>
    <xf numFmtId="0" fontId="0" fillId="34" borderId="10" xfId="0" applyFill="1" applyBorder="1"/>
    <xf numFmtId="0" fontId="13" fillId="34" borderId="10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border outline="0">
        <bottom/>
      </border>
    </dxf>
    <dxf>
      <border outline="0">
        <top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[Order log data.xlsm]Q3 Pivots!PivotTable1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'Q3 Pivots'!$B$1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'Q3 Pivots'!$A$2:$A$15</c:f>
              <c:multiLvlStrCache>
                <c:ptCount val="9"/>
                <c:lvl>
                  <c:pt idx="0">
                    <c:v>Casual n Light</c:v>
                  </c:pt>
                  <c:pt idx="1">
                    <c:v>Winter Warmth</c:v>
                  </c:pt>
                  <c:pt idx="2">
                    <c:v>Fancy Sheek</c:v>
                  </c:pt>
                  <c:pt idx="3">
                    <c:v>Casual n Light</c:v>
                  </c:pt>
                  <c:pt idx="4">
                    <c:v>Winter Warmth</c:v>
                  </c:pt>
                  <c:pt idx="5">
                    <c:v>Fancy Sheek</c:v>
                  </c:pt>
                  <c:pt idx="6">
                    <c:v>Casual n Light</c:v>
                  </c:pt>
                  <c:pt idx="7">
                    <c:v>Fancy Sheek</c:v>
                  </c:pt>
                  <c:pt idx="8">
                    <c:v>Casual n Light</c:v>
                  </c:pt>
                </c:lvl>
                <c:lvl>
                  <c:pt idx="0">
                    <c:v>New York</c:v>
                  </c:pt>
                  <c:pt idx="3">
                    <c:v>Denver</c:v>
                  </c:pt>
                  <c:pt idx="5">
                    <c:v>Miami</c:v>
                  </c:pt>
                  <c:pt idx="7">
                    <c:v>Los Angeles</c:v>
                  </c:pt>
                </c:lvl>
              </c:multiLvlStrCache>
            </c:multiLvlStrRef>
          </c:cat>
          <c:val>
            <c:numRef>
              <c:f>'Q3 Pivots'!$B$2:$B$15</c:f>
              <c:numCache>
                <c:formatCode>General</c:formatCode>
                <c:ptCount val="9"/>
                <c:pt idx="0">
                  <c:v>442</c:v>
                </c:pt>
                <c:pt idx="1">
                  <c:v>286</c:v>
                </c:pt>
                <c:pt idx="2">
                  <c:v>22</c:v>
                </c:pt>
                <c:pt idx="3">
                  <c:v>550</c:v>
                </c:pt>
                <c:pt idx="4">
                  <c:v>17</c:v>
                </c:pt>
                <c:pt idx="5">
                  <c:v>241</c:v>
                </c:pt>
                <c:pt idx="6">
                  <c:v>13</c:v>
                </c:pt>
                <c:pt idx="7">
                  <c:v>49</c:v>
                </c:pt>
                <c:pt idx="8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F-094D-BC01-E33CFE573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1398256"/>
        <c:axId val="1491399904"/>
      </c:barChart>
      <c:catAx>
        <c:axId val="149139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9904"/>
        <c:crosses val="autoZero"/>
        <c:auto val="1"/>
        <c:lblAlgn val="ctr"/>
        <c:lblOffset val="100"/>
        <c:noMultiLvlLbl val="0"/>
      </c:catAx>
      <c:valAx>
        <c:axId val="149139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[Order log data.xlsm]Q3 Pivots!PivotTable1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'Q3 Pivots'!$B$1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'Q3 Pivots'!$A$2:$A$15</c:f>
              <c:multiLvlStrCache>
                <c:ptCount val="9"/>
                <c:lvl>
                  <c:pt idx="0">
                    <c:v>Casual n Light</c:v>
                  </c:pt>
                  <c:pt idx="1">
                    <c:v>Winter Warmth</c:v>
                  </c:pt>
                  <c:pt idx="2">
                    <c:v>Fancy Sheek</c:v>
                  </c:pt>
                  <c:pt idx="3">
                    <c:v>Casual n Light</c:v>
                  </c:pt>
                  <c:pt idx="4">
                    <c:v>Winter Warmth</c:v>
                  </c:pt>
                  <c:pt idx="5">
                    <c:v>Fancy Sheek</c:v>
                  </c:pt>
                  <c:pt idx="6">
                    <c:v>Casual n Light</c:v>
                  </c:pt>
                  <c:pt idx="7">
                    <c:v>Fancy Sheek</c:v>
                  </c:pt>
                  <c:pt idx="8">
                    <c:v>Casual n Light</c:v>
                  </c:pt>
                </c:lvl>
                <c:lvl>
                  <c:pt idx="0">
                    <c:v>New York</c:v>
                  </c:pt>
                  <c:pt idx="3">
                    <c:v>Denver</c:v>
                  </c:pt>
                  <c:pt idx="5">
                    <c:v>Miami</c:v>
                  </c:pt>
                  <c:pt idx="7">
                    <c:v>Los Angeles</c:v>
                  </c:pt>
                </c:lvl>
              </c:multiLvlStrCache>
            </c:multiLvlStrRef>
          </c:cat>
          <c:val>
            <c:numRef>
              <c:f>'Q3 Pivots'!$B$2:$B$15</c:f>
              <c:numCache>
                <c:formatCode>General</c:formatCode>
                <c:ptCount val="9"/>
                <c:pt idx="0">
                  <c:v>442</c:v>
                </c:pt>
                <c:pt idx="1">
                  <c:v>286</c:v>
                </c:pt>
                <c:pt idx="2">
                  <c:v>22</c:v>
                </c:pt>
                <c:pt idx="3">
                  <c:v>550</c:v>
                </c:pt>
                <c:pt idx="4">
                  <c:v>17</c:v>
                </c:pt>
                <c:pt idx="5">
                  <c:v>241</c:v>
                </c:pt>
                <c:pt idx="6">
                  <c:v>13</c:v>
                </c:pt>
                <c:pt idx="7">
                  <c:v>49</c:v>
                </c:pt>
                <c:pt idx="8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BF-5442-B9B1-FA3D59B2D0A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92039824"/>
        <c:axId val="1503649904"/>
      </c:barChart>
      <c:catAx>
        <c:axId val="149203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649904"/>
        <c:crosses val="autoZero"/>
        <c:auto val="1"/>
        <c:lblAlgn val="ctr"/>
        <c:lblOffset val="100"/>
        <c:noMultiLvlLbl val="0"/>
      </c:catAx>
      <c:valAx>
        <c:axId val="150364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03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[Order log data.xlsm]new pivot!PivotTable2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'new pivot'!$B$4</c:f>
              <c:strCache>
                <c:ptCount val="1"/>
                <c:pt idx="0">
                  <c:v>Sum of Inventory_Cost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'new pivot'!$A$5:$A$18</c:f>
              <c:multiLvlStrCache>
                <c:ptCount val="9"/>
                <c:lvl>
                  <c:pt idx="0">
                    <c:v>Casual n Light</c:v>
                  </c:pt>
                  <c:pt idx="1">
                    <c:v>Fancy Sheek</c:v>
                  </c:pt>
                  <c:pt idx="2">
                    <c:v>Casual n Light</c:v>
                  </c:pt>
                  <c:pt idx="3">
                    <c:v>Winter Warmth</c:v>
                  </c:pt>
                  <c:pt idx="4">
                    <c:v>Casual n Light</c:v>
                  </c:pt>
                  <c:pt idx="5">
                    <c:v>Fancy Sheek</c:v>
                  </c:pt>
                  <c:pt idx="6">
                    <c:v>Casual n Light</c:v>
                  </c:pt>
                  <c:pt idx="7">
                    <c:v>Fancy Sheek</c:v>
                  </c:pt>
                  <c:pt idx="8">
                    <c:v>Winter Warmth</c:v>
                  </c:pt>
                </c:lvl>
                <c:lvl>
                  <c:pt idx="0">
                    <c:v>Los Angeles</c:v>
                  </c:pt>
                  <c:pt idx="2">
                    <c:v>Denver</c:v>
                  </c:pt>
                  <c:pt idx="4">
                    <c:v>Miami</c:v>
                  </c:pt>
                  <c:pt idx="6">
                    <c:v>New York</c:v>
                  </c:pt>
                </c:lvl>
              </c:multiLvlStrCache>
            </c:multiLvlStrRef>
          </c:cat>
          <c:val>
            <c:numRef>
              <c:f>'new pivot'!$B$5:$B$18</c:f>
              <c:numCache>
                <c:formatCode>General</c:formatCode>
                <c:ptCount val="9"/>
                <c:pt idx="0">
                  <c:v>185</c:v>
                </c:pt>
                <c:pt idx="1">
                  <c:v>7350</c:v>
                </c:pt>
                <c:pt idx="2">
                  <c:v>12005</c:v>
                </c:pt>
                <c:pt idx="3">
                  <c:v>7200</c:v>
                </c:pt>
                <c:pt idx="4">
                  <c:v>225</c:v>
                </c:pt>
                <c:pt idx="5">
                  <c:v>65025</c:v>
                </c:pt>
                <c:pt idx="6">
                  <c:v>12165</c:v>
                </c:pt>
                <c:pt idx="7">
                  <c:v>6750</c:v>
                </c:pt>
                <c:pt idx="8">
                  <c:v>108475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D6-754E-BE41-377B1D6FDBDB}"/>
            </c:ext>
          </c:extLst>
        </c:ser>
        <c:ser>
          <c:idx val="1"/>
          <c:order val="1"/>
          <c:tx>
            <c:strRef>
              <c:f>'new pivot'!$C$4</c:f>
              <c:strCache>
                <c:ptCount val="1"/>
                <c:pt idx="0">
                  <c:v>Sum of Sale_Price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'new pivot'!$A$5:$A$18</c:f>
              <c:multiLvlStrCache>
                <c:ptCount val="9"/>
                <c:lvl>
                  <c:pt idx="0">
                    <c:v>Casual n Light</c:v>
                  </c:pt>
                  <c:pt idx="1">
                    <c:v>Fancy Sheek</c:v>
                  </c:pt>
                  <c:pt idx="2">
                    <c:v>Casual n Light</c:v>
                  </c:pt>
                  <c:pt idx="3">
                    <c:v>Winter Warmth</c:v>
                  </c:pt>
                  <c:pt idx="4">
                    <c:v>Casual n Light</c:v>
                  </c:pt>
                  <c:pt idx="5">
                    <c:v>Fancy Sheek</c:v>
                  </c:pt>
                  <c:pt idx="6">
                    <c:v>Casual n Light</c:v>
                  </c:pt>
                  <c:pt idx="7">
                    <c:v>Fancy Sheek</c:v>
                  </c:pt>
                  <c:pt idx="8">
                    <c:v>Winter Warmth</c:v>
                  </c:pt>
                </c:lvl>
                <c:lvl>
                  <c:pt idx="0">
                    <c:v>Los Angeles</c:v>
                  </c:pt>
                  <c:pt idx="2">
                    <c:v>Denver</c:v>
                  </c:pt>
                  <c:pt idx="4">
                    <c:v>Miami</c:v>
                  </c:pt>
                  <c:pt idx="6">
                    <c:v>New York</c:v>
                  </c:pt>
                </c:lvl>
              </c:multiLvlStrCache>
            </c:multiLvlStrRef>
          </c:cat>
          <c:val>
            <c:numRef>
              <c:f>'new pivot'!$C$5:$C$18</c:f>
              <c:numCache>
                <c:formatCode>General</c:formatCode>
                <c:ptCount val="9"/>
                <c:pt idx="0">
                  <c:v>295</c:v>
                </c:pt>
                <c:pt idx="1">
                  <c:v>3675</c:v>
                </c:pt>
                <c:pt idx="2">
                  <c:v>15400</c:v>
                </c:pt>
                <c:pt idx="3">
                  <c:v>9150</c:v>
                </c:pt>
                <c:pt idx="4">
                  <c:v>355</c:v>
                </c:pt>
                <c:pt idx="5">
                  <c:v>104800</c:v>
                </c:pt>
                <c:pt idx="6">
                  <c:v>18740</c:v>
                </c:pt>
                <c:pt idx="7">
                  <c:v>7450</c:v>
                </c:pt>
                <c:pt idx="8">
                  <c:v>138750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D6-754E-BE41-377B1D6FD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-31"/>
        <c:axId val="1502334912"/>
        <c:axId val="1502303216"/>
      </c:barChart>
      <c:catAx>
        <c:axId val="150233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303216"/>
        <c:crosses val="autoZero"/>
        <c:auto val="1"/>
        <c:lblAlgn val="ctr"/>
        <c:lblOffset val="100"/>
        <c:noMultiLvlLbl val="0"/>
      </c:catAx>
      <c:valAx>
        <c:axId val="150230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33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[Order log data.xlsm]Question 5 Risk_Order_Threshold!PivotTable3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'Question 5 Risk_Order_Threshold'!$B$4:$B$5</c:f>
              <c:strCache>
                <c:ptCount val="1"/>
                <c:pt idx="0">
                  <c:v>High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'Question 5 Risk_Order_Threshold'!$A$6:$A$14</c:f>
              <c:multiLvlStrCache>
                <c:ptCount val="6"/>
                <c:lvl>
                  <c:pt idx="0">
                    <c:v>Casual n Light</c:v>
                  </c:pt>
                  <c:pt idx="1">
                    <c:v>Winter Warmth</c:v>
                  </c:pt>
                  <c:pt idx="2">
                    <c:v>Casual n Light</c:v>
                  </c:pt>
                  <c:pt idx="3">
                    <c:v>Fancy Sheek</c:v>
                  </c:pt>
                </c:lvl>
                <c:lvl>
                  <c:pt idx="0">
                    <c:v>Denver</c:v>
                  </c:pt>
                  <c:pt idx="2">
                    <c:v>Los Angeles</c:v>
                  </c:pt>
                  <c:pt idx="4">
                    <c:v>Miami</c:v>
                  </c:pt>
                  <c:pt idx="5">
                    <c:v>New York</c:v>
                  </c:pt>
                </c:lvl>
              </c:multiLvlStrCache>
            </c:multiLvlStrRef>
          </c:cat>
          <c:val>
            <c:numRef>
              <c:f>'Question 5 Risk_Order_Threshold'!$B$6:$B$14</c:f>
              <c:numCache>
                <c:formatCode>General</c:formatCode>
                <c:ptCount val="6"/>
                <c:pt idx="0">
                  <c:v>121</c:v>
                </c:pt>
                <c:pt idx="1">
                  <c:v>17</c:v>
                </c:pt>
                <c:pt idx="2">
                  <c:v>8</c:v>
                </c:pt>
                <c:pt idx="4">
                  <c:v>249</c:v>
                </c:pt>
                <c:pt idx="5">
                  <c:v>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DDB-884F-9E0A-3269DB525173}"/>
            </c:ext>
          </c:extLst>
        </c:ser>
        <c:ser>
          <c:idx val="1"/>
          <c:order val="1"/>
          <c:tx>
            <c:strRef>
              <c:f>'Question 5 Risk_Order_Threshold'!$C$4:$C$5</c:f>
              <c:strCache>
                <c:ptCount val="1"/>
                <c:pt idx="0">
                  <c:v>Low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'Question 5 Risk_Order_Threshold'!$A$6:$A$14</c:f>
              <c:multiLvlStrCache>
                <c:ptCount val="6"/>
                <c:lvl>
                  <c:pt idx="0">
                    <c:v>Casual n Light</c:v>
                  </c:pt>
                  <c:pt idx="1">
                    <c:v>Winter Warmth</c:v>
                  </c:pt>
                  <c:pt idx="2">
                    <c:v>Casual n Light</c:v>
                  </c:pt>
                  <c:pt idx="3">
                    <c:v>Fancy Sheek</c:v>
                  </c:pt>
                </c:lvl>
                <c:lvl>
                  <c:pt idx="0">
                    <c:v>Denver</c:v>
                  </c:pt>
                  <c:pt idx="2">
                    <c:v>Los Angeles</c:v>
                  </c:pt>
                  <c:pt idx="4">
                    <c:v>Miami</c:v>
                  </c:pt>
                  <c:pt idx="5">
                    <c:v>New York</c:v>
                  </c:pt>
                </c:lvl>
              </c:multiLvlStrCache>
            </c:multiLvlStrRef>
          </c:cat>
          <c:val>
            <c:numRef>
              <c:f>'Question 5 Risk_Order_Threshold'!$C$6:$C$14</c:f>
              <c:numCache>
                <c:formatCode>General</c:formatCode>
                <c:ptCount val="6"/>
                <c:pt idx="0">
                  <c:v>429</c:v>
                </c:pt>
                <c:pt idx="3">
                  <c:v>49</c:v>
                </c:pt>
                <c:pt idx="4">
                  <c:v>5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DDB-884F-9E0A-3269DB525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9082736"/>
        <c:axId val="1659084416"/>
      </c:barChart>
      <c:catAx>
        <c:axId val="165908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084416"/>
        <c:crosses val="autoZero"/>
        <c:auto val="1"/>
        <c:lblAlgn val="ctr"/>
        <c:lblOffset val="100"/>
        <c:noMultiLvlLbl val="0"/>
      </c:catAx>
      <c:valAx>
        <c:axId val="165908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08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[Order log data.xlsm]Profits by Item!PivotTable1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Profit Vs.</a:t>
            </a:r>
            <a:r>
              <a:rPr lang="en-US" baseline="0"/>
              <a:t> Item 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'Profits by Item'!$B$4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'Profits by Item'!$A$5:$A$15</c:f>
              <c:strCache>
                <c:ptCount val="10"/>
                <c:pt idx="0">
                  <c:v>Black Crepe Business Jacket</c:v>
                </c:pt>
                <c:pt idx="1">
                  <c:v>Professional Collar Shirt</c:v>
                </c:pt>
                <c:pt idx="2">
                  <c:v>Light Linen Shirt</c:v>
                </c:pt>
                <c:pt idx="3">
                  <c:v>Navy Floral Light Halter</c:v>
                </c:pt>
                <c:pt idx="4">
                  <c:v>Navy Blue Dapper Suit</c:v>
                </c:pt>
                <c:pt idx="5">
                  <c:v>Red Poplin Summer Dress</c:v>
                </c:pt>
                <c:pt idx="6">
                  <c:v>Carissa Cocktail Gown</c:v>
                </c:pt>
                <c:pt idx="7">
                  <c:v>Wool Blue Jacket</c:v>
                </c:pt>
                <c:pt idx="8">
                  <c:v>Susy Winter Coat</c:v>
                </c:pt>
                <c:pt idx="9">
                  <c:v>White Ellery Wedding Gown</c:v>
                </c:pt>
              </c:strCache>
            </c:strRef>
          </c:cat>
          <c:val>
            <c:numRef>
              <c:f>'Profits by Item'!$B$5:$B$15</c:f>
              <c:numCache>
                <c:formatCode>General</c:formatCode>
                <c:ptCount val="10"/>
                <c:pt idx="0">
                  <c:v>-4275</c:v>
                </c:pt>
                <c:pt idx="1">
                  <c:v>1095</c:v>
                </c:pt>
                <c:pt idx="2">
                  <c:v>1270</c:v>
                </c:pt>
                <c:pt idx="3">
                  <c:v>1985</c:v>
                </c:pt>
                <c:pt idx="4">
                  <c:v>2900</c:v>
                </c:pt>
                <c:pt idx="5">
                  <c:v>4635</c:v>
                </c:pt>
                <c:pt idx="6">
                  <c:v>9450</c:v>
                </c:pt>
                <c:pt idx="7">
                  <c:v>9625</c:v>
                </c:pt>
                <c:pt idx="8">
                  <c:v>22600</c:v>
                </c:pt>
                <c:pt idx="9">
                  <c:v>28800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28F1-7C4D-94FD-D403655EB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95435023"/>
        <c:axId val="1995436703"/>
      </c:barChart>
      <c:catAx>
        <c:axId val="19954350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Item of Clothing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436703"/>
        <c:crosses val="autoZero"/>
        <c:auto val="1"/>
        <c:lblAlgn val="ctr"/>
        <c:lblOffset val="100"/>
        <c:noMultiLvlLbl val="0"/>
      </c:catAx>
      <c:valAx>
        <c:axId val="19954367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435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[Order log data.xlsm]Units in Regions!PivotTable2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Units Sold VS Region and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'Units in Regions'!$B$1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'Units in Regions'!$A$2:$A$39</c:f>
              <c:multiLvlStrCache>
                <c:ptCount val="27"/>
                <c:lvl>
                  <c:pt idx="0">
                    <c:v>Los Angeles</c:v>
                  </c:pt>
                  <c:pt idx="1">
                    <c:v>Miami</c:v>
                  </c:pt>
                  <c:pt idx="2">
                    <c:v>New York</c:v>
                  </c:pt>
                  <c:pt idx="3">
                    <c:v>Miami</c:v>
                  </c:pt>
                  <c:pt idx="4">
                    <c:v>New York</c:v>
                  </c:pt>
                  <c:pt idx="5">
                    <c:v>Denver</c:v>
                  </c:pt>
                  <c:pt idx="6">
                    <c:v>Los Angeles</c:v>
                  </c:pt>
                  <c:pt idx="7">
                    <c:v>Miami</c:v>
                  </c:pt>
                  <c:pt idx="8">
                    <c:v>New York</c:v>
                  </c:pt>
                  <c:pt idx="9">
                    <c:v>Miami</c:v>
                  </c:pt>
                  <c:pt idx="10">
                    <c:v>New York</c:v>
                  </c:pt>
                  <c:pt idx="11">
                    <c:v>Denver</c:v>
                  </c:pt>
                  <c:pt idx="12">
                    <c:v>Miami</c:v>
                  </c:pt>
                  <c:pt idx="13">
                    <c:v>New York</c:v>
                  </c:pt>
                  <c:pt idx="14">
                    <c:v>Denver</c:v>
                  </c:pt>
                  <c:pt idx="15">
                    <c:v>Los Angeles</c:v>
                  </c:pt>
                  <c:pt idx="16">
                    <c:v>Miami</c:v>
                  </c:pt>
                  <c:pt idx="17">
                    <c:v>New York</c:v>
                  </c:pt>
                  <c:pt idx="18">
                    <c:v>Denver</c:v>
                  </c:pt>
                  <c:pt idx="19">
                    <c:v>Los Angeles</c:v>
                  </c:pt>
                  <c:pt idx="20">
                    <c:v>Miami</c:v>
                  </c:pt>
                  <c:pt idx="21">
                    <c:v>New York</c:v>
                  </c:pt>
                  <c:pt idx="22">
                    <c:v>Denver</c:v>
                  </c:pt>
                  <c:pt idx="23">
                    <c:v>New York</c:v>
                  </c:pt>
                  <c:pt idx="24">
                    <c:v>Miami</c:v>
                  </c:pt>
                  <c:pt idx="25">
                    <c:v>Denver</c:v>
                  </c:pt>
                  <c:pt idx="26">
                    <c:v>New York</c:v>
                  </c:pt>
                </c:lvl>
                <c:lvl>
                  <c:pt idx="0">
                    <c:v>Black Crepe Business Jacket</c:v>
                  </c:pt>
                  <c:pt idx="3">
                    <c:v>Carissa Cocktail Gown</c:v>
                  </c:pt>
                  <c:pt idx="5">
                    <c:v>Light Linen Shirt</c:v>
                  </c:pt>
                  <c:pt idx="9">
                    <c:v>Navy Blue Dapper Suit</c:v>
                  </c:pt>
                  <c:pt idx="11">
                    <c:v>Navy Floral Light Halter</c:v>
                  </c:pt>
                  <c:pt idx="14">
                    <c:v>Professional Collar Shirt</c:v>
                  </c:pt>
                  <c:pt idx="18">
                    <c:v>Red Poplin Summer Dress</c:v>
                  </c:pt>
                  <c:pt idx="22">
                    <c:v>Susy Winter Coat</c:v>
                  </c:pt>
                  <c:pt idx="24">
                    <c:v>White Ellery Wedding Gown</c:v>
                  </c:pt>
                  <c:pt idx="25">
                    <c:v>Wool Blue Jacket</c:v>
                  </c:pt>
                </c:lvl>
              </c:multiLvlStrCache>
            </c:multiLvlStrRef>
          </c:cat>
          <c:val>
            <c:numRef>
              <c:f>'Units in Regions'!$B$2:$B$39</c:f>
              <c:numCache>
                <c:formatCode>General</c:formatCode>
                <c:ptCount val="27"/>
                <c:pt idx="0">
                  <c:v>48</c:v>
                </c:pt>
                <c:pt idx="1">
                  <c:v>1</c:v>
                </c:pt>
                <c:pt idx="2">
                  <c:v>8</c:v>
                </c:pt>
                <c:pt idx="3">
                  <c:v>187</c:v>
                </c:pt>
                <c:pt idx="4">
                  <c:v>2</c:v>
                </c:pt>
                <c:pt idx="5">
                  <c:v>113</c:v>
                </c:pt>
                <c:pt idx="6">
                  <c:v>2</c:v>
                </c:pt>
                <c:pt idx="7">
                  <c:v>5</c:v>
                </c:pt>
                <c:pt idx="8">
                  <c:v>7</c:v>
                </c:pt>
                <c:pt idx="9">
                  <c:v>17</c:v>
                </c:pt>
                <c:pt idx="10">
                  <c:v>12</c:v>
                </c:pt>
                <c:pt idx="11">
                  <c:v>391</c:v>
                </c:pt>
                <c:pt idx="12">
                  <c:v>4</c:v>
                </c:pt>
                <c:pt idx="13">
                  <c:v>2</c:v>
                </c:pt>
                <c:pt idx="14">
                  <c:v>6</c:v>
                </c:pt>
                <c:pt idx="15">
                  <c:v>1</c:v>
                </c:pt>
                <c:pt idx="16">
                  <c:v>3</c:v>
                </c:pt>
                <c:pt idx="17">
                  <c:v>63</c:v>
                </c:pt>
                <c:pt idx="18">
                  <c:v>2</c:v>
                </c:pt>
                <c:pt idx="19">
                  <c:v>5</c:v>
                </c:pt>
                <c:pt idx="20">
                  <c:v>1</c:v>
                </c:pt>
                <c:pt idx="21">
                  <c:v>301</c:v>
                </c:pt>
                <c:pt idx="22">
                  <c:v>7</c:v>
                </c:pt>
                <c:pt idx="23">
                  <c:v>219</c:v>
                </c:pt>
                <c:pt idx="24">
                  <c:v>36</c:v>
                </c:pt>
                <c:pt idx="25">
                  <c:v>10</c:v>
                </c:pt>
                <c:pt idx="26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4-BF4E-B677-ED68857C3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84184047"/>
        <c:axId val="2043855839"/>
      </c:barChart>
      <c:catAx>
        <c:axId val="2084184047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55839"/>
        <c:crosses val="autoZero"/>
        <c:auto val="1"/>
        <c:lblAlgn val="ctr"/>
        <c:lblOffset val="100"/>
        <c:noMultiLvlLbl val="0"/>
      </c:catAx>
      <c:valAx>
        <c:axId val="204385583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Units</a:t>
                </a:r>
                <a:r>
                  <a:rPr lang="en-US" baseline="0"/>
                  <a:t> Sold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184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546100</xdr:colOff>
      <xdr:row>4</xdr:row>
      <xdr:rowOff>190500</xdr:rowOff>
    </xdr:from>
    <xdr:to>
      <xdr:col>9</xdr:col>
      <xdr:colOff>165100</xdr:colOff>
      <xdr:row>18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2FE3EA-CFF2-5A4A-AF3F-A45E794494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533400</xdr:colOff>
      <xdr:row>18</xdr:row>
      <xdr:rowOff>95250</xdr:rowOff>
    </xdr:from>
    <xdr:to>
      <xdr:col>9</xdr:col>
      <xdr:colOff>152400</xdr:colOff>
      <xdr:row>31</xdr:row>
      <xdr:rowOff>196850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F652B59-715C-BE4F-B4B6-56242C1383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666750</xdr:colOff>
      <xdr:row>4</xdr:row>
      <xdr:rowOff>25400</xdr:rowOff>
    </xdr:from>
    <xdr:to>
      <xdr:col>15</xdr:col>
      <xdr:colOff>635000</xdr:colOff>
      <xdr:row>23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9E0CC0-0B06-734E-91ED-48D4D49539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9</xdr:col>
      <xdr:colOff>444500</xdr:colOff>
      <xdr:row>14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E5E782-1705-F046-A08E-C9CB278ACA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185425</xdr:colOff>
      <xdr:row>2</xdr:row>
      <xdr:rowOff>118533</xdr:rowOff>
    </xdr:from>
    <xdr:to>
      <xdr:col>10</xdr:col>
      <xdr:colOff>795867</xdr:colOff>
      <xdr:row>26</xdr:row>
      <xdr:rowOff>18891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2CCFF1-235B-2F4D-A595-32EB10B70E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139700</xdr:colOff>
      <xdr:row>1</xdr:row>
      <xdr:rowOff>0</xdr:rowOff>
    </xdr:from>
    <xdr:to>
      <xdr:col>12</xdr:col>
      <xdr:colOff>228600</xdr:colOff>
      <xdr:row>23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56C6DA-3C0D-7F45-A98F-9769E2DAA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/LL_Hub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ta/product%20Table%20data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L_Hub"/>
    </sheetNames>
    <sheetDataSet>
      <sheetData sheetId="0">
        <row r="1">
          <cell r="A1" t="str">
            <v>Activity_Zip</v>
          </cell>
          <cell r="B1" t="str">
            <v>LL_Hub</v>
          </cell>
        </row>
        <row r="2">
          <cell r="A2">
            <v>10001</v>
          </cell>
          <cell r="B2" t="str">
            <v>New York</v>
          </cell>
        </row>
        <row r="3">
          <cell r="A3">
            <v>10013</v>
          </cell>
          <cell r="B3" t="str">
            <v>New York</v>
          </cell>
        </row>
        <row r="4">
          <cell r="A4">
            <v>10022</v>
          </cell>
          <cell r="B4" t="str">
            <v>New York</v>
          </cell>
        </row>
        <row r="5">
          <cell r="A5">
            <v>33101</v>
          </cell>
          <cell r="B5" t="str">
            <v>Miami</v>
          </cell>
        </row>
        <row r="6">
          <cell r="A6">
            <v>33125</v>
          </cell>
          <cell r="B6" t="str">
            <v>Miami</v>
          </cell>
        </row>
        <row r="7">
          <cell r="A7">
            <v>33159</v>
          </cell>
          <cell r="B7" t="str">
            <v>Miami</v>
          </cell>
        </row>
        <row r="8">
          <cell r="A8">
            <v>80014</v>
          </cell>
          <cell r="B8" t="str">
            <v>Denver</v>
          </cell>
        </row>
        <row r="9">
          <cell r="A9">
            <v>80123</v>
          </cell>
          <cell r="B9" t="str">
            <v>Denver</v>
          </cell>
        </row>
        <row r="10">
          <cell r="A10">
            <v>80208</v>
          </cell>
          <cell r="B10" t="str">
            <v>Denver</v>
          </cell>
        </row>
        <row r="11">
          <cell r="A11">
            <v>90001</v>
          </cell>
          <cell r="B11" t="str">
            <v>Los Angeles</v>
          </cell>
        </row>
        <row r="12">
          <cell r="A12">
            <v>90005</v>
          </cell>
          <cell r="B12" t="str">
            <v>Los Angeles</v>
          </cell>
        </row>
        <row r="13">
          <cell r="A13">
            <v>90021</v>
          </cell>
          <cell r="B13" t="str">
            <v>Los Angeles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ct Table data"/>
      <sheetName val="Sheet1"/>
    </sheetNames>
    <sheetDataSet>
      <sheetData sheetId="0">
        <row r="2">
          <cell r="A2" t="str">
            <v>Product</v>
          </cell>
          <cell r="B2" t="str">
            <v>Apparel_Demographics</v>
          </cell>
          <cell r="C2" t="str">
            <v>Style_Category</v>
          </cell>
          <cell r="D2" t="str">
            <v>Product_Origin</v>
          </cell>
          <cell r="E2" t="str">
            <v>Import_Frm_Region</v>
          </cell>
          <cell r="F2" t="str">
            <v>Inventory_Cost</v>
          </cell>
          <cell r="G2" t="str">
            <v>Sale_Price</v>
          </cell>
        </row>
        <row r="3">
          <cell r="A3" t="str">
            <v>Navy Floral Light Halter</v>
          </cell>
          <cell r="B3" t="str">
            <v>Female</v>
          </cell>
          <cell r="C3" t="str">
            <v>Casual n Light</v>
          </cell>
          <cell r="D3" t="str">
            <v>Guatemala</v>
          </cell>
          <cell r="E3" t="str">
            <v>Central America</v>
          </cell>
          <cell r="F3">
            <v>25</v>
          </cell>
          <cell r="G3">
            <v>30</v>
          </cell>
        </row>
        <row r="4">
          <cell r="A4" t="str">
            <v>Red Poplin Summer Dress</v>
          </cell>
          <cell r="B4" t="str">
            <v>Female</v>
          </cell>
          <cell r="C4" t="str">
            <v>Casual n Light</v>
          </cell>
          <cell r="D4" t="str">
            <v>Honduras</v>
          </cell>
          <cell r="E4" t="str">
            <v>Central America</v>
          </cell>
          <cell r="F4">
            <v>30</v>
          </cell>
          <cell r="G4">
            <v>45</v>
          </cell>
        </row>
        <row r="5">
          <cell r="A5" t="str">
            <v>Professional Collar Shirt</v>
          </cell>
          <cell r="B5" t="str">
            <v>Male</v>
          </cell>
          <cell r="C5" t="str">
            <v>Casual n Light</v>
          </cell>
          <cell r="D5" t="str">
            <v>Kenya</v>
          </cell>
          <cell r="E5" t="str">
            <v>Africa</v>
          </cell>
          <cell r="F5">
            <v>15</v>
          </cell>
          <cell r="G5">
            <v>30</v>
          </cell>
        </row>
        <row r="6">
          <cell r="A6" t="str">
            <v>Light Linen Shirt</v>
          </cell>
          <cell r="B6" t="str">
            <v>Male</v>
          </cell>
          <cell r="C6" t="str">
            <v>Casual n Light</v>
          </cell>
          <cell r="D6" t="str">
            <v>Ethiopia</v>
          </cell>
          <cell r="E6" t="str">
            <v>Africa</v>
          </cell>
          <cell r="F6">
            <v>10</v>
          </cell>
          <cell r="G6">
            <v>20</v>
          </cell>
        </row>
        <row r="7">
          <cell r="A7" t="str">
            <v>Carissa Cocktail Gown</v>
          </cell>
          <cell r="B7" t="str">
            <v>Female</v>
          </cell>
          <cell r="C7" t="str">
            <v>Fancy Sheek</v>
          </cell>
          <cell r="D7" t="str">
            <v>Iran</v>
          </cell>
          <cell r="E7" t="str">
            <v>Middle East</v>
          </cell>
          <cell r="F7">
            <v>75</v>
          </cell>
          <cell r="G7">
            <v>125</v>
          </cell>
        </row>
        <row r="8">
          <cell r="A8" t="str">
            <v>White Ellery Wedding Gown</v>
          </cell>
          <cell r="B8" t="str">
            <v>Female</v>
          </cell>
          <cell r="C8" t="str">
            <v>Fancy Sheek</v>
          </cell>
          <cell r="D8" t="str">
            <v>Azerbaijan</v>
          </cell>
          <cell r="E8" t="str">
            <v>Middle East</v>
          </cell>
          <cell r="F8">
            <v>1200</v>
          </cell>
          <cell r="G8">
            <v>2000</v>
          </cell>
        </row>
        <row r="9">
          <cell r="A9" t="str">
            <v>Navy Blue Dapper Suit</v>
          </cell>
          <cell r="B9" t="str">
            <v>Male</v>
          </cell>
          <cell r="C9" t="str">
            <v>Fancy Sheek</v>
          </cell>
          <cell r="D9" t="str">
            <v>Afghanistan</v>
          </cell>
          <cell r="E9" t="str">
            <v>Middle East</v>
          </cell>
          <cell r="F9">
            <v>450</v>
          </cell>
          <cell r="G9">
            <v>550</v>
          </cell>
        </row>
        <row r="10">
          <cell r="A10" t="str">
            <v>Black Crepe Business Jacket</v>
          </cell>
          <cell r="B10" t="str">
            <v>Female</v>
          </cell>
          <cell r="C10" t="str">
            <v>Fancy Sheek</v>
          </cell>
          <cell r="D10" t="str">
            <v>Afghanistan</v>
          </cell>
          <cell r="E10" t="str">
            <v>Middle East</v>
          </cell>
          <cell r="F10">
            <v>150</v>
          </cell>
          <cell r="G10">
            <v>75</v>
          </cell>
        </row>
        <row r="11">
          <cell r="A11" t="str">
            <v>Susy Winter Coat</v>
          </cell>
          <cell r="B11" t="str">
            <v>Female</v>
          </cell>
          <cell r="C11" t="str">
            <v>Winter Warmth</v>
          </cell>
          <cell r="D11" t="str">
            <v>Romania</v>
          </cell>
          <cell r="E11" t="str">
            <v>Eastern Europe</v>
          </cell>
          <cell r="F11">
            <v>350</v>
          </cell>
          <cell r="G11">
            <v>450</v>
          </cell>
        </row>
        <row r="12">
          <cell r="A12" t="str">
            <v>Wool Blue Jacket</v>
          </cell>
          <cell r="B12" t="str">
            <v>Male</v>
          </cell>
          <cell r="C12" t="str">
            <v>Winter Warmth</v>
          </cell>
          <cell r="D12" t="str">
            <v>Moldova</v>
          </cell>
          <cell r="E12" t="str">
            <v>Eastern Europe</v>
          </cell>
          <cell r="F12">
            <v>475</v>
          </cell>
          <cell r="G12">
            <v>600</v>
          </cell>
        </row>
      </sheetData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99.54230011574" createdVersion="6" refreshedVersion="6" minRefreshableVersion="3" recordCount="1628" xr:uid="{00000000-000A-0000-FFFF-FFFF08000000}">
  <cacheSource type="worksheet">
    <worksheetSource ref="B2:Q1630" sheet="Order log data"/>
  </cacheSource>
  <cacheFields count="16">
    <cacheField name="Activity" numFmtId="0">
      <sharedItems/>
    </cacheField>
    <cacheField name="Order_ID" numFmtId="0">
      <sharedItems count="1628">
        <s v="3Lig90"/>
        <s v="4Lig10"/>
        <s v="7Pro10"/>
        <s v="9Nav10"/>
        <s v="10Pro10"/>
        <s v="11Nav10"/>
        <s v="12Pro10"/>
        <s v="14Pro10"/>
        <s v="17Nav10"/>
        <s v="19Nav10"/>
        <s v="21Nav10"/>
        <s v="23Woo10"/>
        <s v="25Pro10"/>
        <s v="28Sus10"/>
        <s v="29Woo10"/>
        <s v="30Woo10"/>
        <s v="32Sus10"/>
        <s v="33Sus10"/>
        <s v="34Sus10"/>
        <s v="35Sus10"/>
        <s v="36Pro10"/>
        <s v="48Woo10"/>
        <s v="59Woo10"/>
        <s v="67Woo10"/>
        <s v="101Nav10"/>
        <s v="116Pro10"/>
        <s v="117Pro10"/>
        <s v="118Woo10"/>
        <s v="122Woo10"/>
        <s v="123Woo10"/>
        <s v="124Woo10"/>
        <s v="125Lig10"/>
        <s v="126Pro10"/>
        <s v="127Woo10"/>
        <s v="128Pro10"/>
        <s v="129Woo10"/>
        <s v="130Nav10"/>
        <s v="131Woo10"/>
        <s v="132Woo10"/>
        <s v="133Woo10"/>
        <s v="134Woo10"/>
        <s v="153Woo10"/>
        <s v="154Woo10"/>
        <s v="171Woo10"/>
        <s v="172Woo10"/>
        <s v="173Woo10"/>
        <s v="174Woo10"/>
        <s v="175Woo10"/>
        <s v="176Woo10"/>
        <s v="179Nav10"/>
        <s v="203Woo10"/>
        <s v="204Woo10"/>
        <s v="205Pro10"/>
        <s v="415Pro90"/>
        <s v="431Pro33"/>
        <s v="432Pro33"/>
        <s v="458Nav33"/>
        <s v="459Nav33"/>
        <s v="463Nav33"/>
        <s v="465Nav33"/>
        <s v="469Lig33"/>
        <s v="471Lig33"/>
        <s v="476Nav33"/>
        <s v="482Nav33"/>
        <s v="483Nav33"/>
        <s v="484Nav33"/>
        <s v="486Nav33"/>
        <s v="487Nav33"/>
        <s v="488Nav33"/>
        <s v="489Nav33"/>
        <s v="491Nav33"/>
        <s v="497Lig33"/>
        <s v="498Lig33"/>
        <s v="502Nav33"/>
        <s v="510Nav33"/>
        <s v="511Nav33"/>
        <s v="512Nav33"/>
        <s v="515Lig33"/>
        <s v="575Woo10"/>
        <s v="576Woo10"/>
        <s v="577Nav10"/>
        <s v="578Pro10"/>
        <s v="579Woo10"/>
        <s v="580Woo10"/>
        <s v="581Woo10"/>
        <s v="582Pro10"/>
        <s v="583Woo10"/>
        <s v="584Pro10"/>
        <s v="585Woo10"/>
        <s v="586Pro10"/>
        <s v="587Woo10"/>
        <s v="588Woo10"/>
        <s v="589Woo10"/>
        <s v="590Woo10"/>
        <s v="591Woo10"/>
        <s v="592Woo10"/>
        <s v="593Pro10"/>
        <s v="594Pro10"/>
        <s v="595Nav10"/>
        <s v="597Pro10"/>
        <s v="600Pro10"/>
        <s v="602Nav10"/>
        <s v="606Woo10"/>
        <s v="607Woo10"/>
        <s v="608Woo10"/>
        <s v="609Woo10"/>
        <s v="611Pro10"/>
        <s v="646Nav10"/>
        <s v="647Pro10"/>
        <s v="648Pro10"/>
        <s v="649Pro10"/>
        <s v="655Woo10"/>
        <s v="656Woo10"/>
        <s v="657Woo10"/>
        <s v="658Woo10"/>
        <s v="659Woo10"/>
        <s v="663Woo10"/>
        <s v="666Pro10"/>
        <s v="668Pro10"/>
        <s v="670Woo10"/>
        <s v="672Woo10"/>
        <s v="674Woo10"/>
        <s v="675Woo10"/>
        <s v="676Woo10"/>
        <s v="679Pro10"/>
        <s v="680Pro10"/>
        <s v="681Pro10"/>
        <s v="682Pro10"/>
        <s v="683Pro10"/>
        <s v="684Pro10"/>
        <s v="688Woo10"/>
        <s v="689Woo10"/>
        <s v="690Woo10"/>
        <s v="695Lig90"/>
        <s v="697Pro10"/>
        <s v="698Pro10"/>
        <s v="699Pro10"/>
        <s v="700Pro10"/>
        <s v="701Pro10"/>
        <s v="702Pro10"/>
        <s v="703Pro10"/>
        <s v="704Pro10"/>
        <s v="705Pro10"/>
        <s v="707Pro10"/>
        <s v="709Pro10"/>
        <s v="710Pro10"/>
        <s v="711Pro10"/>
        <s v="712Pro10"/>
        <s v="713Pro10"/>
        <s v="714Pro10"/>
        <s v="715Pro10"/>
        <s v="716Pro10"/>
        <s v="717Pro10"/>
        <s v="718Pro10"/>
        <s v="721Pro10"/>
        <s v="726Pro10"/>
        <s v="727Pro10"/>
        <s v="728Pro10"/>
        <s v="729Pro10"/>
        <s v="730Pro10"/>
        <s v="731Pro10"/>
        <s v="735Pro10"/>
        <s v="736Pro10"/>
        <s v="737Pro10"/>
        <s v="738Pro10"/>
        <s v="742Pro10"/>
        <s v="781Pro33"/>
        <s v="967Lig80"/>
        <s v="968Lig80"/>
        <s v="969Lig80"/>
        <s v="970Lig80"/>
        <s v="971Lig80"/>
        <s v="972Lig80"/>
        <s v="973Lig80"/>
        <s v="974Lig80"/>
        <s v="975Lig80"/>
        <s v="976Lig80"/>
        <s v="977Sus80"/>
        <s v="979Lig80"/>
        <s v="982Lig80"/>
        <s v="985Lig80"/>
        <s v="986Sus80"/>
        <s v="987Lig80"/>
        <s v="988Lig80"/>
        <s v="989Lig80"/>
        <s v="990Lig80"/>
        <s v="991Lig80"/>
        <s v="992Lig80"/>
        <s v="993Lig80"/>
        <s v="994Lig80"/>
        <s v="995Lig80"/>
        <s v="996Lig80"/>
        <s v="997Lig80"/>
        <s v="998Lig80"/>
        <s v="999Lig80"/>
        <s v="1000Lig80"/>
        <s v="1001Lig80"/>
        <s v="1002Sus80"/>
        <s v="1003Lig80"/>
        <s v="1004Lig80"/>
        <s v="1005Lig80"/>
        <s v="1006Lig80"/>
        <s v="1007Lig80"/>
        <s v="1008Lig80"/>
        <s v="1009Lig80"/>
        <s v="1010Lig80"/>
        <s v="1011Lig80"/>
        <s v="1012Lig80"/>
        <s v="1013Lig80"/>
        <s v="1014Lig80"/>
        <s v="1015Woo80"/>
        <s v="1016Lig80"/>
        <s v="1017Lig80"/>
        <s v="1018Lig80"/>
        <s v="1019Lig80"/>
        <s v="1020Lig80"/>
        <s v="1021Lig80"/>
        <s v="1022Lig80"/>
        <s v="1023Lig80"/>
        <s v="1024Lig80"/>
        <s v="1025Lig80"/>
        <s v="1026Lig80"/>
        <s v="1027Lig80"/>
        <s v="1028Lig80"/>
        <s v="1029Lig80"/>
        <s v="1030Lig80"/>
        <s v="1031Lig80"/>
        <s v="1032Woo80"/>
        <s v="1033Lig80"/>
        <s v="1034Lig80"/>
        <s v="1035Lig80"/>
        <s v="1036Lig80"/>
        <s v="1037Lig80"/>
        <s v="1038Lig80"/>
        <s v="1039Lig80"/>
        <s v="1040Lig80"/>
        <s v="1041Lig80"/>
        <s v="1042Lig80"/>
        <s v="1043Lig80"/>
        <s v="1044Woo80"/>
        <s v="1045Lig80"/>
        <s v="1046Lig80"/>
        <s v="1047Lig80"/>
        <s v="1048Lig80"/>
        <s v="1049Lig80"/>
        <s v="1050Lig80"/>
        <s v="1051Lig80"/>
        <s v="1052Pro80"/>
        <s v="1053Lig80"/>
        <s v="1054Lig80"/>
        <s v="1055Lig80"/>
        <s v="1056Woo80"/>
        <s v="1057Pro80"/>
        <s v="1058Lig80"/>
        <s v="1059Lig80"/>
        <s v="1060Lig80"/>
        <s v="1061Pro80"/>
        <s v="1062Lig80"/>
        <s v="1063Lig80"/>
        <s v="1064Lig80"/>
        <s v="1065Woo80"/>
        <s v="1066Lig80"/>
        <s v="1067Lig80"/>
        <s v="1068Lig80"/>
        <s v="1069Lig80"/>
        <s v="1070Woo80"/>
        <s v="1071Lig80"/>
        <s v="1072Lig80"/>
        <s v="1073Lig80"/>
        <s v="1074Pro80"/>
        <s v="1075Lig80"/>
        <s v="1076Pro80"/>
        <s v="1077Lig80"/>
        <s v="1078Pro80"/>
        <s v="1079Lig80"/>
        <s v="1080Lig80"/>
        <s v="1081Lig80"/>
        <s v="1082Lig80"/>
        <s v="1083Lig80"/>
        <s v="1084Lig80"/>
        <s v="1085Lig80"/>
        <s v="1086Lig80"/>
        <s v="1087Lig80"/>
        <s v="1088Lig80"/>
        <s v="1089Lig80"/>
        <s v="1090Woo80"/>
        <s v="1091Lig10"/>
        <s v="1092Lig80"/>
        <s v="1093Lig80"/>
        <s v="1094Woo80"/>
        <s v="1095Lig80"/>
        <s v="1096Lig80"/>
        <s v="1097Woo80"/>
        <s v="1098Lig80"/>
        <s v="1099Woo80"/>
        <s v="1100Lig80"/>
        <s v="1101Lig80"/>
        <s v="1102Lig80"/>
        <s v="1103Lig80"/>
        <s v="1104Lig80"/>
        <s v="1105Lig10"/>
        <s v="1106Lig10"/>
        <s v="1107Lig10"/>
        <s v="1108Lig10"/>
        <s v="1Red90"/>
        <s v="2Red90"/>
        <s v="5Red10"/>
        <s v="6Red10"/>
        <s v="8Red10"/>
        <s v="13Woo10"/>
        <s v="15Sus10"/>
        <s v="16Sus10"/>
        <s v="18Sus10"/>
        <s v="20Sus10"/>
        <s v="22Sus10"/>
        <s v="24Sus10"/>
        <s v="26Sus10"/>
        <s v="27Sus10"/>
        <s v="31Sus10"/>
        <s v="37Sus10"/>
        <s v="38Sus10"/>
        <s v="39Woo10"/>
        <s v="40Woo10"/>
        <s v="41Woo10"/>
        <s v="42Woo10"/>
        <s v="43Woo10"/>
        <s v="44Woo10"/>
        <s v="45Woo10"/>
        <s v="46Woo10"/>
        <s v="47Woo10"/>
        <s v="49Sus10"/>
        <s v="50Red10"/>
        <s v="51Red10"/>
        <s v="52Sus10"/>
        <s v="53Sus10"/>
        <s v="54Sus10"/>
        <s v="55Sus10"/>
        <s v="56Sus10"/>
        <s v="57Sus10"/>
        <s v="58Red10"/>
        <s v="60Red10"/>
        <s v="61Red10"/>
        <s v="62Red10"/>
        <s v="63Sus10"/>
        <s v="64Sus10"/>
        <s v="65Bla10"/>
        <s v="66Sus10"/>
        <s v="68Red10"/>
        <s v="69Bla10"/>
        <s v="70Red10"/>
        <s v="71Sus10"/>
        <s v="72Nav10"/>
        <s v="73Sus10"/>
        <s v="74Bla10"/>
        <s v="75Sus10"/>
        <s v="76Sus10"/>
        <s v="77Red10"/>
        <s v="78Bla10"/>
        <s v="79Sus10"/>
        <s v="80Sus10"/>
        <s v="81Red10"/>
        <s v="82Red10"/>
        <s v="83Red10"/>
        <s v="84Red10"/>
        <s v="85Red10"/>
        <s v="86Red10"/>
        <s v="87Red10"/>
        <s v="88Red10"/>
        <s v="89Red10"/>
        <s v="90Red10"/>
        <s v="91Red10"/>
        <s v="92Car10"/>
        <s v="93Red10"/>
        <s v="94Bla10"/>
        <s v="95Red10"/>
        <s v="96Red10"/>
        <s v="97Red10"/>
        <s v="98Red10"/>
        <s v="99Red10"/>
        <s v="100Red10"/>
        <s v="102Car10"/>
        <s v="103Red10"/>
        <s v="104Red10"/>
        <s v="105Red10"/>
        <s v="106Red10"/>
        <s v="107Red10"/>
        <s v="108Red10"/>
        <s v="109Red10"/>
        <s v="110Red10"/>
        <s v="111Bla10"/>
        <s v="112Red10"/>
        <s v="113Red10"/>
        <s v="114Red10"/>
        <s v="115Red10"/>
        <s v="119Red10"/>
        <s v="120Red10"/>
        <s v="121Red10"/>
        <s v="135Sus10"/>
        <s v="136Sus10"/>
        <s v="137Red10"/>
        <s v="138Red10"/>
        <s v="139Red10"/>
        <s v="140Red10"/>
        <s v="141Red10"/>
        <s v="142Red10"/>
        <s v="143Red10"/>
        <s v="144Red10"/>
        <s v="145Red10"/>
        <s v="146Red10"/>
        <s v="147Red10"/>
        <s v="148Sus10"/>
        <s v="149Sus10"/>
        <s v="150Red10"/>
        <s v="151Red10"/>
        <s v="152Red10"/>
        <s v="155Red10"/>
        <s v="156Red10"/>
        <s v="157Red10"/>
        <s v="158Red10"/>
        <s v="159Red10"/>
        <s v="160Red10"/>
        <s v="161Red10"/>
        <s v="162Red10"/>
        <s v="163Red10"/>
        <s v="164Red10"/>
        <s v="165Red10"/>
        <s v="166Red10"/>
        <s v="167Red10"/>
        <s v="168Red10"/>
        <s v="169Red10"/>
        <s v="170Red10"/>
        <s v="177Red10"/>
        <s v="178Red10"/>
        <s v="180Red10"/>
        <s v="181Bla10"/>
        <s v="182Red10"/>
        <s v="183Red10"/>
        <s v="184Red10"/>
        <s v="185Red10"/>
        <s v="186Red10"/>
        <s v="187Red10"/>
        <s v="188Red10"/>
        <s v="189Red10"/>
        <s v="190Red10"/>
        <s v="191Red10"/>
        <s v="192Red10"/>
        <s v="193Red10"/>
        <s v="194Red10"/>
        <s v="195Red10"/>
        <s v="196Red10"/>
        <s v="197Red10"/>
        <s v="198Red10"/>
        <s v="199Red10"/>
        <s v="200Red10"/>
        <s v="201Nav10"/>
        <s v="202Bla10"/>
        <s v="206Nav80"/>
        <s v="207Nav80"/>
        <s v="208Nav80"/>
        <s v="209Nav80"/>
        <s v="210Nav80"/>
        <s v="211Nav80"/>
        <s v="212Nav80"/>
        <s v="213Nav80"/>
        <s v="214Nav80"/>
        <s v="215Nav80"/>
        <s v="216Nav80"/>
        <s v="217Nav80"/>
        <s v="218Nav80"/>
        <s v="219Nav80"/>
        <s v="220Nav80"/>
        <s v="221Nav80"/>
        <s v="222Nav80"/>
        <s v="223Nav80"/>
        <s v="224Sus80"/>
        <s v="225Nav80"/>
        <s v="226Nav80"/>
        <s v="227Sus80"/>
        <s v="228Nav80"/>
        <s v="229Nav80"/>
        <s v="230Sus80"/>
        <s v="231Nav80"/>
        <s v="232Nav80"/>
        <s v="233Nav80"/>
        <s v="234Sus80"/>
        <s v="235Nav80"/>
        <s v="236Nav80"/>
        <s v="237Nav80"/>
        <s v="238Nav80"/>
        <s v="239Nav80"/>
        <s v="240Nav80"/>
        <s v="241Nav80"/>
        <s v="242Nav80"/>
        <s v="243Nav80"/>
        <s v="244Nav80"/>
        <s v="245Nav80"/>
        <s v="246Nav80"/>
        <s v="247Nav80"/>
        <s v="248Nav80"/>
        <s v="249Nav80"/>
        <s v="250Nav80"/>
        <s v="251Nav80"/>
        <s v="252Nav80"/>
        <s v="253Nav80"/>
        <s v="254Nav80"/>
        <s v="255Nav80"/>
        <s v="256Nav80"/>
        <s v="257Nav80"/>
        <s v="258Nav80"/>
        <s v="259Nav80"/>
        <s v="260Nav80"/>
        <s v="261Nav80"/>
        <s v="262Nav80"/>
        <s v="263Nav80"/>
        <s v="264Nav80"/>
        <s v="265Nav80"/>
        <s v="266Nav80"/>
        <s v="267Nav80"/>
        <s v="268Nav80"/>
        <s v="269Nav80"/>
        <s v="270Nav80"/>
        <s v="271Nav80"/>
        <s v="272Nav80"/>
        <s v="273Nav80"/>
        <s v="274Nav80"/>
        <s v="275Nav80"/>
        <s v="276Nav80"/>
        <s v="277Nav80"/>
        <s v="278Nav80"/>
        <s v="279Nav80"/>
        <s v="280Nav80"/>
        <s v="281Nav80"/>
        <s v="282Nav80"/>
        <s v="283Nav80"/>
        <s v="284Nav80"/>
        <s v="285Nav80"/>
        <s v="286Nav80"/>
        <s v="287Nav80"/>
        <s v="288Nav80"/>
        <s v="289Nav80"/>
        <s v="290Nav80"/>
        <s v="291Nav80"/>
        <s v="292Nav80"/>
        <s v="293Nav80"/>
        <s v="294Nav80"/>
        <s v="295Nav80"/>
        <s v="296Nav80"/>
        <s v="297Nav80"/>
        <s v="298Nav80"/>
        <s v="299Nav80"/>
        <s v="300Nav80"/>
        <s v="301Nav80"/>
        <s v="302Nav80"/>
        <s v="303Nav80"/>
        <s v="304Nav80"/>
        <s v="305Nav80"/>
        <s v="306Nav80"/>
        <s v="307Nav80"/>
        <s v="308Nav80"/>
        <s v="309Nav80"/>
        <s v="310Nav80"/>
        <s v="311Nav80"/>
        <s v="312Nav80"/>
        <s v="313Nav80"/>
        <s v="314Nav80"/>
        <s v="315Nav80"/>
        <s v="316Nav80"/>
        <s v="317Nav80"/>
        <s v="318Nav80"/>
        <s v="319Nav80"/>
        <s v="320Nav80"/>
        <s v="321Nav80"/>
        <s v="322Nav80"/>
        <s v="323Nav80"/>
        <s v="324Nav80"/>
        <s v="325Nav80"/>
        <s v="326Nav80"/>
        <s v="327Nav80"/>
        <s v="328Nav80"/>
        <s v="329Nav80"/>
        <s v="330Nav80"/>
        <s v="331Nav80"/>
        <s v="332Nav80"/>
        <s v="333Nav80"/>
        <s v="334Nav80"/>
        <s v="335Nav80"/>
        <s v="336Nav80"/>
        <s v="337Nav80"/>
        <s v="338Nav80"/>
        <s v="339Nav80"/>
        <s v="340Nav80"/>
        <s v="341Nav80"/>
        <s v="342Nav80"/>
        <s v="343Nav80"/>
        <s v="344Nav80"/>
        <s v="345Nav80"/>
        <s v="346Nav80"/>
        <s v="347Nav80"/>
        <s v="348Nav80"/>
        <s v="349Nav80"/>
        <s v="350Nav80"/>
        <s v="351Nav80"/>
        <s v="352Nav80"/>
        <s v="353Nav80"/>
        <s v="354Nav80"/>
        <s v="355Nav80"/>
        <s v="356Nav80"/>
        <s v="357Nav80"/>
        <s v="358Nav80"/>
        <s v="359Nav80"/>
        <s v="360Nav80"/>
        <s v="361Nav80"/>
        <s v="362Nav80"/>
        <s v="363Nav80"/>
        <s v="364Nav80"/>
        <s v="365Nav80"/>
        <s v="366Nav80"/>
        <s v="367Nav80"/>
        <s v="368Nav80"/>
        <s v="369Nav80"/>
        <s v="370Nav80"/>
        <s v="371Nav80"/>
        <s v="372Nav80"/>
        <s v="373Nav80"/>
        <s v="374Nav80"/>
        <s v="375Nav80"/>
        <s v="376Nav80"/>
        <s v="377Nav80"/>
        <s v="378Nav80"/>
        <s v="379Nav80"/>
        <s v="380Nav80"/>
        <s v="381Nav80"/>
        <s v="382Nav80"/>
        <s v="383Nav80"/>
        <s v="384Nav80"/>
        <s v="385Nav80"/>
        <s v="386Nav80"/>
        <s v="387Nav80"/>
        <s v="388Nav80"/>
        <s v="389Nav80"/>
        <s v="390Nav80"/>
        <s v="391Whi33"/>
        <s v="392Bla90"/>
        <s v="393Bla90"/>
        <s v="394Bla90"/>
        <s v="395Bla90"/>
        <s v="396Bla90"/>
        <s v="397Bla90"/>
        <s v="398Bla90"/>
        <s v="399Bla90"/>
        <s v="400Bla90"/>
        <s v="401Bla90"/>
        <s v="402Bla90"/>
        <s v="403Bla90"/>
        <s v="404Bla90"/>
        <s v="405Bla90"/>
        <s v="406Bla90"/>
        <s v="407Bla90"/>
        <s v="408Bla90"/>
        <s v="409Bla90"/>
        <s v="410Bla90"/>
        <s v="411Bla90"/>
        <s v="412Bla90"/>
        <s v="413Bla90"/>
        <s v="414Bla90"/>
        <s v="416Bla90"/>
        <s v="417Bla90"/>
        <s v="418Car33"/>
        <s v="419Car33"/>
        <s v="420Car33"/>
        <s v="421Car33"/>
        <s v="422Car33"/>
        <s v="423Car33"/>
        <s v="424Car33"/>
        <s v="425Car33"/>
        <s v="426Car33"/>
        <s v="427Car33"/>
        <s v="428Car33"/>
        <s v="429Car33"/>
        <s v="430Car33"/>
        <s v="433Car33"/>
        <s v="434Car33"/>
        <s v="435Car33"/>
        <s v="436Car33"/>
        <s v="437Car33"/>
        <s v="438Car33"/>
        <s v="439Car33"/>
        <s v="440Car33"/>
        <s v="441Car33"/>
        <s v="442Car33"/>
        <s v="443Car33"/>
        <s v="444Nav33"/>
        <s v="445Car33"/>
        <s v="446Car33"/>
        <s v="447Car33"/>
        <s v="448Car33"/>
        <s v="449Car33"/>
        <s v="450Car33"/>
        <s v="451Whi33"/>
        <s v="452Car33"/>
        <s v="453Car33"/>
        <s v="454Car33"/>
        <s v="455Car33"/>
        <s v="456Car33"/>
        <s v="457Car33"/>
        <s v="460Car33"/>
        <s v="461Car33"/>
        <s v="462Car33"/>
        <s v="464Car33"/>
        <s v="466Car33"/>
        <s v="467Car33"/>
        <s v="468Car33"/>
        <s v="470Nav33"/>
        <s v="472Car33"/>
        <s v="473Whi33"/>
        <s v="474Whi33"/>
        <s v="475Whi33"/>
        <s v="477Whi33"/>
        <s v="478Whi33"/>
        <s v="479Whi33"/>
        <s v="480Whi33"/>
        <s v="481Car33"/>
        <s v="485Car33"/>
        <s v="490Red33"/>
        <s v="492Car33"/>
        <s v="493Car33"/>
        <s v="494Car33"/>
        <s v="495Car33"/>
        <s v="496Car33"/>
        <s v="499Car33"/>
        <s v="500Bla90"/>
        <s v="501Bla33"/>
        <s v="503Car33"/>
        <s v="504Car33"/>
        <s v="505Car33"/>
        <s v="506Car33"/>
        <s v="507Car33"/>
        <s v="508Car33"/>
        <s v="509Car33"/>
        <s v="513Car33"/>
        <s v="514Bla90"/>
        <s v="516Bla90"/>
        <s v="517Car33"/>
        <s v="518Car33"/>
        <s v="519Car33"/>
        <s v="520Car33"/>
        <s v="521Car33"/>
        <s v="522Car33"/>
        <s v="523Car33"/>
        <s v="524Car33"/>
        <s v="525Car33"/>
        <s v="526Car33"/>
        <s v="527Car33"/>
        <s v="528Car33"/>
        <s v="529Car33"/>
        <s v="530Whi33"/>
        <s v="531Car33"/>
        <s v="532Whi33"/>
        <s v="533Car33"/>
        <s v="534Car33"/>
        <s v="535Car33"/>
        <s v="536Car33"/>
        <s v="537Car33"/>
        <s v="538Bla90"/>
        <s v="539Car33"/>
        <s v="540Bla90"/>
        <s v="541Car33"/>
        <s v="542Bla90"/>
        <s v="543Car33"/>
        <s v="544Car33"/>
        <s v="545Car33"/>
        <s v="546Car33"/>
        <s v="547Car33"/>
        <s v="548Car33"/>
        <s v="549Bla90"/>
        <s v="550Bla90"/>
        <s v="551Bla90"/>
        <s v="552Bla90"/>
        <s v="553Bla90"/>
        <s v="554Car33"/>
        <s v="555Sus10"/>
        <s v="556Sus10"/>
        <s v="557Sus10"/>
        <s v="558Sus10"/>
        <s v="559Sus10"/>
        <s v="560Sus10"/>
        <s v="561Sus10"/>
        <s v="562Sus10"/>
        <s v="563Sus10"/>
        <s v="564Sus10"/>
        <s v="565Sus10"/>
        <s v="566Sus10"/>
        <s v="567Sus10"/>
        <s v="568Sus10"/>
        <s v="569Sus10"/>
        <s v="570Sus10"/>
        <s v="571Sus10"/>
        <s v="572Sus10"/>
        <s v="573Sus10"/>
        <s v="574Sus10"/>
        <s v="596Sus10"/>
        <s v="598Sus10"/>
        <s v="599Sus10"/>
        <s v="601Sus10"/>
        <s v="603Sus10"/>
        <s v="604Sus10"/>
        <s v="605Sus10"/>
        <s v="610Sus10"/>
        <s v="612Sus10"/>
        <s v="613Sus10"/>
        <s v="614Sus10"/>
        <s v="615Sus10"/>
        <s v="616Sus10"/>
        <s v="617Sus10"/>
        <s v="618Sus10"/>
        <s v="619Sus10"/>
        <s v="620Sus10"/>
        <s v="621Sus10"/>
        <s v="622Sus10"/>
        <s v="623Sus10"/>
        <s v="624Sus10"/>
        <s v="625Sus10"/>
        <s v="626Sus10"/>
        <s v="627Sus10"/>
        <s v="628Sus10"/>
        <s v="629Sus10"/>
        <s v="630Sus10"/>
        <s v="631Sus10"/>
        <s v="632Sus10"/>
        <s v="633Sus10"/>
        <s v="634Sus10"/>
        <s v="635Sus10"/>
        <s v="636Sus10"/>
        <s v="637Sus10"/>
        <s v="638Sus10"/>
        <s v="639Sus10"/>
        <s v="640Sus10"/>
        <s v="641Sus10"/>
        <s v="642Sus10"/>
        <s v="643Sus10"/>
        <s v="644Sus10"/>
        <s v="645Sus10"/>
        <s v="650Sus10"/>
        <s v="651Sus10"/>
        <s v="652Sus10"/>
        <s v="653Sus10"/>
        <s v="654Sus10"/>
        <s v="660Sus10"/>
        <s v="661Sus10"/>
        <s v="662Sus10"/>
        <s v="664Sus10"/>
        <s v="665Sus10"/>
        <s v="667Sus10"/>
        <s v="669Sus10"/>
        <s v="671Sus10"/>
        <s v="673Sus10"/>
        <s v="677Sus10"/>
        <s v="678Sus10"/>
        <s v="685Sus10"/>
        <s v="686Sus10"/>
        <s v="687Sus10"/>
        <s v="691Red90"/>
        <s v="692Red90"/>
        <s v="693Bla90"/>
        <s v="694Red90"/>
        <s v="696Bla90"/>
        <s v="706Red10"/>
        <s v="708Red10"/>
        <s v="719Red10"/>
        <s v="720Red10"/>
        <s v="722Red10"/>
        <s v="723Red10"/>
        <s v="724Red10"/>
        <s v="725Red10"/>
        <s v="732Red10"/>
        <s v="733Red10"/>
        <s v="734Red10"/>
        <s v="739Red10"/>
        <s v="740Red10"/>
        <s v="741Red10"/>
        <s v="743Bla90"/>
        <s v="744Car33"/>
        <s v="745Bla90"/>
        <s v="746Whi33"/>
        <s v="747Bla90"/>
        <s v="748Car33"/>
        <s v="749Car33"/>
        <s v="750Car33"/>
        <s v="751Car33"/>
        <s v="752Car33"/>
        <s v="753Car33"/>
        <s v="754Car33"/>
        <s v="755Car33"/>
        <s v="756Car33"/>
        <s v="757Car33"/>
        <s v="758Car33"/>
        <s v="759Car33"/>
        <s v="760Car33"/>
        <s v="761Car33"/>
        <s v="762Car33"/>
        <s v="763Car33"/>
        <s v="764Car33"/>
        <s v="765Car33"/>
        <s v="766Car33"/>
        <s v="767Car33"/>
        <s v="768Car33"/>
        <s v="769Car33"/>
        <s v="770Car33"/>
        <s v="771Car33"/>
        <s v="772Car33"/>
        <s v="773Car33"/>
        <s v="774Car33"/>
        <s v="775Car33"/>
        <s v="776Car33"/>
        <s v="777Car33"/>
        <s v="778Car33"/>
        <s v="779Car33"/>
        <s v="780Car33"/>
        <s v="782Car33"/>
        <s v="783Car33"/>
        <s v="784Car33"/>
        <s v="785Car33"/>
        <s v="786Nav33"/>
        <s v="787Car33"/>
        <s v="788Nav33"/>
        <s v="789Car33"/>
        <s v="790Car33"/>
        <s v="791Car33"/>
        <s v="792Car33"/>
        <s v="793Car33"/>
        <s v="794Car33"/>
        <s v="795Car33"/>
        <s v="796Car33"/>
        <s v="797Car33"/>
        <s v="798Car33"/>
        <s v="799Car33"/>
        <s v="800Car33"/>
        <s v="801Car33"/>
        <s v="802Car33"/>
        <s v="803Sus10"/>
        <s v="804Sus10"/>
        <s v="805Sus10"/>
        <s v="806Sus10"/>
        <s v="807Sus10"/>
        <s v="808Sus10"/>
        <s v="809Sus10"/>
        <s v="810Sus10"/>
        <s v="811Sus10"/>
        <s v="812Sus10"/>
        <s v="813Sus10"/>
        <s v="814Sus10"/>
        <s v="815Sus10"/>
        <s v="816Sus10"/>
        <s v="817Sus10"/>
        <s v="818Sus10"/>
        <s v="819Sus10"/>
        <s v="820Sus10"/>
        <s v="821Sus10"/>
        <s v="822Sus10"/>
        <s v="823Sus10"/>
        <s v="824Sus10"/>
        <s v="825Sus10"/>
        <s v="826Sus10"/>
        <s v="827Sus10"/>
        <s v="828Sus10"/>
        <s v="829Sus10"/>
        <s v="830Sus10"/>
        <s v="831Sus10"/>
        <s v="832Sus10"/>
        <s v="833Sus10"/>
        <s v="834Sus10"/>
        <s v="835Sus10"/>
        <s v="836Sus10"/>
        <s v="837Sus10"/>
        <s v="838Sus10"/>
        <s v="839Sus10"/>
        <s v="840Sus10"/>
        <s v="841Sus10"/>
        <s v="842Sus10"/>
        <s v="843Sus10"/>
        <s v="844Sus10"/>
        <s v="845Sus10"/>
        <s v="846Sus10"/>
        <s v="847Sus10"/>
        <s v="848Sus10"/>
        <s v="849Sus10"/>
        <s v="850Car33"/>
        <s v="851Whi33"/>
        <s v="852Whi33"/>
        <s v="853Whi33"/>
        <s v="854Whi33"/>
        <s v="855Whi33"/>
        <s v="856Whi33"/>
        <s v="857Whi33"/>
        <s v="858Whi33"/>
        <s v="859Whi33"/>
        <s v="860Whi33"/>
        <s v="861Whi33"/>
        <s v="862Whi33"/>
        <s v="863Car33"/>
        <s v="864Car33"/>
        <s v="865Car33"/>
        <s v="866Car33"/>
        <s v="867Car33"/>
        <s v="868Car33"/>
        <s v="869Car33"/>
        <s v="870Car33"/>
        <s v="871Car33"/>
        <s v="872Car33"/>
        <s v="873Car33"/>
        <s v="874Car33"/>
        <s v="875Car33"/>
        <s v="876Car33"/>
        <s v="877Car33"/>
        <s v="878Whi33"/>
        <s v="879Whi33"/>
        <s v="880Whi33"/>
        <s v="881Whi33"/>
        <s v="882Whi33"/>
        <s v="883Whi33"/>
        <s v="884Whi33"/>
        <s v="885Whi33"/>
        <s v="886Whi33"/>
        <s v="887Whi33"/>
        <s v="888Whi33"/>
        <s v="889Car33"/>
        <s v="890Car33"/>
        <s v="891Car33"/>
        <s v="892Car33"/>
        <s v="893Car33"/>
        <s v="894Car33"/>
        <s v="895Car33"/>
        <s v="896Car33"/>
        <s v="897Car33"/>
        <s v="898Car33"/>
        <s v="899Car33"/>
        <s v="900Car33"/>
        <s v="901Car33"/>
        <s v="902Whi33"/>
        <s v="903Car33"/>
        <s v="904Car33"/>
        <s v="905Car33"/>
        <s v="906Car33"/>
        <s v="907Car33"/>
        <s v="908Car33"/>
        <s v="909Car33"/>
        <s v="910Car33"/>
        <s v="911Car33"/>
        <s v="912Car33"/>
        <s v="913Car33"/>
        <s v="914Car33"/>
        <s v="915Car33"/>
        <s v="916Car33"/>
        <s v="917Car33"/>
        <s v="918Car33"/>
        <s v="919Car33"/>
        <s v="920Nav80"/>
        <s v="921Nav80"/>
        <s v="922Nav80"/>
        <s v="923Nav80"/>
        <s v="924Nav80"/>
        <s v="925Nav80"/>
        <s v="926Nav80"/>
        <s v="927Nav80"/>
        <s v="928Nav80"/>
        <s v="929Red80"/>
        <s v="930Nav80"/>
        <s v="931Nav80"/>
        <s v="932Nav80"/>
        <s v="933Nav80"/>
        <s v="934Nav80"/>
        <s v="935Nav80"/>
        <s v="936Nav80"/>
        <s v="937Nav80"/>
        <s v="938Nav80"/>
        <s v="939Nav80"/>
        <s v="940Nav80"/>
        <s v="941Nav80"/>
        <s v="942Red80"/>
        <s v="943Nav80"/>
        <s v="944Nav80"/>
        <s v="945Nav80"/>
        <s v="946Nav80"/>
        <s v="947Nav80"/>
        <s v="948Nav80"/>
        <s v="949Nav80"/>
        <s v="950Nav80"/>
        <s v="951Nav80"/>
        <s v="952Nav80"/>
        <s v="953Nav80"/>
        <s v="954Nav80"/>
        <s v="955Nav80"/>
        <s v="956Nav80"/>
        <s v="957Nav80"/>
        <s v="958Nav80"/>
        <s v="959Nav80"/>
        <s v="960Nav80"/>
        <s v="961Nav80"/>
        <s v="962Nav80"/>
        <s v="963Nav80"/>
        <s v="964Nav80"/>
        <s v="965Nav80"/>
        <s v="966Nav80"/>
        <s v="978Nav80"/>
        <s v="980Nav80"/>
        <s v="981Nav80"/>
        <s v="983Nav80"/>
        <s v="984Nav80"/>
        <s v="1109Nav80"/>
        <s v="1110Nav80"/>
        <s v="1111Nav80"/>
        <s v="1112Nav80"/>
        <s v="1113Nav80"/>
        <s v="1114Nav80"/>
        <s v="1115Nav80"/>
        <s v="1116Nav80"/>
        <s v="1117Nav80"/>
        <s v="1118Nav80"/>
        <s v="1119Nav80"/>
        <s v="1120Nav80"/>
        <s v="1121Nav80"/>
        <s v="1122Nav80"/>
        <s v="1123Nav80"/>
        <s v="1124Nav80"/>
        <s v="1125Nav80"/>
        <s v="1126Nav80"/>
        <s v="1127Nav80"/>
        <s v="1128Nav80"/>
        <s v="1129Nav80"/>
        <s v="1130Nav80"/>
        <s v="1131Nav80"/>
        <s v="1132Nav80"/>
        <s v="1133Nav80"/>
        <s v="1134Nav80"/>
        <s v="1135Nav80"/>
        <s v="1136Nav80"/>
        <s v="1137Nav80"/>
        <s v="1138Nav80"/>
        <s v="1139Nav80"/>
        <s v="1140Nav80"/>
        <s v="1141Nav80"/>
        <s v="1142Nav80"/>
        <s v="1143Red10"/>
        <s v="1144Red10"/>
        <s v="1145Red10"/>
        <s v="1146Red10"/>
        <s v="1147Red10"/>
        <s v="1148Red10"/>
        <s v="1149Red10"/>
        <s v="1150Red10"/>
        <s v="1151Red10"/>
        <s v="1152Red10"/>
        <s v="1153Red10"/>
        <s v="1154Red10"/>
        <s v="1155Red10"/>
        <s v="1156Red10"/>
        <s v="1157Red10"/>
        <s v="1158Red10"/>
        <s v="1159Red10"/>
        <s v="1160Red10"/>
        <s v="1161Red10"/>
        <s v="1162Red10"/>
        <s v="1163Red10"/>
        <s v="1164Red10"/>
        <s v="1165Red10"/>
        <s v="1166Red10"/>
        <s v="1167Red10"/>
        <s v="1168Red10"/>
        <s v="1169Red10"/>
        <s v="1170Red10"/>
        <s v="1171Red10"/>
        <s v="1172Red10"/>
        <s v="1173Red10"/>
        <s v="1174Red10"/>
        <s v="1175Red10"/>
        <s v="1176Red10"/>
        <s v="1177Red10"/>
        <s v="1178Red10"/>
        <s v="1179Sus10"/>
        <s v="1180Sus10"/>
        <s v="1181Sus10"/>
        <s v="1182Sus10"/>
        <s v="1183Sus10"/>
        <s v="1184Sus10"/>
        <s v="1185Sus10"/>
        <s v="1186Sus10"/>
        <s v="1187Sus10"/>
        <s v="1188Sus10"/>
        <s v="1189Sus10"/>
        <s v="1190Sus10"/>
        <s v="1191Sus10"/>
        <s v="1192Sus10"/>
        <s v="1193Sus10"/>
        <s v="1194Sus10"/>
        <s v="1195Sus10"/>
        <s v="1196Sus10"/>
        <s v="1197Sus10"/>
        <s v="1198Sus10"/>
        <s v="1199Sus10"/>
        <s v="1200Sus10"/>
        <s v="1201Sus10"/>
        <s v="1202Sus10"/>
        <s v="1203Sus10"/>
        <s v="1204Sus10"/>
        <s v="1205Sus10"/>
        <s v="1206Sus10"/>
        <s v="1207Sus10"/>
        <s v="1208Sus10"/>
        <s v="1209Sus10"/>
        <s v="1210Sus10"/>
        <s v="1211Sus10"/>
        <s v="1212Sus10"/>
        <s v="1213Sus10"/>
        <s v="1214Sus10"/>
        <s v="1215Sus10"/>
        <s v="1216Sus10"/>
        <s v="1217Sus10"/>
        <s v="1218Sus10"/>
        <s v="1219Sus10"/>
        <s v="1220Sus10"/>
        <s v="1221Sus10"/>
        <s v="1222Sus10"/>
        <s v="1223Sus10"/>
        <s v="1224Sus10"/>
        <s v="1225Sus10"/>
        <s v="1226Sus10"/>
        <s v="1227Sus10"/>
        <s v="1228Sus10"/>
        <s v="1229Sus10"/>
        <s v="1230Sus10"/>
        <s v="1231Sus10"/>
        <s v="1232Sus10"/>
        <s v="1233Sus10"/>
        <s v="1234Red10"/>
        <s v="1235Red10"/>
        <s v="1236Red10"/>
        <s v="1237Red10"/>
        <s v="1238Red10"/>
        <s v="1239Red10"/>
        <s v="1240Red10"/>
        <s v="1241Red10"/>
        <s v="1242Red10"/>
        <s v="1243Red10"/>
        <s v="1244Red10"/>
        <s v="1245Red10"/>
        <s v="1246Red10"/>
        <s v="1247Red10"/>
        <s v="1248Red10"/>
        <s v="1249Red10"/>
        <s v="1250Red10"/>
        <s v="1251Red10"/>
        <s v="1252Red10"/>
        <s v="1253Red10"/>
        <s v="1254Red10"/>
        <s v="1255Red10"/>
        <s v="1256Red10"/>
        <s v="1257Red10"/>
        <s v="1258Red10"/>
        <s v="1259Red10"/>
        <s v="1260Red10"/>
        <s v="1261Red10"/>
        <s v="1262Red10"/>
        <s v="1263Red10"/>
        <s v="1264Red10"/>
        <s v="1265Red10"/>
        <s v="1266Red10"/>
        <s v="1267Red10"/>
        <s v="1268Red10"/>
        <s v="1269Red10"/>
        <s v="1270Red10"/>
        <s v="1271Red10"/>
        <s v="1272Red10"/>
        <s v="1273Red10"/>
        <s v="1274Red10"/>
        <s v="1275Red10"/>
        <s v="1276Red10"/>
        <s v="1277Red10"/>
        <s v="1278Red10"/>
        <s v="1279Red10"/>
        <s v="1280Red10"/>
        <s v="1281Red10"/>
        <s v="1282Red10"/>
        <s v="1283Red10"/>
        <s v="1284Red10"/>
        <s v="1285Red10"/>
        <s v="1286Red10"/>
        <s v="1287Red10"/>
        <s v="1288Red10"/>
        <s v="1289Red10"/>
        <s v="1290Red10"/>
        <s v="1291Red10"/>
        <s v="1292Red10"/>
        <s v="1293Red10"/>
        <s v="1294Red10"/>
        <s v="1295Red10"/>
        <s v="1296Red10"/>
        <s v="1297Red10"/>
        <s v="1298Red10"/>
        <s v="1299Red10"/>
        <s v="1300Red10"/>
        <s v="1301Red10"/>
        <s v="1302Red10"/>
        <s v="1303Red10"/>
        <s v="1304Red10"/>
        <s v="1305Red10"/>
        <s v="1306Red10"/>
        <s v="1307Red10"/>
        <s v="1308Red10"/>
        <s v="1309Red10"/>
        <s v="1310Red10"/>
        <s v="1311Red10"/>
        <s v="1312Red10"/>
        <s v="1313Red10"/>
        <s v="1314Red10"/>
        <s v="1315Red10"/>
        <s v="1316Red10"/>
        <s v="1317Red10"/>
        <s v="1318Red10"/>
        <s v="1319Red10"/>
        <s v="1320Red10"/>
        <s v="1321Red10"/>
        <s v="1322Red10"/>
        <s v="1323Red10"/>
        <s v="1324Red10"/>
        <s v="1325Red10"/>
        <s v="1326Red10"/>
        <s v="1327Red10"/>
        <s v="1328Red10"/>
        <s v="1329Red10"/>
        <s v="1330Red10"/>
        <s v="1331Red10"/>
        <s v="1332Red10"/>
        <s v="1333Red10"/>
        <s v="1334Red10"/>
        <s v="1335Red10"/>
        <s v="1336Red10"/>
        <s v="1337Red10"/>
        <s v="1338Red10"/>
        <s v="1339Red10"/>
        <s v="1340Red10"/>
        <s v="1341Red10"/>
        <s v="1342Red10"/>
        <s v="1343Red10"/>
        <s v="1344Red10"/>
        <s v="1345Red10"/>
        <s v="1346Red10"/>
        <s v="1347Red10"/>
        <s v="1348Red10"/>
        <s v="1349Red10"/>
        <s v="1350Red10"/>
        <s v="1351Red10"/>
        <s v="1352Red10"/>
        <s v="1353Red10"/>
        <s v="1354Red10"/>
        <s v="1355Red10"/>
        <s v="1356Red10"/>
        <s v="1357Red10"/>
        <s v="1358Red10"/>
        <s v="1359Red10"/>
        <s v="1360Red10"/>
        <s v="1361Red10"/>
        <s v="1362Red10"/>
        <s v="1363Red10"/>
        <s v="1364Red10"/>
        <s v="1365Red10"/>
        <s v="1366Red10"/>
        <s v="1367Red10"/>
        <s v="1368Red10"/>
        <s v="1369Red10"/>
        <s v="1370Red10"/>
        <s v="1371Red10"/>
        <s v="1372Red10"/>
        <s v="1373Red10"/>
        <s v="1374Red10"/>
        <s v="1375Red10"/>
        <s v="1376Red10"/>
        <s v="1377Red10"/>
        <s v="1378Red10"/>
        <s v="1379Red10"/>
        <s v="1380Red10"/>
        <s v="1381Red10"/>
        <s v="1382Red10"/>
        <s v="1383Red10"/>
        <s v="1384Red10"/>
        <s v="1385Red10"/>
        <s v="1386Red10"/>
        <s v="1387Red10"/>
        <s v="1388Nav80"/>
        <s v="1389Nav80"/>
        <s v="1390Nav80"/>
        <s v="1391Nav80"/>
        <s v="1392Nav80"/>
        <s v="1393Nav80"/>
        <s v="1394Nav80"/>
        <s v="1395Nav80"/>
        <s v="1396Nav80"/>
        <s v="1397Nav80"/>
        <s v="1398Nav80"/>
        <s v="1399Nav80"/>
        <s v="1400Nav80"/>
        <s v="1401Nav80"/>
        <s v="1402Nav80"/>
        <s v="1403Nav80"/>
        <s v="1404Nav80"/>
        <s v="1405Nav80"/>
        <s v="1406Nav80"/>
        <s v="1407Nav80"/>
        <s v="1408Nav80"/>
        <s v="1409Nav80"/>
        <s v="1410Nav80"/>
        <s v="1411Nav80"/>
        <s v="1412Nav80"/>
        <s v="1413Nav80"/>
        <s v="1414Nav80"/>
        <s v="1415Nav80"/>
        <s v="1416Nav80"/>
        <s v="1417Nav80"/>
        <s v="1418Nav80"/>
        <s v="1419Nav80"/>
        <s v="1420Nav80"/>
        <s v="1421Nav80"/>
        <s v="1422Nav80"/>
        <s v="1423Nav80"/>
        <s v="1424Nav80"/>
        <s v="1425Nav80"/>
        <s v="1426Nav80"/>
        <s v="1427Nav80"/>
        <s v="1428Nav80"/>
        <s v="1429Nav80"/>
        <s v="1430Nav80"/>
        <s v="1431Nav80"/>
        <s v="1432Nav80"/>
        <s v="1433Nav80"/>
        <s v="1434Nav80"/>
        <s v="1435Nav80"/>
        <s v="1436Nav80"/>
        <s v="1437Nav80"/>
        <s v="1438Nav80"/>
        <s v="1439Nav80"/>
        <s v="1440Nav80"/>
        <s v="1441Nav80"/>
        <s v="1442Nav80"/>
        <s v="1443Nav80"/>
        <s v="1444Nav80"/>
        <s v="1445Nav80"/>
        <s v="1446Nav80"/>
        <s v="1447Nav80"/>
        <s v="1448Nav80"/>
        <s v="1449Nav80"/>
        <s v="1450Nav80"/>
        <s v="1451Nav80"/>
        <s v="1452Nav80"/>
        <s v="1453Nav80"/>
        <s v="1454Nav80"/>
        <s v="1455Nav80"/>
        <s v="1456Nav80"/>
        <s v="1457Nav80"/>
        <s v="1458Nav80"/>
        <s v="1459Nav80"/>
        <s v="1460Nav80"/>
        <s v="1461Nav80"/>
        <s v="1462Nav80"/>
        <s v="1463Nav80"/>
        <s v="1464Nav80"/>
        <s v="1465Nav80"/>
        <s v="1466Nav80"/>
        <s v="1467Nav80"/>
        <s v="1468Nav80"/>
        <s v="1469Nav80"/>
        <s v="1470Nav80"/>
        <s v="1471Nav80"/>
        <s v="1472Nav80"/>
        <s v="1473Nav80"/>
        <s v="1474Nav80"/>
        <s v="1475Nav80"/>
        <s v="1476Nav80"/>
        <s v="1477Nav80"/>
        <s v="1478Nav80"/>
        <s v="1479Nav80"/>
        <s v="1480Nav80"/>
        <s v="1481Nav80"/>
        <s v="1482Nav80"/>
        <s v="1483Nav80"/>
        <s v="1484Nav80"/>
        <s v="1485Nav80"/>
        <s v="1486Nav80"/>
        <s v="1487Nav80"/>
        <s v="1488Nav80"/>
        <s v="1489Nav80"/>
        <s v="1490Nav80"/>
        <s v="1491Nav80"/>
        <s v="1492Nav80"/>
        <s v="1493Nav80"/>
        <s v="1494Nav80"/>
        <s v="1495Nav80"/>
        <s v="1496Nav80"/>
        <s v="1497Nav80"/>
        <s v="1498Nav80"/>
        <s v="1499Nav80"/>
        <s v="1500Nav80"/>
        <s v="1501Nav80"/>
        <s v="1502Nav80"/>
        <s v="1503Nav80"/>
        <s v="1504Nav80"/>
        <s v="1505Nav80"/>
        <s v="1506Nav80"/>
        <s v="1507Nav80"/>
        <s v="1508Nav80"/>
        <s v="1509Nav80"/>
        <s v="1510Nav80"/>
        <s v="1511Nav80"/>
        <s v="1512Nav80"/>
        <s v="1513Nav80"/>
        <s v="1514Bla90"/>
        <s v="1515Bla90"/>
        <s v="1516Bla90"/>
        <s v="1517Bla90"/>
        <s v="1518Bla90"/>
        <s v="1519Bla90"/>
        <s v="1520Bla90"/>
        <s v="1521Bla90"/>
        <s v="1522Red10"/>
        <s v="1523Red10"/>
        <s v="1524Red10"/>
        <s v="1525Red10"/>
        <s v="1526Red10"/>
        <s v="1527Red10"/>
        <s v="1528Red10"/>
        <s v="1529Red10"/>
        <s v="1530Red10"/>
        <s v="1531Red10"/>
        <s v="1532Red10"/>
        <s v="1533Red10"/>
        <s v="1534Red10"/>
        <s v="1535Red10"/>
        <s v="1536Red10"/>
        <s v="1537Red10"/>
        <s v="1538Red10"/>
        <s v="1539Red10"/>
        <s v="1540Red10"/>
        <s v="1541Red10"/>
        <s v="1542Red10"/>
        <s v="1543Red10"/>
        <s v="1544Red10"/>
        <s v="1545Red10"/>
        <s v="1546Red10"/>
        <s v="1547Red10"/>
        <s v="1548Red10"/>
        <s v="1549Red10"/>
        <s v="1550Red10"/>
        <s v="1551Red10"/>
        <s v="1552Red10"/>
        <s v="1553Red10"/>
        <s v="1554Red10"/>
        <s v="1555Red10"/>
        <s v="1556Red10"/>
        <s v="1557Red10"/>
        <s v="1558Red10"/>
        <s v="1559Red10"/>
        <s v="1560Red10"/>
        <s v="1561Red10"/>
        <s v="1562Red10"/>
        <s v="1563Red10"/>
        <s v="1564Red10"/>
        <s v="1565Red10"/>
        <s v="1566Red10"/>
        <s v="1567Red10"/>
        <s v="1568Red10"/>
        <s v="1569Red10"/>
        <s v="1570Red10"/>
        <s v="1571Red10"/>
        <s v="1572Red10"/>
        <s v="1573Red10"/>
        <s v="1574Red10"/>
        <s v="1575Red10"/>
        <s v="1576Red10"/>
        <s v="1577Red10"/>
        <s v="1578Red10"/>
        <s v="1579Red10"/>
        <s v="1580Red10"/>
        <s v="1581Red10"/>
        <s v="1582Red10"/>
        <s v="1583Red10"/>
        <s v="1584Red10"/>
        <s v="1585Red10"/>
        <s v="1586Red10"/>
        <s v="1587Red10"/>
        <s v="1588Red10"/>
        <s v="1589Red10"/>
        <s v="1590Red10"/>
        <s v="1591Nav80"/>
        <s v="1592Nav80"/>
        <s v="1593Nav80"/>
        <s v="1594Nav80"/>
        <s v="1595Nav80"/>
        <s v="1596Nav80"/>
        <s v="1597Nav80"/>
        <s v="1598Nav80"/>
        <s v="1599Nav80"/>
        <s v="1600Nav80"/>
        <s v="1601Nav80"/>
        <s v="1602Nav80"/>
        <s v="1603Nav80"/>
        <s v="1604Nav80"/>
        <s v="1605Nav80"/>
        <s v="1606Nav80"/>
        <s v="1607Nav80"/>
        <s v="1608Nav80"/>
        <s v="1609Nav80"/>
        <s v="1610Nav80"/>
        <s v="1611Nav80"/>
        <s v="1612Nav80"/>
        <s v="1613Nav80"/>
        <s v="1614Nav80"/>
        <s v="1615Nav80"/>
        <s v="1616Nav80"/>
        <s v="1617Nav80"/>
        <s v="1618Nav80"/>
        <s v="1619Nav80"/>
        <s v="1620Nav80"/>
        <s v="1621Nav80"/>
        <s v="1622Nav80"/>
        <s v="1623Nav80"/>
        <s v="1624Nav80"/>
        <s v="1625Nav80"/>
        <s v="1626Nav80"/>
        <s v="1627Nav80"/>
        <s v="1628Nav80"/>
      </sharedItems>
    </cacheField>
    <cacheField name="Product" numFmtId="0">
      <sharedItems count="10">
        <s v="Light Linen Shirt"/>
        <s v="Professional Collar Shirt"/>
        <s v="Navy Blue Dapper Suit"/>
        <s v="Wool Blue Jacket"/>
        <s v="Susy Winter Coat"/>
        <s v="Red Poplin Summer Dress"/>
        <s v="Black Crepe Business Jacket"/>
        <s v="Navy Floral Light Halter"/>
        <s v="Carissa Cocktail Gown"/>
        <s v="White Ellery Wedding Gown"/>
      </sharedItems>
    </cacheField>
    <cacheField name="Activity_Zip" numFmtId="0">
      <sharedItems containsSemiMixedTypes="0" containsString="0" containsNumber="1" containsInteger="1" minValue="10001" maxValue="90021"/>
    </cacheField>
    <cacheField name="Customer_Name" numFmtId="0">
      <sharedItems/>
    </cacheField>
    <cacheField name="Buyer_Type" numFmtId="0">
      <sharedItems count="2">
        <s v="Online Individual"/>
        <s v="Retail Buyer"/>
      </sharedItems>
    </cacheField>
    <cacheField name="Units" numFmtId="0">
      <sharedItems containsSemiMixedTypes="0" containsString="0" containsNumber="1" containsInteger="1" minValue="1" maxValue="1"/>
    </cacheField>
    <cacheField name="Activity_Month" numFmtId="0">
      <sharedItems count="3">
        <s v="FEB"/>
        <s v="MAR"/>
        <s v="JAN"/>
      </sharedItems>
    </cacheField>
    <cacheField name="LL_Hub" numFmtId="0">
      <sharedItems count="4">
        <s v="Los Angeles"/>
        <s v="New York"/>
        <s v="Miami"/>
        <s v="Denver"/>
      </sharedItems>
    </cacheField>
    <cacheField name="Apparel_Demographics" numFmtId="0">
      <sharedItems/>
    </cacheField>
    <cacheField name="Style_Category" numFmtId="0">
      <sharedItems count="3">
        <s v="Casual n Light"/>
        <s v="Fancy Sheek"/>
        <s v="Winter Warmth"/>
      </sharedItems>
    </cacheField>
    <cacheField name="Product_Origin" numFmtId="0">
      <sharedItems/>
    </cacheField>
    <cacheField name="Import_Frm_Region" numFmtId="0">
      <sharedItems/>
    </cacheField>
    <cacheField name="Inventory_Cost" numFmtId="0">
      <sharedItems containsSemiMixedTypes="0" containsString="0" containsNumber="1" containsInteger="1" minValue="10" maxValue="1200"/>
    </cacheField>
    <cacheField name="Sale_Price" numFmtId="0">
      <sharedItems containsSemiMixedTypes="0" containsString="0" containsNumber="1" containsInteger="1" minValue="20" maxValue="2000"/>
    </cacheField>
    <cacheField name="profit" numFmtId="0">
      <sharedItems containsSemiMixedTypes="0" containsString="0" containsNumber="1" containsInteger="1" minValue="-75" maxValue="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99.588414583333" createdVersion="6" refreshedVersion="6" minRefreshableVersion="3" recordCount="1628" xr:uid="{00000000-000A-0000-FFFF-FFFF11000000}">
  <cacheSource type="worksheet">
    <worksheetSource ref="B2:U1630" sheet="Order log data"/>
  </cacheSource>
  <cacheFields count="20">
    <cacheField name="Activity" numFmtId="0">
      <sharedItems/>
    </cacheField>
    <cacheField name="Order_ID" numFmtId="0">
      <sharedItems count="1628">
        <s v="3Lig90"/>
        <s v="4Lig10"/>
        <s v="7Pro10"/>
        <s v="9Nav10"/>
        <s v="10Pro10"/>
        <s v="11Nav10"/>
        <s v="12Pro10"/>
        <s v="14Pro10"/>
        <s v="17Nav10"/>
        <s v="19Nav10"/>
        <s v="21Nav10"/>
        <s v="23Woo10"/>
        <s v="25Pro10"/>
        <s v="28Sus10"/>
        <s v="29Woo10"/>
        <s v="30Woo10"/>
        <s v="32Sus10"/>
        <s v="33Sus10"/>
        <s v="34Sus10"/>
        <s v="35Sus10"/>
        <s v="36Pro10"/>
        <s v="48Woo10"/>
        <s v="59Woo10"/>
        <s v="67Woo10"/>
        <s v="101Nav10"/>
        <s v="116Pro10"/>
        <s v="117Pro10"/>
        <s v="118Woo10"/>
        <s v="122Woo10"/>
        <s v="123Woo10"/>
        <s v="124Woo10"/>
        <s v="125Lig10"/>
        <s v="126Pro10"/>
        <s v="127Woo10"/>
        <s v="128Pro10"/>
        <s v="129Woo10"/>
        <s v="130Nav10"/>
        <s v="131Woo10"/>
        <s v="132Woo10"/>
        <s v="133Woo10"/>
        <s v="134Woo10"/>
        <s v="153Woo10"/>
        <s v="154Woo10"/>
        <s v="171Woo10"/>
        <s v="172Woo10"/>
        <s v="173Woo10"/>
        <s v="174Woo10"/>
        <s v="175Woo10"/>
        <s v="176Woo10"/>
        <s v="179Nav10"/>
        <s v="203Woo10"/>
        <s v="204Woo10"/>
        <s v="205Pro10"/>
        <s v="415Pro90"/>
        <s v="431Pro33"/>
        <s v="432Pro33"/>
        <s v="458Nav33"/>
        <s v="459Nav33"/>
        <s v="463Nav33"/>
        <s v="465Nav33"/>
        <s v="469Lig33"/>
        <s v="471Lig33"/>
        <s v="476Nav33"/>
        <s v="482Nav33"/>
        <s v="483Nav33"/>
        <s v="484Nav33"/>
        <s v="486Nav33"/>
        <s v="487Nav33"/>
        <s v="488Nav33"/>
        <s v="489Nav33"/>
        <s v="491Nav33"/>
        <s v="497Lig33"/>
        <s v="498Lig33"/>
        <s v="502Nav33"/>
        <s v="510Nav33"/>
        <s v="511Nav33"/>
        <s v="512Nav33"/>
        <s v="515Lig33"/>
        <s v="575Woo10"/>
        <s v="576Woo10"/>
        <s v="577Nav10"/>
        <s v="578Pro10"/>
        <s v="579Woo10"/>
        <s v="580Woo10"/>
        <s v="581Woo10"/>
        <s v="582Pro10"/>
        <s v="583Woo10"/>
        <s v="584Pro10"/>
        <s v="585Woo10"/>
        <s v="586Pro10"/>
        <s v="587Woo10"/>
        <s v="588Woo10"/>
        <s v="589Woo10"/>
        <s v="590Woo10"/>
        <s v="591Woo10"/>
        <s v="592Woo10"/>
        <s v="593Pro10"/>
        <s v="594Pro10"/>
        <s v="595Nav10"/>
        <s v="597Pro10"/>
        <s v="600Pro10"/>
        <s v="602Nav10"/>
        <s v="606Woo10"/>
        <s v="607Woo10"/>
        <s v="608Woo10"/>
        <s v="609Woo10"/>
        <s v="611Pro10"/>
        <s v="646Nav10"/>
        <s v="647Pro10"/>
        <s v="648Pro10"/>
        <s v="649Pro10"/>
        <s v="655Woo10"/>
        <s v="656Woo10"/>
        <s v="657Woo10"/>
        <s v="658Woo10"/>
        <s v="659Woo10"/>
        <s v="663Woo10"/>
        <s v="666Pro10"/>
        <s v="668Pro10"/>
        <s v="670Woo10"/>
        <s v="672Woo10"/>
        <s v="674Woo10"/>
        <s v="675Woo10"/>
        <s v="676Woo10"/>
        <s v="679Pro10"/>
        <s v="680Pro10"/>
        <s v="681Pro10"/>
        <s v="682Pro10"/>
        <s v="683Pro10"/>
        <s v="684Pro10"/>
        <s v="688Woo10"/>
        <s v="689Woo10"/>
        <s v="690Woo10"/>
        <s v="695Lig90"/>
        <s v="697Pro10"/>
        <s v="698Pro10"/>
        <s v="699Pro10"/>
        <s v="700Pro10"/>
        <s v="701Pro10"/>
        <s v="702Pro10"/>
        <s v="703Pro10"/>
        <s v="704Pro10"/>
        <s v="705Pro10"/>
        <s v="707Pro10"/>
        <s v="709Pro10"/>
        <s v="710Pro10"/>
        <s v="711Pro10"/>
        <s v="712Pro10"/>
        <s v="713Pro10"/>
        <s v="714Pro10"/>
        <s v="715Pro10"/>
        <s v="716Pro10"/>
        <s v="717Pro10"/>
        <s v="718Pro10"/>
        <s v="721Pro10"/>
        <s v="726Pro10"/>
        <s v="727Pro10"/>
        <s v="728Pro10"/>
        <s v="729Pro10"/>
        <s v="730Pro10"/>
        <s v="731Pro10"/>
        <s v="735Pro10"/>
        <s v="736Pro10"/>
        <s v="737Pro10"/>
        <s v="738Pro10"/>
        <s v="742Pro10"/>
        <s v="781Pro33"/>
        <s v="967Lig80"/>
        <s v="968Lig80"/>
        <s v="969Lig80"/>
        <s v="970Lig80"/>
        <s v="971Lig80"/>
        <s v="972Lig80"/>
        <s v="973Lig80"/>
        <s v="974Lig80"/>
        <s v="975Lig80"/>
        <s v="976Lig80"/>
        <s v="977Sus80"/>
        <s v="979Lig80"/>
        <s v="982Lig80"/>
        <s v="985Lig80"/>
        <s v="986Sus80"/>
        <s v="987Lig80"/>
        <s v="988Lig80"/>
        <s v="989Lig80"/>
        <s v="990Lig80"/>
        <s v="991Lig80"/>
        <s v="992Lig80"/>
        <s v="993Lig80"/>
        <s v="994Lig80"/>
        <s v="995Lig80"/>
        <s v="996Lig80"/>
        <s v="997Lig80"/>
        <s v="998Lig80"/>
        <s v="999Lig80"/>
        <s v="1000Lig80"/>
        <s v="1001Lig80"/>
        <s v="1002Sus80"/>
        <s v="1003Lig80"/>
        <s v="1004Lig80"/>
        <s v="1005Lig80"/>
        <s v="1006Lig80"/>
        <s v="1007Lig80"/>
        <s v="1008Lig80"/>
        <s v="1009Lig80"/>
        <s v="1010Lig80"/>
        <s v="1011Lig80"/>
        <s v="1012Lig80"/>
        <s v="1013Lig80"/>
        <s v="1014Lig80"/>
        <s v="1015Woo80"/>
        <s v="1016Lig80"/>
        <s v="1017Lig80"/>
        <s v="1018Lig80"/>
        <s v="1019Lig80"/>
        <s v="1020Lig80"/>
        <s v="1021Lig80"/>
        <s v="1022Lig80"/>
        <s v="1023Lig80"/>
        <s v="1024Lig80"/>
        <s v="1025Lig80"/>
        <s v="1026Lig80"/>
        <s v="1027Lig80"/>
        <s v="1028Lig80"/>
        <s v="1029Lig80"/>
        <s v="1030Lig80"/>
        <s v="1031Lig80"/>
        <s v="1032Woo80"/>
        <s v="1033Lig80"/>
        <s v="1034Lig80"/>
        <s v="1035Lig80"/>
        <s v="1036Lig80"/>
        <s v="1037Lig80"/>
        <s v="1038Lig80"/>
        <s v="1039Lig80"/>
        <s v="1040Lig80"/>
        <s v="1041Lig80"/>
        <s v="1042Lig80"/>
        <s v="1043Lig80"/>
        <s v="1044Woo80"/>
        <s v="1045Lig80"/>
        <s v="1046Lig80"/>
        <s v="1047Lig80"/>
        <s v="1048Lig80"/>
        <s v="1049Lig80"/>
        <s v="1050Lig80"/>
        <s v="1051Lig80"/>
        <s v="1052Pro80"/>
        <s v="1053Lig80"/>
        <s v="1054Lig80"/>
        <s v="1055Lig80"/>
        <s v="1056Woo80"/>
        <s v="1057Pro80"/>
        <s v="1058Lig80"/>
        <s v="1059Lig80"/>
        <s v="1060Lig80"/>
        <s v="1061Pro80"/>
        <s v="1062Lig80"/>
        <s v="1063Lig80"/>
        <s v="1064Lig80"/>
        <s v="1065Woo80"/>
        <s v="1066Lig80"/>
        <s v="1067Lig80"/>
        <s v="1068Lig80"/>
        <s v="1069Lig80"/>
        <s v="1070Woo80"/>
        <s v="1071Lig80"/>
        <s v="1072Lig80"/>
        <s v="1073Lig80"/>
        <s v="1074Pro80"/>
        <s v="1075Lig80"/>
        <s v="1076Pro80"/>
        <s v="1077Lig80"/>
        <s v="1078Pro80"/>
        <s v="1079Lig80"/>
        <s v="1080Lig80"/>
        <s v="1081Lig80"/>
        <s v="1082Lig80"/>
        <s v="1083Lig80"/>
        <s v="1084Lig80"/>
        <s v="1085Lig80"/>
        <s v="1086Lig80"/>
        <s v="1087Lig80"/>
        <s v="1088Lig80"/>
        <s v="1089Lig80"/>
        <s v="1090Woo80"/>
        <s v="1091Lig10"/>
        <s v="1092Lig80"/>
        <s v="1093Lig80"/>
        <s v="1094Woo80"/>
        <s v="1095Lig80"/>
        <s v="1096Lig80"/>
        <s v="1097Woo80"/>
        <s v="1098Lig80"/>
        <s v="1099Woo80"/>
        <s v="1100Lig80"/>
        <s v="1101Lig80"/>
        <s v="1102Lig80"/>
        <s v="1103Lig80"/>
        <s v="1104Lig80"/>
        <s v="1105Lig10"/>
        <s v="1106Lig10"/>
        <s v="1107Lig10"/>
        <s v="1108Lig10"/>
        <s v="1Red90"/>
        <s v="2Red90"/>
        <s v="5Red10"/>
        <s v="6Red10"/>
        <s v="8Red10"/>
        <s v="13Woo10"/>
        <s v="15Sus10"/>
        <s v="16Sus10"/>
        <s v="18Sus10"/>
        <s v="20Sus10"/>
        <s v="22Sus10"/>
        <s v="24Sus10"/>
        <s v="26Sus10"/>
        <s v="27Sus10"/>
        <s v="31Sus10"/>
        <s v="37Sus10"/>
        <s v="38Sus10"/>
        <s v="39Woo10"/>
        <s v="40Woo10"/>
        <s v="41Woo10"/>
        <s v="42Woo10"/>
        <s v="43Woo10"/>
        <s v="44Woo10"/>
        <s v="45Woo10"/>
        <s v="46Woo10"/>
        <s v="47Woo10"/>
        <s v="49Sus10"/>
        <s v="50Red10"/>
        <s v="51Red10"/>
        <s v="52Sus10"/>
        <s v="53Sus10"/>
        <s v="54Sus10"/>
        <s v="55Sus10"/>
        <s v="56Sus10"/>
        <s v="57Sus10"/>
        <s v="58Red10"/>
        <s v="60Red10"/>
        <s v="61Red10"/>
        <s v="62Red10"/>
        <s v="63Sus10"/>
        <s v="64Sus10"/>
        <s v="65Bla10"/>
        <s v="66Sus10"/>
        <s v="68Red10"/>
        <s v="69Bla10"/>
        <s v="70Red10"/>
        <s v="71Sus10"/>
        <s v="72Nav10"/>
        <s v="73Sus10"/>
        <s v="74Bla10"/>
        <s v="75Sus10"/>
        <s v="76Sus10"/>
        <s v="77Red10"/>
        <s v="78Bla10"/>
        <s v="79Sus10"/>
        <s v="80Sus10"/>
        <s v="81Red10"/>
        <s v="82Red10"/>
        <s v="83Red10"/>
        <s v="84Red10"/>
        <s v="85Red10"/>
        <s v="86Red10"/>
        <s v="87Red10"/>
        <s v="88Red10"/>
        <s v="89Red10"/>
        <s v="90Red10"/>
        <s v="91Red10"/>
        <s v="92Car10"/>
        <s v="93Red10"/>
        <s v="94Bla10"/>
        <s v="95Red10"/>
        <s v="96Red10"/>
        <s v="97Red10"/>
        <s v="98Red10"/>
        <s v="99Red10"/>
        <s v="100Red10"/>
        <s v="102Car10"/>
        <s v="103Red10"/>
        <s v="104Red10"/>
        <s v="105Red10"/>
        <s v="106Red10"/>
        <s v="107Red10"/>
        <s v="108Red10"/>
        <s v="109Red10"/>
        <s v="110Red10"/>
        <s v="111Bla10"/>
        <s v="112Red10"/>
        <s v="113Red10"/>
        <s v="114Red10"/>
        <s v="115Red10"/>
        <s v="119Red10"/>
        <s v="120Red10"/>
        <s v="121Red10"/>
        <s v="135Sus10"/>
        <s v="136Sus10"/>
        <s v="137Red10"/>
        <s v="138Red10"/>
        <s v="139Red10"/>
        <s v="140Red10"/>
        <s v="141Red10"/>
        <s v="142Red10"/>
        <s v="143Red10"/>
        <s v="144Red10"/>
        <s v="145Red10"/>
        <s v="146Red10"/>
        <s v="147Red10"/>
        <s v="148Sus10"/>
        <s v="149Sus10"/>
        <s v="150Red10"/>
        <s v="151Red10"/>
        <s v="152Red10"/>
        <s v="155Red10"/>
        <s v="156Red10"/>
        <s v="157Red10"/>
        <s v="158Red10"/>
        <s v="159Red10"/>
        <s v="160Red10"/>
        <s v="161Red10"/>
        <s v="162Red10"/>
        <s v="163Red10"/>
        <s v="164Red10"/>
        <s v="165Red10"/>
        <s v="166Red10"/>
        <s v="167Red10"/>
        <s v="168Red10"/>
        <s v="169Red10"/>
        <s v="170Red10"/>
        <s v="177Red10"/>
        <s v="178Red10"/>
        <s v="180Red10"/>
        <s v="181Bla10"/>
        <s v="182Red10"/>
        <s v="183Red10"/>
        <s v="184Red10"/>
        <s v="185Red10"/>
        <s v="186Red10"/>
        <s v="187Red10"/>
        <s v="188Red10"/>
        <s v="189Red10"/>
        <s v="190Red10"/>
        <s v="191Red10"/>
        <s v="192Red10"/>
        <s v="193Red10"/>
        <s v="194Red10"/>
        <s v="195Red10"/>
        <s v="196Red10"/>
        <s v="197Red10"/>
        <s v="198Red10"/>
        <s v="199Red10"/>
        <s v="200Red10"/>
        <s v="201Nav10"/>
        <s v="202Bla10"/>
        <s v="206Nav80"/>
        <s v="207Nav80"/>
        <s v="208Nav80"/>
        <s v="209Nav80"/>
        <s v="210Nav80"/>
        <s v="211Nav80"/>
        <s v="212Nav80"/>
        <s v="213Nav80"/>
        <s v="214Nav80"/>
        <s v="215Nav80"/>
        <s v="216Nav80"/>
        <s v="217Nav80"/>
        <s v="218Nav80"/>
        <s v="219Nav80"/>
        <s v="220Nav80"/>
        <s v="221Nav80"/>
        <s v="222Nav80"/>
        <s v="223Nav80"/>
        <s v="224Sus80"/>
        <s v="225Nav80"/>
        <s v="226Nav80"/>
        <s v="227Sus80"/>
        <s v="228Nav80"/>
        <s v="229Nav80"/>
        <s v="230Sus80"/>
        <s v="231Nav80"/>
        <s v="232Nav80"/>
        <s v="233Nav80"/>
        <s v="234Sus80"/>
        <s v="235Nav80"/>
        <s v="236Nav80"/>
        <s v="237Nav80"/>
        <s v="238Nav80"/>
        <s v="239Nav80"/>
        <s v="240Nav80"/>
        <s v="241Nav80"/>
        <s v="242Nav80"/>
        <s v="243Nav80"/>
        <s v="244Nav80"/>
        <s v="245Nav80"/>
        <s v="246Nav80"/>
        <s v="247Nav80"/>
        <s v="248Nav80"/>
        <s v="249Nav80"/>
        <s v="250Nav80"/>
        <s v="251Nav80"/>
        <s v="252Nav80"/>
        <s v="253Nav80"/>
        <s v="254Nav80"/>
        <s v="255Nav80"/>
        <s v="256Nav80"/>
        <s v="257Nav80"/>
        <s v="258Nav80"/>
        <s v="259Nav80"/>
        <s v="260Nav80"/>
        <s v="261Nav80"/>
        <s v="262Nav80"/>
        <s v="263Nav80"/>
        <s v="264Nav80"/>
        <s v="265Nav80"/>
        <s v="266Nav80"/>
        <s v="267Nav80"/>
        <s v="268Nav80"/>
        <s v="269Nav80"/>
        <s v="270Nav80"/>
        <s v="271Nav80"/>
        <s v="272Nav80"/>
        <s v="273Nav80"/>
        <s v="274Nav80"/>
        <s v="275Nav80"/>
        <s v="276Nav80"/>
        <s v="277Nav80"/>
        <s v="278Nav80"/>
        <s v="279Nav80"/>
        <s v="280Nav80"/>
        <s v="281Nav80"/>
        <s v="282Nav80"/>
        <s v="283Nav80"/>
        <s v="284Nav80"/>
        <s v="285Nav80"/>
        <s v="286Nav80"/>
        <s v="287Nav80"/>
        <s v="288Nav80"/>
        <s v="289Nav80"/>
        <s v="290Nav80"/>
        <s v="291Nav80"/>
        <s v="292Nav80"/>
        <s v="293Nav80"/>
        <s v="294Nav80"/>
        <s v="295Nav80"/>
        <s v="296Nav80"/>
        <s v="297Nav80"/>
        <s v="298Nav80"/>
        <s v="299Nav80"/>
        <s v="300Nav80"/>
        <s v="301Nav80"/>
        <s v="302Nav80"/>
        <s v="303Nav80"/>
        <s v="304Nav80"/>
        <s v="305Nav80"/>
        <s v="306Nav80"/>
        <s v="307Nav80"/>
        <s v="308Nav80"/>
        <s v="309Nav80"/>
        <s v="310Nav80"/>
        <s v="311Nav80"/>
        <s v="312Nav80"/>
        <s v="313Nav80"/>
        <s v="314Nav80"/>
        <s v="315Nav80"/>
        <s v="316Nav80"/>
        <s v="317Nav80"/>
        <s v="318Nav80"/>
        <s v="319Nav80"/>
        <s v="320Nav80"/>
        <s v="321Nav80"/>
        <s v="322Nav80"/>
        <s v="323Nav80"/>
        <s v="324Nav80"/>
        <s v="325Nav80"/>
        <s v="326Nav80"/>
        <s v="327Nav80"/>
        <s v="328Nav80"/>
        <s v="329Nav80"/>
        <s v="330Nav80"/>
        <s v="331Nav80"/>
        <s v="332Nav80"/>
        <s v="333Nav80"/>
        <s v="334Nav80"/>
        <s v="335Nav80"/>
        <s v="336Nav80"/>
        <s v="337Nav80"/>
        <s v="338Nav80"/>
        <s v="339Nav80"/>
        <s v="340Nav80"/>
        <s v="341Nav80"/>
        <s v="342Nav80"/>
        <s v="343Nav80"/>
        <s v="344Nav80"/>
        <s v="345Nav80"/>
        <s v="346Nav80"/>
        <s v="347Nav80"/>
        <s v="348Nav80"/>
        <s v="349Nav80"/>
        <s v="350Nav80"/>
        <s v="351Nav80"/>
        <s v="352Nav80"/>
        <s v="353Nav80"/>
        <s v="354Nav80"/>
        <s v="355Nav80"/>
        <s v="356Nav80"/>
        <s v="357Nav80"/>
        <s v="358Nav80"/>
        <s v="359Nav80"/>
        <s v="360Nav80"/>
        <s v="361Nav80"/>
        <s v="362Nav80"/>
        <s v="363Nav80"/>
        <s v="364Nav80"/>
        <s v="365Nav80"/>
        <s v="366Nav80"/>
        <s v="367Nav80"/>
        <s v="368Nav80"/>
        <s v="369Nav80"/>
        <s v="370Nav80"/>
        <s v="371Nav80"/>
        <s v="372Nav80"/>
        <s v="373Nav80"/>
        <s v="374Nav80"/>
        <s v="375Nav80"/>
        <s v="376Nav80"/>
        <s v="377Nav80"/>
        <s v="378Nav80"/>
        <s v="379Nav80"/>
        <s v="380Nav80"/>
        <s v="381Nav80"/>
        <s v="382Nav80"/>
        <s v="383Nav80"/>
        <s v="384Nav80"/>
        <s v="385Nav80"/>
        <s v="386Nav80"/>
        <s v="387Nav80"/>
        <s v="388Nav80"/>
        <s v="389Nav80"/>
        <s v="390Nav80"/>
        <s v="391Whi33"/>
        <s v="392Bla90"/>
        <s v="393Bla90"/>
        <s v="394Bla90"/>
        <s v="395Bla90"/>
        <s v="396Bla90"/>
        <s v="397Bla90"/>
        <s v="398Bla90"/>
        <s v="399Bla90"/>
        <s v="400Bla90"/>
        <s v="401Bla90"/>
        <s v="402Bla90"/>
        <s v="403Bla90"/>
        <s v="404Bla90"/>
        <s v="405Bla90"/>
        <s v="406Bla90"/>
        <s v="407Bla90"/>
        <s v="408Bla90"/>
        <s v="409Bla90"/>
        <s v="410Bla90"/>
        <s v="411Bla90"/>
        <s v="412Bla90"/>
        <s v="413Bla90"/>
        <s v="414Bla90"/>
        <s v="416Bla90"/>
        <s v="417Bla90"/>
        <s v="418Car33"/>
        <s v="419Car33"/>
        <s v="420Car33"/>
        <s v="421Car33"/>
        <s v="422Car33"/>
        <s v="423Car33"/>
        <s v="424Car33"/>
        <s v="425Car33"/>
        <s v="426Car33"/>
        <s v="427Car33"/>
        <s v="428Car33"/>
        <s v="429Car33"/>
        <s v="430Car33"/>
        <s v="433Car33"/>
        <s v="434Car33"/>
        <s v="435Car33"/>
        <s v="436Car33"/>
        <s v="437Car33"/>
        <s v="438Car33"/>
        <s v="439Car33"/>
        <s v="440Car33"/>
        <s v="441Car33"/>
        <s v="442Car33"/>
        <s v="443Car33"/>
        <s v="444Nav33"/>
        <s v="445Car33"/>
        <s v="446Car33"/>
        <s v="447Car33"/>
        <s v="448Car33"/>
        <s v="449Car33"/>
        <s v="450Car33"/>
        <s v="451Whi33"/>
        <s v="452Car33"/>
        <s v="453Car33"/>
        <s v="454Car33"/>
        <s v="455Car33"/>
        <s v="456Car33"/>
        <s v="457Car33"/>
        <s v="460Car33"/>
        <s v="461Car33"/>
        <s v="462Car33"/>
        <s v="464Car33"/>
        <s v="466Car33"/>
        <s v="467Car33"/>
        <s v="468Car33"/>
        <s v="470Nav33"/>
        <s v="472Car33"/>
        <s v="473Whi33"/>
        <s v="474Whi33"/>
        <s v="475Whi33"/>
        <s v="477Whi33"/>
        <s v="478Whi33"/>
        <s v="479Whi33"/>
        <s v="480Whi33"/>
        <s v="481Car33"/>
        <s v="485Car33"/>
        <s v="490Red33"/>
        <s v="492Car33"/>
        <s v="493Car33"/>
        <s v="494Car33"/>
        <s v="495Car33"/>
        <s v="496Car33"/>
        <s v="499Car33"/>
        <s v="500Bla90"/>
        <s v="501Bla33"/>
        <s v="503Car33"/>
        <s v="504Car33"/>
        <s v="505Car33"/>
        <s v="506Car33"/>
        <s v="507Car33"/>
        <s v="508Car33"/>
        <s v="509Car33"/>
        <s v="513Car33"/>
        <s v="514Bla90"/>
        <s v="516Bla90"/>
        <s v="517Car33"/>
        <s v="518Car33"/>
        <s v="519Car33"/>
        <s v="520Car33"/>
        <s v="521Car33"/>
        <s v="522Car33"/>
        <s v="523Car33"/>
        <s v="524Car33"/>
        <s v="525Car33"/>
        <s v="526Car33"/>
        <s v="527Car33"/>
        <s v="528Car33"/>
        <s v="529Car33"/>
        <s v="530Whi33"/>
        <s v="531Car33"/>
        <s v="532Whi33"/>
        <s v="533Car33"/>
        <s v="534Car33"/>
        <s v="535Car33"/>
        <s v="536Car33"/>
        <s v="537Car33"/>
        <s v="538Bla90"/>
        <s v="539Car33"/>
        <s v="540Bla90"/>
        <s v="541Car33"/>
        <s v="542Bla90"/>
        <s v="543Car33"/>
        <s v="544Car33"/>
        <s v="545Car33"/>
        <s v="546Car33"/>
        <s v="547Car33"/>
        <s v="548Car33"/>
        <s v="549Bla90"/>
        <s v="550Bla90"/>
        <s v="551Bla90"/>
        <s v="552Bla90"/>
        <s v="553Bla90"/>
        <s v="554Car33"/>
        <s v="555Sus10"/>
        <s v="556Sus10"/>
        <s v="557Sus10"/>
        <s v="558Sus10"/>
        <s v="559Sus10"/>
        <s v="560Sus10"/>
        <s v="561Sus10"/>
        <s v="562Sus10"/>
        <s v="563Sus10"/>
        <s v="564Sus10"/>
        <s v="565Sus10"/>
        <s v="566Sus10"/>
        <s v="567Sus10"/>
        <s v="568Sus10"/>
        <s v="569Sus10"/>
        <s v="570Sus10"/>
        <s v="571Sus10"/>
        <s v="572Sus10"/>
        <s v="573Sus10"/>
        <s v="574Sus10"/>
        <s v="596Sus10"/>
        <s v="598Sus10"/>
        <s v="599Sus10"/>
        <s v="601Sus10"/>
        <s v="603Sus10"/>
        <s v="604Sus10"/>
        <s v="605Sus10"/>
        <s v="610Sus10"/>
        <s v="612Sus10"/>
        <s v="613Sus10"/>
        <s v="614Sus10"/>
        <s v="615Sus10"/>
        <s v="616Sus10"/>
        <s v="617Sus10"/>
        <s v="618Sus10"/>
        <s v="619Sus10"/>
        <s v="620Sus10"/>
        <s v="621Sus10"/>
        <s v="622Sus10"/>
        <s v="623Sus10"/>
        <s v="624Sus10"/>
        <s v="625Sus10"/>
        <s v="626Sus10"/>
        <s v="627Sus10"/>
        <s v="628Sus10"/>
        <s v="629Sus10"/>
        <s v="630Sus10"/>
        <s v="631Sus10"/>
        <s v="632Sus10"/>
        <s v="633Sus10"/>
        <s v="634Sus10"/>
        <s v="635Sus10"/>
        <s v="636Sus10"/>
        <s v="637Sus10"/>
        <s v="638Sus10"/>
        <s v="639Sus10"/>
        <s v="640Sus10"/>
        <s v="641Sus10"/>
        <s v="642Sus10"/>
        <s v="643Sus10"/>
        <s v="644Sus10"/>
        <s v="645Sus10"/>
        <s v="650Sus10"/>
        <s v="651Sus10"/>
        <s v="652Sus10"/>
        <s v="653Sus10"/>
        <s v="654Sus10"/>
        <s v="660Sus10"/>
        <s v="661Sus10"/>
        <s v="662Sus10"/>
        <s v="664Sus10"/>
        <s v="665Sus10"/>
        <s v="667Sus10"/>
        <s v="669Sus10"/>
        <s v="671Sus10"/>
        <s v="673Sus10"/>
        <s v="677Sus10"/>
        <s v="678Sus10"/>
        <s v="685Sus10"/>
        <s v="686Sus10"/>
        <s v="687Sus10"/>
        <s v="691Red90"/>
        <s v="692Red90"/>
        <s v="693Bla90"/>
        <s v="694Red90"/>
        <s v="696Bla90"/>
        <s v="706Red10"/>
        <s v="708Red10"/>
        <s v="719Red10"/>
        <s v="720Red10"/>
        <s v="722Red10"/>
        <s v="723Red10"/>
        <s v="724Red10"/>
        <s v="725Red10"/>
        <s v="732Red10"/>
        <s v="733Red10"/>
        <s v="734Red10"/>
        <s v="739Red10"/>
        <s v="740Red10"/>
        <s v="741Red10"/>
        <s v="743Bla90"/>
        <s v="744Car33"/>
        <s v="745Bla90"/>
        <s v="746Whi33"/>
        <s v="747Bla90"/>
        <s v="748Car33"/>
        <s v="749Car33"/>
        <s v="750Car33"/>
        <s v="751Car33"/>
        <s v="752Car33"/>
        <s v="753Car33"/>
        <s v="754Car33"/>
        <s v="755Car33"/>
        <s v="756Car33"/>
        <s v="757Car33"/>
        <s v="758Car33"/>
        <s v="759Car33"/>
        <s v="760Car33"/>
        <s v="761Car33"/>
        <s v="762Car33"/>
        <s v="763Car33"/>
        <s v="764Car33"/>
        <s v="765Car33"/>
        <s v="766Car33"/>
        <s v="767Car33"/>
        <s v="768Car33"/>
        <s v="769Car33"/>
        <s v="770Car33"/>
        <s v="771Car33"/>
        <s v="772Car33"/>
        <s v="773Car33"/>
        <s v="774Car33"/>
        <s v="775Car33"/>
        <s v="776Car33"/>
        <s v="777Car33"/>
        <s v="778Car33"/>
        <s v="779Car33"/>
        <s v="780Car33"/>
        <s v="782Car33"/>
        <s v="783Car33"/>
        <s v="784Car33"/>
        <s v="785Car33"/>
        <s v="786Nav33"/>
        <s v="787Car33"/>
        <s v="788Nav33"/>
        <s v="789Car33"/>
        <s v="790Car33"/>
        <s v="791Car33"/>
        <s v="792Car33"/>
        <s v="793Car33"/>
        <s v="794Car33"/>
        <s v="795Car33"/>
        <s v="796Car33"/>
        <s v="797Car33"/>
        <s v="798Car33"/>
        <s v="799Car33"/>
        <s v="800Car33"/>
        <s v="801Car33"/>
        <s v="802Car33"/>
        <s v="803Sus10"/>
        <s v="804Sus10"/>
        <s v="805Sus10"/>
        <s v="806Sus10"/>
        <s v="807Sus10"/>
        <s v="808Sus10"/>
        <s v="809Sus10"/>
        <s v="810Sus10"/>
        <s v="811Sus10"/>
        <s v="812Sus10"/>
        <s v="813Sus10"/>
        <s v="814Sus10"/>
        <s v="815Sus10"/>
        <s v="816Sus10"/>
        <s v="817Sus10"/>
        <s v="818Sus10"/>
        <s v="819Sus10"/>
        <s v="820Sus10"/>
        <s v="821Sus10"/>
        <s v="822Sus10"/>
        <s v="823Sus10"/>
        <s v="824Sus10"/>
        <s v="825Sus10"/>
        <s v="826Sus10"/>
        <s v="827Sus10"/>
        <s v="828Sus10"/>
        <s v="829Sus10"/>
        <s v="830Sus10"/>
        <s v="831Sus10"/>
        <s v="832Sus10"/>
        <s v="833Sus10"/>
        <s v="834Sus10"/>
        <s v="835Sus10"/>
        <s v="836Sus10"/>
        <s v="837Sus10"/>
        <s v="838Sus10"/>
        <s v="839Sus10"/>
        <s v="840Sus10"/>
        <s v="841Sus10"/>
        <s v="842Sus10"/>
        <s v="843Sus10"/>
        <s v="844Sus10"/>
        <s v="845Sus10"/>
        <s v="846Sus10"/>
        <s v="847Sus10"/>
        <s v="848Sus10"/>
        <s v="849Sus10"/>
        <s v="850Car33"/>
        <s v="851Whi33"/>
        <s v="852Whi33"/>
        <s v="853Whi33"/>
        <s v="854Whi33"/>
        <s v="855Whi33"/>
        <s v="856Whi33"/>
        <s v="857Whi33"/>
        <s v="858Whi33"/>
        <s v="859Whi33"/>
        <s v="860Whi33"/>
        <s v="861Whi33"/>
        <s v="862Whi33"/>
        <s v="863Car33"/>
        <s v="864Car33"/>
        <s v="865Car33"/>
        <s v="866Car33"/>
        <s v="867Car33"/>
        <s v="868Car33"/>
        <s v="869Car33"/>
        <s v="870Car33"/>
        <s v="871Car33"/>
        <s v="872Car33"/>
        <s v="873Car33"/>
        <s v="874Car33"/>
        <s v="875Car33"/>
        <s v="876Car33"/>
        <s v="877Car33"/>
        <s v="878Whi33"/>
        <s v="879Whi33"/>
        <s v="880Whi33"/>
        <s v="881Whi33"/>
        <s v="882Whi33"/>
        <s v="883Whi33"/>
        <s v="884Whi33"/>
        <s v="885Whi33"/>
        <s v="886Whi33"/>
        <s v="887Whi33"/>
        <s v="888Whi33"/>
        <s v="889Car33"/>
        <s v="890Car33"/>
        <s v="891Car33"/>
        <s v="892Car33"/>
        <s v="893Car33"/>
        <s v="894Car33"/>
        <s v="895Car33"/>
        <s v="896Car33"/>
        <s v="897Car33"/>
        <s v="898Car33"/>
        <s v="899Car33"/>
        <s v="900Car33"/>
        <s v="901Car33"/>
        <s v="902Whi33"/>
        <s v="903Car33"/>
        <s v="904Car33"/>
        <s v="905Car33"/>
        <s v="906Car33"/>
        <s v="907Car33"/>
        <s v="908Car33"/>
        <s v="909Car33"/>
        <s v="910Car33"/>
        <s v="911Car33"/>
        <s v="912Car33"/>
        <s v="913Car33"/>
        <s v="914Car33"/>
        <s v="915Car33"/>
        <s v="916Car33"/>
        <s v="917Car33"/>
        <s v="918Car33"/>
        <s v="919Car33"/>
        <s v="920Nav80"/>
        <s v="921Nav80"/>
        <s v="922Nav80"/>
        <s v="923Nav80"/>
        <s v="924Nav80"/>
        <s v="925Nav80"/>
        <s v="926Nav80"/>
        <s v="927Nav80"/>
        <s v="928Nav80"/>
        <s v="929Red80"/>
        <s v="930Nav80"/>
        <s v="931Nav80"/>
        <s v="932Nav80"/>
        <s v="933Nav80"/>
        <s v="934Nav80"/>
        <s v="935Nav80"/>
        <s v="936Nav80"/>
        <s v="937Nav80"/>
        <s v="938Nav80"/>
        <s v="939Nav80"/>
        <s v="940Nav80"/>
        <s v="941Nav80"/>
        <s v="942Red80"/>
        <s v="943Nav80"/>
        <s v="944Nav80"/>
        <s v="945Nav80"/>
        <s v="946Nav80"/>
        <s v="947Nav80"/>
        <s v="948Nav80"/>
        <s v="949Nav80"/>
        <s v="950Nav80"/>
        <s v="951Nav80"/>
        <s v="952Nav80"/>
        <s v="953Nav80"/>
        <s v="954Nav80"/>
        <s v="955Nav80"/>
        <s v="956Nav80"/>
        <s v="957Nav80"/>
        <s v="958Nav80"/>
        <s v="959Nav80"/>
        <s v="960Nav80"/>
        <s v="961Nav80"/>
        <s v="962Nav80"/>
        <s v="963Nav80"/>
        <s v="964Nav80"/>
        <s v="965Nav80"/>
        <s v="966Nav80"/>
        <s v="978Nav80"/>
        <s v="980Nav80"/>
        <s v="981Nav80"/>
        <s v="983Nav80"/>
        <s v="984Nav80"/>
        <s v="1109Nav80"/>
        <s v="1110Nav80"/>
        <s v="1111Nav80"/>
        <s v="1112Nav80"/>
        <s v="1113Nav80"/>
        <s v="1114Nav80"/>
        <s v="1115Nav80"/>
        <s v="1116Nav80"/>
        <s v="1117Nav80"/>
        <s v="1118Nav80"/>
        <s v="1119Nav80"/>
        <s v="1120Nav80"/>
        <s v="1121Nav80"/>
        <s v="1122Nav80"/>
        <s v="1123Nav80"/>
        <s v="1124Nav80"/>
        <s v="1125Nav80"/>
        <s v="1126Nav80"/>
        <s v="1127Nav80"/>
        <s v="1128Nav80"/>
        <s v="1129Nav80"/>
        <s v="1130Nav80"/>
        <s v="1131Nav80"/>
        <s v="1132Nav80"/>
        <s v="1133Nav80"/>
        <s v="1134Nav80"/>
        <s v="1135Nav80"/>
        <s v="1136Nav80"/>
        <s v="1137Nav80"/>
        <s v="1138Nav80"/>
        <s v="1139Nav80"/>
        <s v="1140Nav80"/>
        <s v="1141Nav80"/>
        <s v="1142Nav80"/>
        <s v="1143Red10"/>
        <s v="1144Red10"/>
        <s v="1145Red10"/>
        <s v="1146Red10"/>
        <s v="1147Red10"/>
        <s v="1148Red10"/>
        <s v="1149Red10"/>
        <s v="1150Red10"/>
        <s v="1151Red10"/>
        <s v="1152Red10"/>
        <s v="1153Red10"/>
        <s v="1154Red10"/>
        <s v="1155Red10"/>
        <s v="1156Red10"/>
        <s v="1157Red10"/>
        <s v="1158Red10"/>
        <s v="1159Red10"/>
        <s v="1160Red10"/>
        <s v="1161Red10"/>
        <s v="1162Red10"/>
        <s v="1163Red10"/>
        <s v="1164Red10"/>
        <s v="1165Red10"/>
        <s v="1166Red10"/>
        <s v="1167Red10"/>
        <s v="1168Red10"/>
        <s v="1169Red10"/>
        <s v="1170Red10"/>
        <s v="1171Red10"/>
        <s v="1172Red10"/>
        <s v="1173Red10"/>
        <s v="1174Red10"/>
        <s v="1175Red10"/>
        <s v="1176Red10"/>
        <s v="1177Red10"/>
        <s v="1178Red10"/>
        <s v="1179Sus10"/>
        <s v="1180Sus10"/>
        <s v="1181Sus10"/>
        <s v="1182Sus10"/>
        <s v="1183Sus10"/>
        <s v="1184Sus10"/>
        <s v="1185Sus10"/>
        <s v="1186Sus10"/>
        <s v="1187Sus10"/>
        <s v="1188Sus10"/>
        <s v="1189Sus10"/>
        <s v="1190Sus10"/>
        <s v="1191Sus10"/>
        <s v="1192Sus10"/>
        <s v="1193Sus10"/>
        <s v="1194Sus10"/>
        <s v="1195Sus10"/>
        <s v="1196Sus10"/>
        <s v="1197Sus10"/>
        <s v="1198Sus10"/>
        <s v="1199Sus10"/>
        <s v="1200Sus10"/>
        <s v="1201Sus10"/>
        <s v="1202Sus10"/>
        <s v="1203Sus10"/>
        <s v="1204Sus10"/>
        <s v="1205Sus10"/>
        <s v="1206Sus10"/>
        <s v="1207Sus10"/>
        <s v="1208Sus10"/>
        <s v="1209Sus10"/>
        <s v="1210Sus10"/>
        <s v="1211Sus10"/>
        <s v="1212Sus10"/>
        <s v="1213Sus10"/>
        <s v="1214Sus10"/>
        <s v="1215Sus10"/>
        <s v="1216Sus10"/>
        <s v="1217Sus10"/>
        <s v="1218Sus10"/>
        <s v="1219Sus10"/>
        <s v="1220Sus10"/>
        <s v="1221Sus10"/>
        <s v="1222Sus10"/>
        <s v="1223Sus10"/>
        <s v="1224Sus10"/>
        <s v="1225Sus10"/>
        <s v="1226Sus10"/>
        <s v="1227Sus10"/>
        <s v="1228Sus10"/>
        <s v="1229Sus10"/>
        <s v="1230Sus10"/>
        <s v="1231Sus10"/>
        <s v="1232Sus10"/>
        <s v="1233Sus10"/>
        <s v="1234Red10"/>
        <s v="1235Red10"/>
        <s v="1236Red10"/>
        <s v="1237Red10"/>
        <s v="1238Red10"/>
        <s v="1239Red10"/>
        <s v="1240Red10"/>
        <s v="1241Red10"/>
        <s v="1242Red10"/>
        <s v="1243Red10"/>
        <s v="1244Red10"/>
        <s v="1245Red10"/>
        <s v="1246Red10"/>
        <s v="1247Red10"/>
        <s v="1248Red10"/>
        <s v="1249Red10"/>
        <s v="1250Red10"/>
        <s v="1251Red10"/>
        <s v="1252Red10"/>
        <s v="1253Red10"/>
        <s v="1254Red10"/>
        <s v="1255Red10"/>
        <s v="1256Red10"/>
        <s v="1257Red10"/>
        <s v="1258Red10"/>
        <s v="1259Red10"/>
        <s v="1260Red10"/>
        <s v="1261Red10"/>
        <s v="1262Red10"/>
        <s v="1263Red10"/>
        <s v="1264Red10"/>
        <s v="1265Red10"/>
        <s v="1266Red10"/>
        <s v="1267Red10"/>
        <s v="1268Red10"/>
        <s v="1269Red10"/>
        <s v="1270Red10"/>
        <s v="1271Red10"/>
        <s v="1272Red10"/>
        <s v="1273Red10"/>
        <s v="1274Red10"/>
        <s v="1275Red10"/>
        <s v="1276Red10"/>
        <s v="1277Red10"/>
        <s v="1278Red10"/>
        <s v="1279Red10"/>
        <s v="1280Red10"/>
        <s v="1281Red10"/>
        <s v="1282Red10"/>
        <s v="1283Red10"/>
        <s v="1284Red10"/>
        <s v="1285Red10"/>
        <s v="1286Red10"/>
        <s v="1287Red10"/>
        <s v="1288Red10"/>
        <s v="1289Red10"/>
        <s v="1290Red10"/>
        <s v="1291Red10"/>
        <s v="1292Red10"/>
        <s v="1293Red10"/>
        <s v="1294Red10"/>
        <s v="1295Red10"/>
        <s v="1296Red10"/>
        <s v="1297Red10"/>
        <s v="1298Red10"/>
        <s v="1299Red10"/>
        <s v="1300Red10"/>
        <s v="1301Red10"/>
        <s v="1302Red10"/>
        <s v="1303Red10"/>
        <s v="1304Red10"/>
        <s v="1305Red10"/>
        <s v="1306Red10"/>
        <s v="1307Red10"/>
        <s v="1308Red10"/>
        <s v="1309Red10"/>
        <s v="1310Red10"/>
        <s v="1311Red10"/>
        <s v="1312Red10"/>
        <s v="1313Red10"/>
        <s v="1314Red10"/>
        <s v="1315Red10"/>
        <s v="1316Red10"/>
        <s v="1317Red10"/>
        <s v="1318Red10"/>
        <s v="1319Red10"/>
        <s v="1320Red10"/>
        <s v="1321Red10"/>
        <s v="1322Red10"/>
        <s v="1323Red10"/>
        <s v="1324Red10"/>
        <s v="1325Red10"/>
        <s v="1326Red10"/>
        <s v="1327Red10"/>
        <s v="1328Red10"/>
        <s v="1329Red10"/>
        <s v="1330Red10"/>
        <s v="1331Red10"/>
        <s v="1332Red10"/>
        <s v="1333Red10"/>
        <s v="1334Red10"/>
        <s v="1335Red10"/>
        <s v="1336Red10"/>
        <s v="1337Red10"/>
        <s v="1338Red10"/>
        <s v="1339Red10"/>
        <s v="1340Red10"/>
        <s v="1341Red10"/>
        <s v="1342Red10"/>
        <s v="1343Red10"/>
        <s v="1344Red10"/>
        <s v="1345Red10"/>
        <s v="1346Red10"/>
        <s v="1347Red10"/>
        <s v="1348Red10"/>
        <s v="1349Red10"/>
        <s v="1350Red10"/>
        <s v="1351Red10"/>
        <s v="1352Red10"/>
        <s v="1353Red10"/>
        <s v="1354Red10"/>
        <s v="1355Red10"/>
        <s v="1356Red10"/>
        <s v="1357Red10"/>
        <s v="1358Red10"/>
        <s v="1359Red10"/>
        <s v="1360Red10"/>
        <s v="1361Red10"/>
        <s v="1362Red10"/>
        <s v="1363Red10"/>
        <s v="1364Red10"/>
        <s v="1365Red10"/>
        <s v="1366Red10"/>
        <s v="1367Red10"/>
        <s v="1368Red10"/>
        <s v="1369Red10"/>
        <s v="1370Red10"/>
        <s v="1371Red10"/>
        <s v="1372Red10"/>
        <s v="1373Red10"/>
        <s v="1374Red10"/>
        <s v="1375Red10"/>
        <s v="1376Red10"/>
        <s v="1377Red10"/>
        <s v="1378Red10"/>
        <s v="1379Red10"/>
        <s v="1380Red10"/>
        <s v="1381Red10"/>
        <s v="1382Red10"/>
        <s v="1383Red10"/>
        <s v="1384Red10"/>
        <s v="1385Red10"/>
        <s v="1386Red10"/>
        <s v="1387Red10"/>
        <s v="1388Nav80"/>
        <s v="1389Nav80"/>
        <s v="1390Nav80"/>
        <s v="1391Nav80"/>
        <s v="1392Nav80"/>
        <s v="1393Nav80"/>
        <s v="1394Nav80"/>
        <s v="1395Nav80"/>
        <s v="1396Nav80"/>
        <s v="1397Nav80"/>
        <s v="1398Nav80"/>
        <s v="1399Nav80"/>
        <s v="1400Nav80"/>
        <s v="1401Nav80"/>
        <s v="1402Nav80"/>
        <s v="1403Nav80"/>
        <s v="1404Nav80"/>
        <s v="1405Nav80"/>
        <s v="1406Nav80"/>
        <s v="1407Nav80"/>
        <s v="1408Nav80"/>
        <s v="1409Nav80"/>
        <s v="1410Nav80"/>
        <s v="1411Nav80"/>
        <s v="1412Nav80"/>
        <s v="1413Nav80"/>
        <s v="1414Nav80"/>
        <s v="1415Nav80"/>
        <s v="1416Nav80"/>
        <s v="1417Nav80"/>
        <s v="1418Nav80"/>
        <s v="1419Nav80"/>
        <s v="1420Nav80"/>
        <s v="1421Nav80"/>
        <s v="1422Nav80"/>
        <s v="1423Nav80"/>
        <s v="1424Nav80"/>
        <s v="1425Nav80"/>
        <s v="1426Nav80"/>
        <s v="1427Nav80"/>
        <s v="1428Nav80"/>
        <s v="1429Nav80"/>
        <s v="1430Nav80"/>
        <s v="1431Nav80"/>
        <s v="1432Nav80"/>
        <s v="1433Nav80"/>
        <s v="1434Nav80"/>
        <s v="1435Nav80"/>
        <s v="1436Nav80"/>
        <s v="1437Nav80"/>
        <s v="1438Nav80"/>
        <s v="1439Nav80"/>
        <s v="1440Nav80"/>
        <s v="1441Nav80"/>
        <s v="1442Nav80"/>
        <s v="1443Nav80"/>
        <s v="1444Nav80"/>
        <s v="1445Nav80"/>
        <s v="1446Nav80"/>
        <s v="1447Nav80"/>
        <s v="1448Nav80"/>
        <s v="1449Nav80"/>
        <s v="1450Nav80"/>
        <s v="1451Nav80"/>
        <s v="1452Nav80"/>
        <s v="1453Nav80"/>
        <s v="1454Nav80"/>
        <s v="1455Nav80"/>
        <s v="1456Nav80"/>
        <s v="1457Nav80"/>
        <s v="1458Nav80"/>
        <s v="1459Nav80"/>
        <s v="1460Nav80"/>
        <s v="1461Nav80"/>
        <s v="1462Nav80"/>
        <s v="1463Nav80"/>
        <s v="1464Nav80"/>
        <s v="1465Nav80"/>
        <s v="1466Nav80"/>
        <s v="1467Nav80"/>
        <s v="1468Nav80"/>
        <s v="1469Nav80"/>
        <s v="1470Nav80"/>
        <s v="1471Nav80"/>
        <s v="1472Nav80"/>
        <s v="1473Nav80"/>
        <s v="1474Nav80"/>
        <s v="1475Nav80"/>
        <s v="1476Nav80"/>
        <s v="1477Nav80"/>
        <s v="1478Nav80"/>
        <s v="1479Nav80"/>
        <s v="1480Nav80"/>
        <s v="1481Nav80"/>
        <s v="1482Nav80"/>
        <s v="1483Nav80"/>
        <s v="1484Nav80"/>
        <s v="1485Nav80"/>
        <s v="1486Nav80"/>
        <s v="1487Nav80"/>
        <s v="1488Nav80"/>
        <s v="1489Nav80"/>
        <s v="1490Nav80"/>
        <s v="1491Nav80"/>
        <s v="1492Nav80"/>
        <s v="1493Nav80"/>
        <s v="1494Nav80"/>
        <s v="1495Nav80"/>
        <s v="1496Nav80"/>
        <s v="1497Nav80"/>
        <s v="1498Nav80"/>
        <s v="1499Nav80"/>
        <s v="1500Nav80"/>
        <s v="1501Nav80"/>
        <s v="1502Nav80"/>
        <s v="1503Nav80"/>
        <s v="1504Nav80"/>
        <s v="1505Nav80"/>
        <s v="1506Nav80"/>
        <s v="1507Nav80"/>
        <s v="1508Nav80"/>
        <s v="1509Nav80"/>
        <s v="1510Nav80"/>
        <s v="1511Nav80"/>
        <s v="1512Nav80"/>
        <s v="1513Nav80"/>
        <s v="1514Bla90"/>
        <s v="1515Bla90"/>
        <s v="1516Bla90"/>
        <s v="1517Bla90"/>
        <s v="1518Bla90"/>
        <s v="1519Bla90"/>
        <s v="1520Bla90"/>
        <s v="1521Bla90"/>
        <s v="1522Red10"/>
        <s v="1523Red10"/>
        <s v="1524Red10"/>
        <s v="1525Red10"/>
        <s v="1526Red10"/>
        <s v="1527Red10"/>
        <s v="1528Red10"/>
        <s v="1529Red10"/>
        <s v="1530Red10"/>
        <s v="1531Red10"/>
        <s v="1532Red10"/>
        <s v="1533Red10"/>
        <s v="1534Red10"/>
        <s v="1535Red10"/>
        <s v="1536Red10"/>
        <s v="1537Red10"/>
        <s v="1538Red10"/>
        <s v="1539Red10"/>
        <s v="1540Red10"/>
        <s v="1541Red10"/>
        <s v="1542Red10"/>
        <s v="1543Red10"/>
        <s v="1544Red10"/>
        <s v="1545Red10"/>
        <s v="1546Red10"/>
        <s v="1547Red10"/>
        <s v="1548Red10"/>
        <s v="1549Red10"/>
        <s v="1550Red10"/>
        <s v="1551Red10"/>
        <s v="1552Red10"/>
        <s v="1553Red10"/>
        <s v="1554Red10"/>
        <s v="1555Red10"/>
        <s v="1556Red10"/>
        <s v="1557Red10"/>
        <s v="1558Red10"/>
        <s v="1559Red10"/>
        <s v="1560Red10"/>
        <s v="1561Red10"/>
        <s v="1562Red10"/>
        <s v="1563Red10"/>
        <s v="1564Red10"/>
        <s v="1565Red10"/>
        <s v="1566Red10"/>
        <s v="1567Red10"/>
        <s v="1568Red10"/>
        <s v="1569Red10"/>
        <s v="1570Red10"/>
        <s v="1571Red10"/>
        <s v="1572Red10"/>
        <s v="1573Red10"/>
        <s v="1574Red10"/>
        <s v="1575Red10"/>
        <s v="1576Red10"/>
        <s v="1577Red10"/>
        <s v="1578Red10"/>
        <s v="1579Red10"/>
        <s v="1580Red10"/>
        <s v="1581Red10"/>
        <s v="1582Red10"/>
        <s v="1583Red10"/>
        <s v="1584Red10"/>
        <s v="1585Red10"/>
        <s v="1586Red10"/>
        <s v="1587Red10"/>
        <s v="1588Red10"/>
        <s v="1589Red10"/>
        <s v="1590Red10"/>
        <s v="1591Nav80"/>
        <s v="1592Nav80"/>
        <s v="1593Nav80"/>
        <s v="1594Nav80"/>
        <s v="1595Nav80"/>
        <s v="1596Nav80"/>
        <s v="1597Nav80"/>
        <s v="1598Nav80"/>
        <s v="1599Nav80"/>
        <s v="1600Nav80"/>
        <s v="1601Nav80"/>
        <s v="1602Nav80"/>
        <s v="1603Nav80"/>
        <s v="1604Nav80"/>
        <s v="1605Nav80"/>
        <s v="1606Nav80"/>
        <s v="1607Nav80"/>
        <s v="1608Nav80"/>
        <s v="1609Nav80"/>
        <s v="1610Nav80"/>
        <s v="1611Nav80"/>
        <s v="1612Nav80"/>
        <s v="1613Nav80"/>
        <s v="1614Nav80"/>
        <s v="1615Nav80"/>
        <s v="1616Nav80"/>
        <s v="1617Nav80"/>
        <s v="1618Nav80"/>
        <s v="1619Nav80"/>
        <s v="1620Nav80"/>
        <s v="1621Nav80"/>
        <s v="1622Nav80"/>
        <s v="1623Nav80"/>
        <s v="1624Nav80"/>
        <s v="1625Nav80"/>
        <s v="1626Nav80"/>
        <s v="1627Nav80"/>
        <s v="1628Nav80"/>
      </sharedItems>
    </cacheField>
    <cacheField name="Product" numFmtId="0">
      <sharedItems/>
    </cacheField>
    <cacheField name="Activity_Zip" numFmtId="0">
      <sharedItems containsSemiMixedTypes="0" containsString="0" containsNumber="1" containsInteger="1" minValue="10001" maxValue="90021"/>
    </cacheField>
    <cacheField name="Customer_Name" numFmtId="0">
      <sharedItems/>
    </cacheField>
    <cacheField name="Buyer_Type" numFmtId="0">
      <sharedItems/>
    </cacheField>
    <cacheField name="Units" numFmtId="0">
      <sharedItems containsSemiMixedTypes="0" containsString="0" containsNumber="1" containsInteger="1" minValue="1" maxValue="1"/>
    </cacheField>
    <cacheField name="Activity_Month" numFmtId="0">
      <sharedItems/>
    </cacheField>
    <cacheField name="LL_Hub" numFmtId="0">
      <sharedItems count="4">
        <s v="Los Angeles"/>
        <s v="New York"/>
        <s v="Miami"/>
        <s v="Denver"/>
      </sharedItems>
    </cacheField>
    <cacheField name="Apparel_Demographics" numFmtId="0">
      <sharedItems/>
    </cacheField>
    <cacheField name="Style_Category" numFmtId="0">
      <sharedItems count="3">
        <s v="Casual n Light"/>
        <s v="Fancy Sheek"/>
        <s v="Winter Warmth"/>
      </sharedItems>
    </cacheField>
    <cacheField name="Product_Origin" numFmtId="0">
      <sharedItems/>
    </cacheField>
    <cacheField name="Import_Frm_Region" numFmtId="0">
      <sharedItems/>
    </cacheField>
    <cacheField name="Inventory_Cost" numFmtId="0">
      <sharedItems containsSemiMixedTypes="0" containsString="0" containsNumber="1" containsInteger="1" minValue="10" maxValue="1200"/>
    </cacheField>
    <cacheField name="Sale_Price" numFmtId="0">
      <sharedItems containsSemiMixedTypes="0" containsString="0" containsNumber="1" containsInteger="1" minValue="20" maxValue="2000"/>
    </cacheField>
    <cacheField name="profit" numFmtId="0">
      <sharedItems containsSemiMixedTypes="0" containsString="0" containsNumber="1" containsInteger="1" minValue="-75" maxValue="800"/>
    </cacheField>
    <cacheField name="Hub_Risk" numFmtId="0">
      <sharedItems count="2">
        <s v="Hub Risk"/>
        <s v="-"/>
      </sharedItems>
    </cacheField>
    <cacheField name="Style_Risk" numFmtId="0">
      <sharedItems count="2">
        <s v="Hub Risk"/>
        <s v="-"/>
      </sharedItems>
    </cacheField>
    <cacheField name="Risk_List" numFmtId="0">
      <sharedItems count="2">
        <s v="Risk"/>
        <s v="-"/>
      </sharedItems>
    </cacheField>
    <cacheField name="Order Value" numFmtId="0">
      <sharedItems count="2">
        <s v="High Value"/>
        <s v="Low Valu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05.670949652776" createdVersion="6" refreshedVersion="6" minRefreshableVersion="3" recordCount="1520" xr:uid="{543A597E-2813-7142-BAF4-F69024C0798F}">
  <cacheSource type="worksheet">
    <worksheetSource ref="A2:U1522" sheet="Order log data"/>
  </cacheSource>
  <cacheFields count="21">
    <cacheField name="Order_Number" numFmtId="0">
      <sharedItems containsSemiMixedTypes="0" containsString="0" containsNumber="1" containsInteger="1" minValue="1" maxValue="1520"/>
    </cacheField>
    <cacheField name="Activity" numFmtId="0">
      <sharedItems/>
    </cacheField>
    <cacheField name="Order_ID" numFmtId="0">
      <sharedItems/>
    </cacheField>
    <cacheField name="Product" numFmtId="0">
      <sharedItems count="10">
        <s v="Black Crepe Business Jacket"/>
        <s v="Light Linen Shirt"/>
        <s v="Professional Collar Shirt"/>
        <s v="Navy Blue Dapper Suit"/>
        <s v="Wool Blue Jacket"/>
        <s v="Susy Winter Coat"/>
        <s v="Red Poplin Summer Dress"/>
        <s v="Navy Floral Light Halter"/>
        <s v="Carissa Cocktail Gown"/>
        <s v="White Ellery Wedding Gown"/>
      </sharedItems>
    </cacheField>
    <cacheField name="Activity_Zip" numFmtId="0">
      <sharedItems containsSemiMixedTypes="0" containsString="0" containsNumber="1" containsInteger="1" minValue="10001" maxValue="90021"/>
    </cacheField>
    <cacheField name="Customer_Name" numFmtId="0">
      <sharedItems/>
    </cacheField>
    <cacheField name="Buyer_Type" numFmtId="0">
      <sharedItems/>
    </cacheField>
    <cacheField name="Units" numFmtId="0">
      <sharedItems containsSemiMixedTypes="0" containsString="0" containsNumber="1" containsInteger="1" minValue="1" maxValue="1" count="1">
        <n v="1"/>
      </sharedItems>
    </cacheField>
    <cacheField name="Activity_Month" numFmtId="0">
      <sharedItems count="3">
        <s v="FEB"/>
        <s v="MAR"/>
        <s v="JAN"/>
      </sharedItems>
    </cacheField>
    <cacheField name="LL_Hub" numFmtId="0">
      <sharedItems count="4">
        <s v="New York"/>
        <s v="Los Angeles"/>
        <s v="Miami"/>
        <s v="Denver"/>
      </sharedItems>
    </cacheField>
    <cacheField name="Apparel_Demographics" numFmtId="0">
      <sharedItems/>
    </cacheField>
    <cacheField name="Style_Category" numFmtId="0">
      <sharedItems count="3">
        <s v="Fancy Sheek"/>
        <s v="Casual n Light"/>
        <s v="Winter Warmth"/>
      </sharedItems>
    </cacheField>
    <cacheField name="Product_Origin" numFmtId="0">
      <sharedItems/>
    </cacheField>
    <cacheField name="Import_Frm_Region" numFmtId="0">
      <sharedItems/>
    </cacheField>
    <cacheField name="Inventory_Cost" numFmtId="0">
      <sharedItems containsSemiMixedTypes="0" containsString="0" containsNumber="1" containsInteger="1" minValue="10" maxValue="1200"/>
    </cacheField>
    <cacheField name="Sale_Price" numFmtId="0">
      <sharedItems containsSemiMixedTypes="0" containsString="0" containsNumber="1" containsInteger="1" minValue="20" maxValue="2000"/>
    </cacheField>
    <cacheField name="profit" numFmtId="0">
      <sharedItems containsSemiMixedTypes="0" containsString="0" containsNumber="1" containsInteger="1" minValue="-75" maxValue="800" count="8">
        <n v="-75"/>
        <n v="10"/>
        <n v="15"/>
        <n v="100"/>
        <n v="125"/>
        <n v="5"/>
        <n v="50"/>
        <n v="800"/>
      </sharedItems>
    </cacheField>
    <cacheField name="Hub_Risk" numFmtId="0">
      <sharedItems/>
    </cacheField>
    <cacheField name="Style_Risk" numFmtId="0">
      <sharedItems/>
    </cacheField>
    <cacheField name="Risk_List" numFmtId="0">
      <sharedItems/>
    </cacheField>
    <cacheField name="Order Valu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28">
  <r>
    <s v="Sale"/>
    <x v="0"/>
    <x v="0"/>
    <n v="90001"/>
    <s v="Thomas Wells"/>
    <x v="0"/>
    <n v="1"/>
    <x v="0"/>
    <x v="0"/>
    <s v="Male"/>
    <x v="0"/>
    <s v="Ethiopia"/>
    <s v="Africa"/>
    <n v="10"/>
    <n v="20"/>
    <n v="10"/>
  </r>
  <r>
    <s v="Sale"/>
    <x v="1"/>
    <x v="0"/>
    <n v="10001"/>
    <s v="Alexander Davis"/>
    <x v="0"/>
    <n v="1"/>
    <x v="1"/>
    <x v="1"/>
    <s v="Male"/>
    <x v="0"/>
    <s v="Ethiopia"/>
    <s v="Africa"/>
    <n v="10"/>
    <n v="20"/>
    <n v="10"/>
  </r>
  <r>
    <s v="Sale"/>
    <x v="2"/>
    <x v="1"/>
    <n v="10001"/>
    <s v="Elian Grant"/>
    <x v="0"/>
    <n v="1"/>
    <x v="1"/>
    <x v="1"/>
    <s v="Male"/>
    <x v="0"/>
    <s v="Kenya"/>
    <s v="Africa"/>
    <n v="15"/>
    <n v="30"/>
    <n v="15"/>
  </r>
  <r>
    <s v="Sale"/>
    <x v="3"/>
    <x v="2"/>
    <n v="10001"/>
    <s v="Nicholas Harris"/>
    <x v="0"/>
    <n v="1"/>
    <x v="1"/>
    <x v="1"/>
    <s v="Male"/>
    <x v="1"/>
    <s v="Afghanistan"/>
    <s v="Middle East"/>
    <n v="450"/>
    <n v="550"/>
    <n v="100"/>
  </r>
  <r>
    <s v="Sale"/>
    <x v="4"/>
    <x v="1"/>
    <n v="10001"/>
    <s v="Michael Roberts"/>
    <x v="0"/>
    <n v="1"/>
    <x v="1"/>
    <x v="1"/>
    <s v="Male"/>
    <x v="0"/>
    <s v="Kenya"/>
    <s v="Africa"/>
    <n v="15"/>
    <n v="30"/>
    <n v="15"/>
  </r>
  <r>
    <s v="Sale"/>
    <x v="5"/>
    <x v="2"/>
    <n v="10001"/>
    <s v="James Smith"/>
    <x v="0"/>
    <n v="1"/>
    <x v="1"/>
    <x v="1"/>
    <s v="Male"/>
    <x v="1"/>
    <s v="Afghanistan"/>
    <s v="Middle East"/>
    <n v="450"/>
    <n v="550"/>
    <n v="100"/>
  </r>
  <r>
    <s v="Sale"/>
    <x v="6"/>
    <x v="1"/>
    <n v="10001"/>
    <s v="Ted Ellis"/>
    <x v="0"/>
    <n v="1"/>
    <x v="1"/>
    <x v="1"/>
    <s v="Male"/>
    <x v="0"/>
    <s v="Kenya"/>
    <s v="Africa"/>
    <n v="15"/>
    <n v="30"/>
    <n v="15"/>
  </r>
  <r>
    <s v="Sale"/>
    <x v="7"/>
    <x v="1"/>
    <n v="10001"/>
    <s v="Daniel Bennett"/>
    <x v="0"/>
    <n v="1"/>
    <x v="1"/>
    <x v="1"/>
    <s v="Male"/>
    <x v="0"/>
    <s v="Kenya"/>
    <s v="Africa"/>
    <n v="15"/>
    <n v="30"/>
    <n v="15"/>
  </r>
  <r>
    <s v="Sale"/>
    <x v="8"/>
    <x v="2"/>
    <n v="10001"/>
    <s v="Frederick Moore"/>
    <x v="0"/>
    <n v="1"/>
    <x v="1"/>
    <x v="1"/>
    <s v="Male"/>
    <x v="1"/>
    <s v="Afghanistan"/>
    <s v="Middle East"/>
    <n v="450"/>
    <n v="550"/>
    <n v="100"/>
  </r>
  <r>
    <s v="Sale"/>
    <x v="9"/>
    <x v="2"/>
    <n v="10001"/>
    <s v="Macys"/>
    <x v="1"/>
    <n v="1"/>
    <x v="1"/>
    <x v="1"/>
    <s v="Male"/>
    <x v="1"/>
    <s v="Afghanistan"/>
    <s v="Middle East"/>
    <n v="450"/>
    <n v="550"/>
    <n v="100"/>
  </r>
  <r>
    <s v="Sale"/>
    <x v="10"/>
    <x v="2"/>
    <n v="10001"/>
    <s v="SAKS Fifth Avenue"/>
    <x v="1"/>
    <n v="1"/>
    <x v="2"/>
    <x v="1"/>
    <s v="Male"/>
    <x v="1"/>
    <s v="Afghanistan"/>
    <s v="Middle East"/>
    <n v="450"/>
    <n v="550"/>
    <n v="100"/>
  </r>
  <r>
    <s v="Sale"/>
    <x v="11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12"/>
    <x v="1"/>
    <n v="10001"/>
    <s v="Macys"/>
    <x v="1"/>
    <n v="1"/>
    <x v="1"/>
    <x v="1"/>
    <s v="Male"/>
    <x v="0"/>
    <s v="Kenya"/>
    <s v="Africa"/>
    <n v="15"/>
    <n v="30"/>
    <n v="15"/>
  </r>
  <r>
    <s v="Sale"/>
    <x v="13"/>
    <x v="4"/>
    <n v="10001"/>
    <s v="Macys"/>
    <x v="1"/>
    <n v="1"/>
    <x v="2"/>
    <x v="1"/>
    <s v="Female"/>
    <x v="2"/>
    <s v="Romania"/>
    <s v="Eastern Europe"/>
    <n v="350"/>
    <n v="450"/>
    <n v="100"/>
  </r>
  <r>
    <s v="Sale"/>
    <x v="14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15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16"/>
    <x v="4"/>
    <n v="10001"/>
    <s v="Macys"/>
    <x v="1"/>
    <n v="1"/>
    <x v="2"/>
    <x v="1"/>
    <s v="Female"/>
    <x v="2"/>
    <s v="Romania"/>
    <s v="Eastern Europe"/>
    <n v="350"/>
    <n v="450"/>
    <n v="100"/>
  </r>
  <r>
    <s v="Sale"/>
    <x v="17"/>
    <x v="4"/>
    <n v="10001"/>
    <s v="Macys"/>
    <x v="1"/>
    <n v="1"/>
    <x v="2"/>
    <x v="1"/>
    <s v="Female"/>
    <x v="2"/>
    <s v="Romania"/>
    <s v="Eastern Europe"/>
    <n v="350"/>
    <n v="450"/>
    <n v="100"/>
  </r>
  <r>
    <s v="Sale"/>
    <x v="18"/>
    <x v="4"/>
    <n v="10001"/>
    <s v="Macys"/>
    <x v="1"/>
    <n v="1"/>
    <x v="2"/>
    <x v="1"/>
    <s v="Female"/>
    <x v="2"/>
    <s v="Romania"/>
    <s v="Eastern Europe"/>
    <n v="350"/>
    <n v="450"/>
    <n v="100"/>
  </r>
  <r>
    <s v="Sale"/>
    <x v="19"/>
    <x v="4"/>
    <n v="10001"/>
    <s v="Macys"/>
    <x v="1"/>
    <n v="1"/>
    <x v="2"/>
    <x v="1"/>
    <s v="Female"/>
    <x v="2"/>
    <s v="Romania"/>
    <s v="Eastern Europe"/>
    <n v="350"/>
    <n v="450"/>
    <n v="100"/>
  </r>
  <r>
    <s v="Sale"/>
    <x v="20"/>
    <x v="1"/>
    <n v="10001"/>
    <s v="Macys"/>
    <x v="1"/>
    <n v="1"/>
    <x v="1"/>
    <x v="1"/>
    <s v="Male"/>
    <x v="0"/>
    <s v="Kenya"/>
    <s v="Africa"/>
    <n v="15"/>
    <n v="30"/>
    <n v="15"/>
  </r>
  <r>
    <s v="Sale"/>
    <x v="21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22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23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24"/>
    <x v="2"/>
    <n v="10013"/>
    <s v="SAKS Fifth Avenue"/>
    <x v="1"/>
    <n v="1"/>
    <x v="2"/>
    <x v="1"/>
    <s v="Male"/>
    <x v="1"/>
    <s v="Afghanistan"/>
    <s v="Middle East"/>
    <n v="450"/>
    <n v="550"/>
    <n v="100"/>
  </r>
  <r>
    <s v="Sale"/>
    <x v="25"/>
    <x v="1"/>
    <n v="10013"/>
    <s v="Macys"/>
    <x v="1"/>
    <n v="1"/>
    <x v="2"/>
    <x v="1"/>
    <s v="Male"/>
    <x v="0"/>
    <s v="Kenya"/>
    <s v="Africa"/>
    <n v="15"/>
    <n v="30"/>
    <n v="15"/>
  </r>
  <r>
    <s v="Sale"/>
    <x v="26"/>
    <x v="1"/>
    <n v="10013"/>
    <s v="Macys"/>
    <x v="1"/>
    <n v="1"/>
    <x v="0"/>
    <x v="1"/>
    <s v="Male"/>
    <x v="0"/>
    <s v="Kenya"/>
    <s v="Africa"/>
    <n v="15"/>
    <n v="30"/>
    <n v="15"/>
  </r>
  <r>
    <s v="Sale"/>
    <x v="27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28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29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30"/>
    <x v="3"/>
    <n v="10022"/>
    <s v="Macys"/>
    <x v="1"/>
    <n v="1"/>
    <x v="0"/>
    <x v="1"/>
    <s v="Male"/>
    <x v="2"/>
    <s v="Moldova"/>
    <s v="Eastern Europe"/>
    <n v="475"/>
    <n v="600"/>
    <n v="125"/>
  </r>
  <r>
    <s v="Sale"/>
    <x v="31"/>
    <x v="0"/>
    <n v="10022"/>
    <s v="Macys"/>
    <x v="1"/>
    <n v="1"/>
    <x v="1"/>
    <x v="1"/>
    <s v="Male"/>
    <x v="0"/>
    <s v="Ethiopia"/>
    <s v="Africa"/>
    <n v="10"/>
    <n v="20"/>
    <n v="10"/>
  </r>
  <r>
    <s v="Sale"/>
    <x v="32"/>
    <x v="1"/>
    <n v="10022"/>
    <s v="Macys"/>
    <x v="1"/>
    <n v="1"/>
    <x v="0"/>
    <x v="1"/>
    <s v="Male"/>
    <x v="0"/>
    <s v="Kenya"/>
    <s v="Africa"/>
    <n v="15"/>
    <n v="30"/>
    <n v="15"/>
  </r>
  <r>
    <s v="Sale"/>
    <x v="33"/>
    <x v="3"/>
    <n v="10022"/>
    <s v="Macys"/>
    <x v="1"/>
    <n v="1"/>
    <x v="0"/>
    <x v="1"/>
    <s v="Male"/>
    <x v="2"/>
    <s v="Moldova"/>
    <s v="Eastern Europe"/>
    <n v="475"/>
    <n v="600"/>
    <n v="125"/>
  </r>
  <r>
    <s v="Sale"/>
    <x v="34"/>
    <x v="1"/>
    <n v="10022"/>
    <s v="Arthur Owens"/>
    <x v="0"/>
    <n v="1"/>
    <x v="0"/>
    <x v="1"/>
    <s v="Male"/>
    <x v="0"/>
    <s v="Kenya"/>
    <s v="Africa"/>
    <n v="15"/>
    <n v="30"/>
    <n v="15"/>
  </r>
  <r>
    <s v="Sale"/>
    <x v="35"/>
    <x v="3"/>
    <n v="10022"/>
    <s v="Roland Murray"/>
    <x v="0"/>
    <n v="1"/>
    <x v="0"/>
    <x v="1"/>
    <s v="Male"/>
    <x v="2"/>
    <s v="Moldova"/>
    <s v="Eastern Europe"/>
    <n v="475"/>
    <n v="600"/>
    <n v="125"/>
  </r>
  <r>
    <s v="Sale"/>
    <x v="36"/>
    <x v="2"/>
    <n v="10022"/>
    <s v="Reid Spencer"/>
    <x v="0"/>
    <n v="1"/>
    <x v="0"/>
    <x v="1"/>
    <s v="Male"/>
    <x v="1"/>
    <s v="Afghanistan"/>
    <s v="Middle East"/>
    <n v="450"/>
    <n v="550"/>
    <n v="100"/>
  </r>
  <r>
    <s v="Sale"/>
    <x v="37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38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39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40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41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42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43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44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45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46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47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48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49"/>
    <x v="2"/>
    <n v="10022"/>
    <s v="SAKS Fifth Avenue"/>
    <x v="1"/>
    <n v="1"/>
    <x v="2"/>
    <x v="1"/>
    <s v="Male"/>
    <x v="1"/>
    <s v="Afghanistan"/>
    <s v="Middle East"/>
    <n v="450"/>
    <n v="550"/>
    <n v="100"/>
  </r>
  <r>
    <s v="Sale"/>
    <x v="50"/>
    <x v="3"/>
    <n v="10022"/>
    <s v="Rafael Ross"/>
    <x v="0"/>
    <n v="1"/>
    <x v="0"/>
    <x v="1"/>
    <s v="Male"/>
    <x v="2"/>
    <s v="Moldova"/>
    <s v="Eastern Europe"/>
    <n v="475"/>
    <n v="600"/>
    <n v="125"/>
  </r>
  <r>
    <s v="Sale"/>
    <x v="51"/>
    <x v="3"/>
    <n v="10022"/>
    <s v="Aldus Moore"/>
    <x v="0"/>
    <n v="1"/>
    <x v="0"/>
    <x v="1"/>
    <s v="Male"/>
    <x v="2"/>
    <s v="Moldova"/>
    <s v="Eastern Europe"/>
    <n v="475"/>
    <n v="600"/>
    <n v="125"/>
  </r>
  <r>
    <s v="Sale"/>
    <x v="52"/>
    <x v="1"/>
    <n v="10022"/>
    <s v="Ashton Crawford"/>
    <x v="0"/>
    <n v="1"/>
    <x v="0"/>
    <x v="1"/>
    <s v="Male"/>
    <x v="0"/>
    <s v="Kenya"/>
    <s v="Africa"/>
    <n v="15"/>
    <n v="30"/>
    <n v="15"/>
  </r>
  <r>
    <s v="Sale"/>
    <x v="53"/>
    <x v="1"/>
    <n v="90005"/>
    <s v="Patrick Ryan"/>
    <x v="0"/>
    <n v="1"/>
    <x v="1"/>
    <x v="0"/>
    <s v="Male"/>
    <x v="0"/>
    <s v="Kenya"/>
    <s v="Africa"/>
    <n v="15"/>
    <n v="30"/>
    <n v="15"/>
  </r>
  <r>
    <s v="Sale"/>
    <x v="54"/>
    <x v="1"/>
    <n v="33101"/>
    <s v="Derek Morgan"/>
    <x v="0"/>
    <n v="1"/>
    <x v="1"/>
    <x v="2"/>
    <s v="Male"/>
    <x v="0"/>
    <s v="Kenya"/>
    <s v="Africa"/>
    <n v="15"/>
    <n v="30"/>
    <n v="15"/>
  </r>
  <r>
    <s v="Sale"/>
    <x v="55"/>
    <x v="1"/>
    <n v="33101"/>
    <s v="Kohls"/>
    <x v="1"/>
    <n v="1"/>
    <x v="2"/>
    <x v="2"/>
    <s v="Male"/>
    <x v="0"/>
    <s v="Kenya"/>
    <s v="Africa"/>
    <n v="15"/>
    <n v="30"/>
    <n v="15"/>
  </r>
  <r>
    <s v="Sale"/>
    <x v="56"/>
    <x v="2"/>
    <n v="33125"/>
    <s v="Neiman Marcus"/>
    <x v="1"/>
    <n v="1"/>
    <x v="1"/>
    <x v="2"/>
    <s v="Male"/>
    <x v="1"/>
    <s v="Afghanistan"/>
    <s v="Middle East"/>
    <n v="450"/>
    <n v="550"/>
    <n v="100"/>
  </r>
  <r>
    <s v="Sale"/>
    <x v="57"/>
    <x v="2"/>
    <n v="33125"/>
    <s v="Neiman Marcus"/>
    <x v="1"/>
    <n v="1"/>
    <x v="1"/>
    <x v="2"/>
    <s v="Male"/>
    <x v="1"/>
    <s v="Afghanistan"/>
    <s v="Middle East"/>
    <n v="450"/>
    <n v="550"/>
    <n v="100"/>
  </r>
  <r>
    <s v="Sale"/>
    <x v="58"/>
    <x v="2"/>
    <n v="33125"/>
    <s v="Neiman Marcus"/>
    <x v="1"/>
    <n v="1"/>
    <x v="1"/>
    <x v="2"/>
    <s v="Male"/>
    <x v="1"/>
    <s v="Afghanistan"/>
    <s v="Middle East"/>
    <n v="450"/>
    <n v="550"/>
    <n v="100"/>
  </r>
  <r>
    <s v="Sale"/>
    <x v="59"/>
    <x v="2"/>
    <n v="33125"/>
    <s v="Neiman Marcus"/>
    <x v="1"/>
    <n v="1"/>
    <x v="1"/>
    <x v="2"/>
    <s v="Male"/>
    <x v="1"/>
    <s v="Afghanistan"/>
    <s v="Middle East"/>
    <n v="450"/>
    <n v="550"/>
    <n v="100"/>
  </r>
  <r>
    <s v="Sale"/>
    <x v="60"/>
    <x v="0"/>
    <n v="33125"/>
    <s v="Kohls"/>
    <x v="1"/>
    <n v="1"/>
    <x v="1"/>
    <x v="2"/>
    <s v="Male"/>
    <x v="0"/>
    <s v="Ethiopia"/>
    <s v="Africa"/>
    <n v="10"/>
    <n v="20"/>
    <n v="10"/>
  </r>
  <r>
    <s v="Sale"/>
    <x v="61"/>
    <x v="0"/>
    <n v="33125"/>
    <s v="Alexander Casey"/>
    <x v="0"/>
    <n v="1"/>
    <x v="1"/>
    <x v="2"/>
    <s v="Male"/>
    <x v="0"/>
    <s v="Ethiopia"/>
    <s v="Africa"/>
    <n v="10"/>
    <n v="20"/>
    <n v="10"/>
  </r>
  <r>
    <s v="Sale"/>
    <x v="62"/>
    <x v="2"/>
    <n v="33125"/>
    <s v="Neiman Marcus"/>
    <x v="1"/>
    <n v="1"/>
    <x v="1"/>
    <x v="2"/>
    <s v="Male"/>
    <x v="1"/>
    <s v="Afghanistan"/>
    <s v="Middle East"/>
    <n v="450"/>
    <n v="550"/>
    <n v="100"/>
  </r>
  <r>
    <s v="Sale"/>
    <x v="63"/>
    <x v="2"/>
    <n v="33125"/>
    <s v="Neiman Marcus"/>
    <x v="1"/>
    <n v="1"/>
    <x v="1"/>
    <x v="2"/>
    <s v="Male"/>
    <x v="1"/>
    <s v="Afghanistan"/>
    <s v="Middle East"/>
    <n v="450"/>
    <n v="550"/>
    <n v="100"/>
  </r>
  <r>
    <s v="Sale"/>
    <x v="64"/>
    <x v="2"/>
    <n v="33125"/>
    <s v="Neiman Marcus"/>
    <x v="1"/>
    <n v="1"/>
    <x v="1"/>
    <x v="2"/>
    <s v="Male"/>
    <x v="1"/>
    <s v="Afghanistan"/>
    <s v="Middle East"/>
    <n v="450"/>
    <n v="550"/>
    <n v="100"/>
  </r>
  <r>
    <s v="Sale"/>
    <x v="65"/>
    <x v="2"/>
    <n v="33125"/>
    <s v="Neiman Marcus"/>
    <x v="1"/>
    <n v="1"/>
    <x v="1"/>
    <x v="2"/>
    <s v="Male"/>
    <x v="1"/>
    <s v="Afghanistan"/>
    <s v="Middle East"/>
    <n v="450"/>
    <n v="550"/>
    <n v="100"/>
  </r>
  <r>
    <s v="Sale"/>
    <x v="66"/>
    <x v="2"/>
    <n v="33125"/>
    <s v="Neiman Marcus"/>
    <x v="1"/>
    <n v="1"/>
    <x v="1"/>
    <x v="2"/>
    <s v="Male"/>
    <x v="1"/>
    <s v="Afghanistan"/>
    <s v="Middle East"/>
    <n v="450"/>
    <n v="550"/>
    <n v="100"/>
  </r>
  <r>
    <s v="Sale"/>
    <x v="67"/>
    <x v="2"/>
    <n v="33125"/>
    <s v="Neiman Marcus"/>
    <x v="1"/>
    <n v="1"/>
    <x v="1"/>
    <x v="2"/>
    <s v="Male"/>
    <x v="1"/>
    <s v="Afghanistan"/>
    <s v="Middle East"/>
    <n v="450"/>
    <n v="550"/>
    <n v="100"/>
  </r>
  <r>
    <s v="Sale"/>
    <x v="68"/>
    <x v="2"/>
    <n v="33125"/>
    <s v="Neiman Marcus"/>
    <x v="1"/>
    <n v="1"/>
    <x v="2"/>
    <x v="2"/>
    <s v="Male"/>
    <x v="1"/>
    <s v="Afghanistan"/>
    <s v="Middle East"/>
    <n v="450"/>
    <n v="550"/>
    <n v="100"/>
  </r>
  <r>
    <s v="Sale"/>
    <x v="69"/>
    <x v="2"/>
    <n v="33125"/>
    <s v="Neiman Marcus"/>
    <x v="1"/>
    <n v="1"/>
    <x v="2"/>
    <x v="2"/>
    <s v="Male"/>
    <x v="1"/>
    <s v="Afghanistan"/>
    <s v="Middle East"/>
    <n v="450"/>
    <n v="550"/>
    <n v="100"/>
  </r>
  <r>
    <s v="Sale"/>
    <x v="70"/>
    <x v="2"/>
    <n v="33125"/>
    <s v="Neiman Marcus"/>
    <x v="1"/>
    <n v="1"/>
    <x v="2"/>
    <x v="2"/>
    <s v="Male"/>
    <x v="1"/>
    <s v="Afghanistan"/>
    <s v="Middle East"/>
    <n v="450"/>
    <n v="550"/>
    <n v="100"/>
  </r>
  <r>
    <s v="Sale"/>
    <x v="71"/>
    <x v="0"/>
    <n v="33125"/>
    <s v="Kohls"/>
    <x v="1"/>
    <n v="1"/>
    <x v="2"/>
    <x v="2"/>
    <s v="Male"/>
    <x v="0"/>
    <s v="Ethiopia"/>
    <s v="Africa"/>
    <n v="10"/>
    <n v="20"/>
    <n v="10"/>
  </r>
  <r>
    <s v="Sale"/>
    <x v="72"/>
    <x v="0"/>
    <n v="33125"/>
    <s v="Arthur Watson"/>
    <x v="0"/>
    <n v="1"/>
    <x v="2"/>
    <x v="2"/>
    <s v="Male"/>
    <x v="0"/>
    <s v="Ethiopia"/>
    <s v="Africa"/>
    <n v="10"/>
    <n v="20"/>
    <n v="10"/>
  </r>
  <r>
    <s v="Sale"/>
    <x v="73"/>
    <x v="2"/>
    <n v="33159"/>
    <s v="Neiman Marcus"/>
    <x v="1"/>
    <n v="1"/>
    <x v="2"/>
    <x v="2"/>
    <s v="Male"/>
    <x v="1"/>
    <s v="Afghanistan"/>
    <s v="Middle East"/>
    <n v="450"/>
    <n v="550"/>
    <n v="100"/>
  </r>
  <r>
    <s v="Sale"/>
    <x v="74"/>
    <x v="2"/>
    <n v="33159"/>
    <s v="Alexander Hill"/>
    <x v="0"/>
    <n v="1"/>
    <x v="2"/>
    <x v="2"/>
    <s v="Male"/>
    <x v="1"/>
    <s v="Afghanistan"/>
    <s v="Middle East"/>
    <n v="450"/>
    <n v="550"/>
    <n v="100"/>
  </r>
  <r>
    <s v="Sale"/>
    <x v="75"/>
    <x v="2"/>
    <n v="33159"/>
    <s v="Jack Bailey"/>
    <x v="0"/>
    <n v="1"/>
    <x v="2"/>
    <x v="2"/>
    <s v="Male"/>
    <x v="1"/>
    <s v="Afghanistan"/>
    <s v="Middle East"/>
    <n v="450"/>
    <n v="550"/>
    <n v="100"/>
  </r>
  <r>
    <s v="Sale"/>
    <x v="76"/>
    <x v="2"/>
    <n v="33159"/>
    <s v="Arny Turn"/>
    <x v="0"/>
    <n v="1"/>
    <x v="2"/>
    <x v="2"/>
    <s v="Male"/>
    <x v="1"/>
    <s v="Afghanistan"/>
    <s v="Middle East"/>
    <n v="450"/>
    <n v="550"/>
    <n v="100"/>
  </r>
  <r>
    <s v="Sale"/>
    <x v="77"/>
    <x v="0"/>
    <n v="33159"/>
    <s v="Haris Douglas"/>
    <x v="0"/>
    <n v="1"/>
    <x v="2"/>
    <x v="2"/>
    <s v="Male"/>
    <x v="0"/>
    <s v="Ethiopia"/>
    <s v="Africa"/>
    <n v="10"/>
    <n v="20"/>
    <n v="10"/>
  </r>
  <r>
    <s v="Sale"/>
    <x v="78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79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80"/>
    <x v="2"/>
    <n v="10001"/>
    <s v="Albert Roberts"/>
    <x v="0"/>
    <n v="1"/>
    <x v="0"/>
    <x v="1"/>
    <s v="Male"/>
    <x v="1"/>
    <s v="Afghanistan"/>
    <s v="Middle East"/>
    <n v="450"/>
    <n v="550"/>
    <n v="100"/>
  </r>
  <r>
    <s v="Sale"/>
    <x v="81"/>
    <x v="1"/>
    <n v="10001"/>
    <s v="Victor Gibson"/>
    <x v="0"/>
    <n v="1"/>
    <x v="0"/>
    <x v="1"/>
    <s v="Male"/>
    <x v="0"/>
    <s v="Kenya"/>
    <s v="Africa"/>
    <n v="15"/>
    <n v="30"/>
    <n v="15"/>
  </r>
  <r>
    <s v="Sale"/>
    <x v="82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83"/>
    <x v="3"/>
    <n v="10001"/>
    <s v="Rafael Richardson"/>
    <x v="0"/>
    <n v="1"/>
    <x v="0"/>
    <x v="1"/>
    <s v="Male"/>
    <x v="2"/>
    <s v="Moldova"/>
    <s v="Eastern Europe"/>
    <n v="475"/>
    <n v="600"/>
    <n v="125"/>
  </r>
  <r>
    <s v="Sale"/>
    <x v="84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85"/>
    <x v="1"/>
    <n v="10001"/>
    <s v="Adison Kelley"/>
    <x v="0"/>
    <n v="1"/>
    <x v="0"/>
    <x v="1"/>
    <s v="Male"/>
    <x v="0"/>
    <s v="Kenya"/>
    <s v="Africa"/>
    <n v="15"/>
    <n v="30"/>
    <n v="15"/>
  </r>
  <r>
    <s v="Sale"/>
    <x v="86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87"/>
    <x v="1"/>
    <n v="10001"/>
    <s v="James Casey"/>
    <x v="0"/>
    <n v="1"/>
    <x v="1"/>
    <x v="1"/>
    <s v="Male"/>
    <x v="0"/>
    <s v="Kenya"/>
    <s v="Africa"/>
    <n v="15"/>
    <n v="30"/>
    <n v="15"/>
  </r>
  <r>
    <s v="Sale"/>
    <x v="88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89"/>
    <x v="1"/>
    <n v="10001"/>
    <s v="Eric Payne"/>
    <x v="0"/>
    <n v="1"/>
    <x v="1"/>
    <x v="1"/>
    <s v="Male"/>
    <x v="0"/>
    <s v="Kenya"/>
    <s v="Africa"/>
    <n v="15"/>
    <n v="30"/>
    <n v="15"/>
  </r>
  <r>
    <s v="Sale"/>
    <x v="90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91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92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93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94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95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96"/>
    <x v="1"/>
    <n v="10001"/>
    <s v="Macys"/>
    <x v="1"/>
    <n v="1"/>
    <x v="1"/>
    <x v="1"/>
    <s v="Male"/>
    <x v="0"/>
    <s v="Kenya"/>
    <s v="Africa"/>
    <n v="15"/>
    <n v="30"/>
    <n v="15"/>
  </r>
  <r>
    <s v="Sale"/>
    <x v="97"/>
    <x v="1"/>
    <n v="10001"/>
    <s v="Macys"/>
    <x v="1"/>
    <n v="1"/>
    <x v="1"/>
    <x v="1"/>
    <s v="Male"/>
    <x v="0"/>
    <s v="Kenya"/>
    <s v="Africa"/>
    <n v="15"/>
    <n v="30"/>
    <n v="15"/>
  </r>
  <r>
    <s v="Sale"/>
    <x v="98"/>
    <x v="2"/>
    <n v="10001"/>
    <s v="Macys"/>
    <x v="1"/>
    <n v="1"/>
    <x v="1"/>
    <x v="1"/>
    <s v="Male"/>
    <x v="1"/>
    <s v="Afghanistan"/>
    <s v="Middle East"/>
    <n v="450"/>
    <n v="550"/>
    <n v="100"/>
  </r>
  <r>
    <s v="Sale"/>
    <x v="99"/>
    <x v="1"/>
    <n v="10001"/>
    <s v="Macys"/>
    <x v="1"/>
    <n v="1"/>
    <x v="1"/>
    <x v="1"/>
    <s v="Male"/>
    <x v="0"/>
    <s v="Kenya"/>
    <s v="Africa"/>
    <n v="15"/>
    <n v="30"/>
    <n v="15"/>
  </r>
  <r>
    <s v="Sale"/>
    <x v="100"/>
    <x v="1"/>
    <n v="10001"/>
    <s v="Macys"/>
    <x v="1"/>
    <n v="1"/>
    <x v="1"/>
    <x v="1"/>
    <s v="Male"/>
    <x v="0"/>
    <s v="Kenya"/>
    <s v="Africa"/>
    <n v="15"/>
    <n v="30"/>
    <n v="15"/>
  </r>
  <r>
    <s v="Sale"/>
    <x v="101"/>
    <x v="2"/>
    <n v="10001"/>
    <s v="Macys"/>
    <x v="1"/>
    <n v="1"/>
    <x v="1"/>
    <x v="1"/>
    <s v="Male"/>
    <x v="1"/>
    <s v="Afghanistan"/>
    <s v="Middle East"/>
    <n v="450"/>
    <n v="550"/>
    <n v="100"/>
  </r>
  <r>
    <s v="Sale"/>
    <x v="102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103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104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105"/>
    <x v="3"/>
    <n v="10001"/>
    <s v="Barneys New York"/>
    <x v="1"/>
    <n v="1"/>
    <x v="2"/>
    <x v="1"/>
    <s v="Male"/>
    <x v="2"/>
    <s v="Moldova"/>
    <s v="Eastern Europe"/>
    <n v="475"/>
    <n v="600"/>
    <n v="125"/>
  </r>
  <r>
    <s v="Sale"/>
    <x v="106"/>
    <x v="1"/>
    <n v="10001"/>
    <s v="Macys"/>
    <x v="1"/>
    <n v="1"/>
    <x v="1"/>
    <x v="1"/>
    <s v="Male"/>
    <x v="0"/>
    <s v="Kenya"/>
    <s v="Africa"/>
    <n v="15"/>
    <n v="30"/>
    <n v="15"/>
  </r>
  <r>
    <s v="Sale"/>
    <x v="107"/>
    <x v="2"/>
    <n v="10022"/>
    <s v="Macys"/>
    <x v="1"/>
    <n v="1"/>
    <x v="1"/>
    <x v="1"/>
    <s v="Male"/>
    <x v="1"/>
    <s v="Afghanistan"/>
    <s v="Middle East"/>
    <n v="450"/>
    <n v="550"/>
    <n v="100"/>
  </r>
  <r>
    <s v="Sale"/>
    <x v="108"/>
    <x v="1"/>
    <n v="10022"/>
    <s v="Macys"/>
    <x v="1"/>
    <n v="1"/>
    <x v="1"/>
    <x v="1"/>
    <s v="Male"/>
    <x v="0"/>
    <s v="Kenya"/>
    <s v="Africa"/>
    <n v="15"/>
    <n v="30"/>
    <n v="15"/>
  </r>
  <r>
    <s v="Sale"/>
    <x v="109"/>
    <x v="1"/>
    <n v="10022"/>
    <s v="Macys"/>
    <x v="1"/>
    <n v="1"/>
    <x v="1"/>
    <x v="1"/>
    <s v="Male"/>
    <x v="0"/>
    <s v="Kenya"/>
    <s v="Africa"/>
    <n v="15"/>
    <n v="30"/>
    <n v="15"/>
  </r>
  <r>
    <s v="Sale"/>
    <x v="110"/>
    <x v="1"/>
    <n v="10022"/>
    <s v="Macys"/>
    <x v="1"/>
    <n v="1"/>
    <x v="1"/>
    <x v="1"/>
    <s v="Male"/>
    <x v="0"/>
    <s v="Kenya"/>
    <s v="Africa"/>
    <n v="15"/>
    <n v="30"/>
    <n v="15"/>
  </r>
  <r>
    <s v="Sale"/>
    <x v="111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112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113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114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115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116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117"/>
    <x v="1"/>
    <n v="10022"/>
    <s v="Macys"/>
    <x v="1"/>
    <n v="1"/>
    <x v="1"/>
    <x v="1"/>
    <s v="Male"/>
    <x v="0"/>
    <s v="Kenya"/>
    <s v="Africa"/>
    <n v="15"/>
    <n v="30"/>
    <n v="15"/>
  </r>
  <r>
    <s v="Sale"/>
    <x v="118"/>
    <x v="1"/>
    <n v="10022"/>
    <s v="Macys"/>
    <x v="1"/>
    <n v="1"/>
    <x v="1"/>
    <x v="1"/>
    <s v="Male"/>
    <x v="0"/>
    <s v="Kenya"/>
    <s v="Africa"/>
    <n v="15"/>
    <n v="30"/>
    <n v="15"/>
  </r>
  <r>
    <s v="Sale"/>
    <x v="119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120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121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122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123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124"/>
    <x v="1"/>
    <n v="10022"/>
    <s v="Macys"/>
    <x v="1"/>
    <n v="1"/>
    <x v="1"/>
    <x v="1"/>
    <s v="Male"/>
    <x v="0"/>
    <s v="Kenya"/>
    <s v="Africa"/>
    <n v="15"/>
    <n v="30"/>
    <n v="15"/>
  </r>
  <r>
    <s v="Sale"/>
    <x v="125"/>
    <x v="1"/>
    <n v="10022"/>
    <s v="Macys"/>
    <x v="1"/>
    <n v="1"/>
    <x v="1"/>
    <x v="1"/>
    <s v="Male"/>
    <x v="0"/>
    <s v="Kenya"/>
    <s v="Africa"/>
    <n v="15"/>
    <n v="30"/>
    <n v="15"/>
  </r>
  <r>
    <s v="Sale"/>
    <x v="126"/>
    <x v="1"/>
    <n v="10022"/>
    <s v="Patrick Stevens"/>
    <x v="0"/>
    <n v="1"/>
    <x v="1"/>
    <x v="1"/>
    <s v="Male"/>
    <x v="0"/>
    <s v="Kenya"/>
    <s v="Africa"/>
    <n v="15"/>
    <n v="30"/>
    <n v="15"/>
  </r>
  <r>
    <s v="Sale"/>
    <x v="127"/>
    <x v="1"/>
    <n v="10022"/>
    <s v="Ryan Stevens"/>
    <x v="0"/>
    <n v="1"/>
    <x v="1"/>
    <x v="1"/>
    <s v="Male"/>
    <x v="0"/>
    <s v="Kenya"/>
    <s v="Africa"/>
    <n v="15"/>
    <n v="30"/>
    <n v="15"/>
  </r>
  <r>
    <s v="Sale"/>
    <x v="128"/>
    <x v="1"/>
    <n v="10022"/>
    <s v="Tony Ferguson"/>
    <x v="0"/>
    <n v="1"/>
    <x v="1"/>
    <x v="1"/>
    <s v="Male"/>
    <x v="0"/>
    <s v="Kenya"/>
    <s v="Africa"/>
    <n v="15"/>
    <n v="30"/>
    <n v="15"/>
  </r>
  <r>
    <s v="Sale"/>
    <x v="129"/>
    <x v="1"/>
    <n v="10022"/>
    <s v="Bruce Henderson"/>
    <x v="0"/>
    <n v="1"/>
    <x v="1"/>
    <x v="1"/>
    <s v="Male"/>
    <x v="0"/>
    <s v="Kenya"/>
    <s v="Africa"/>
    <n v="15"/>
    <n v="30"/>
    <n v="15"/>
  </r>
  <r>
    <s v="Sale"/>
    <x v="130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131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132"/>
    <x v="3"/>
    <n v="10022"/>
    <s v="Barneys New York"/>
    <x v="1"/>
    <n v="1"/>
    <x v="2"/>
    <x v="1"/>
    <s v="Male"/>
    <x v="2"/>
    <s v="Moldova"/>
    <s v="Eastern Europe"/>
    <n v="475"/>
    <n v="600"/>
    <n v="125"/>
  </r>
  <r>
    <s v="Sale"/>
    <x v="133"/>
    <x v="0"/>
    <n v="90005"/>
    <s v="Arthur Johnston"/>
    <x v="0"/>
    <n v="1"/>
    <x v="0"/>
    <x v="0"/>
    <s v="Male"/>
    <x v="0"/>
    <s v="Ethiopia"/>
    <s v="Africa"/>
    <n v="10"/>
    <n v="20"/>
    <n v="10"/>
  </r>
  <r>
    <s v="Sale"/>
    <x v="134"/>
    <x v="1"/>
    <n v="10022"/>
    <s v="Andrew Henderson"/>
    <x v="0"/>
    <n v="1"/>
    <x v="1"/>
    <x v="1"/>
    <s v="Male"/>
    <x v="0"/>
    <s v="Kenya"/>
    <s v="Africa"/>
    <n v="15"/>
    <n v="30"/>
    <n v="15"/>
  </r>
  <r>
    <s v="Sale"/>
    <x v="135"/>
    <x v="1"/>
    <n v="10022"/>
    <s v="Macys"/>
    <x v="1"/>
    <n v="1"/>
    <x v="1"/>
    <x v="1"/>
    <s v="Male"/>
    <x v="0"/>
    <s v="Kenya"/>
    <s v="Africa"/>
    <n v="15"/>
    <n v="30"/>
    <n v="15"/>
  </r>
  <r>
    <s v="Sale"/>
    <x v="136"/>
    <x v="1"/>
    <n v="10022"/>
    <s v="Macys"/>
    <x v="1"/>
    <n v="1"/>
    <x v="1"/>
    <x v="1"/>
    <s v="Male"/>
    <x v="0"/>
    <s v="Kenya"/>
    <s v="Africa"/>
    <n v="15"/>
    <n v="30"/>
    <n v="15"/>
  </r>
  <r>
    <s v="Sale"/>
    <x v="137"/>
    <x v="1"/>
    <n v="10022"/>
    <s v="Macys"/>
    <x v="1"/>
    <n v="1"/>
    <x v="1"/>
    <x v="1"/>
    <s v="Male"/>
    <x v="0"/>
    <s v="Kenya"/>
    <s v="Africa"/>
    <n v="15"/>
    <n v="30"/>
    <n v="15"/>
  </r>
  <r>
    <s v="Sale"/>
    <x v="138"/>
    <x v="1"/>
    <n v="10022"/>
    <s v="Macys"/>
    <x v="1"/>
    <n v="1"/>
    <x v="1"/>
    <x v="1"/>
    <s v="Male"/>
    <x v="0"/>
    <s v="Kenya"/>
    <s v="Africa"/>
    <n v="15"/>
    <n v="30"/>
    <n v="15"/>
  </r>
  <r>
    <s v="Sale"/>
    <x v="139"/>
    <x v="1"/>
    <n v="10022"/>
    <s v="Macys"/>
    <x v="1"/>
    <n v="1"/>
    <x v="1"/>
    <x v="1"/>
    <s v="Male"/>
    <x v="0"/>
    <s v="Kenya"/>
    <s v="Africa"/>
    <n v="15"/>
    <n v="30"/>
    <n v="15"/>
  </r>
  <r>
    <s v="Sale"/>
    <x v="140"/>
    <x v="1"/>
    <n v="10022"/>
    <s v="Macys"/>
    <x v="1"/>
    <n v="1"/>
    <x v="1"/>
    <x v="1"/>
    <s v="Male"/>
    <x v="0"/>
    <s v="Kenya"/>
    <s v="Africa"/>
    <n v="15"/>
    <n v="30"/>
    <n v="15"/>
  </r>
  <r>
    <s v="Sale"/>
    <x v="141"/>
    <x v="1"/>
    <n v="10022"/>
    <s v="Macys"/>
    <x v="1"/>
    <n v="1"/>
    <x v="1"/>
    <x v="1"/>
    <s v="Male"/>
    <x v="0"/>
    <s v="Kenya"/>
    <s v="Africa"/>
    <n v="15"/>
    <n v="30"/>
    <n v="15"/>
  </r>
  <r>
    <s v="Sale"/>
    <x v="142"/>
    <x v="1"/>
    <n v="10022"/>
    <s v="Macys"/>
    <x v="1"/>
    <n v="1"/>
    <x v="1"/>
    <x v="1"/>
    <s v="Male"/>
    <x v="0"/>
    <s v="Kenya"/>
    <s v="Africa"/>
    <n v="15"/>
    <n v="30"/>
    <n v="15"/>
  </r>
  <r>
    <s v="Sale"/>
    <x v="143"/>
    <x v="1"/>
    <n v="10022"/>
    <s v="Macys"/>
    <x v="1"/>
    <n v="1"/>
    <x v="1"/>
    <x v="1"/>
    <s v="Male"/>
    <x v="0"/>
    <s v="Kenya"/>
    <s v="Africa"/>
    <n v="15"/>
    <n v="30"/>
    <n v="15"/>
  </r>
  <r>
    <s v="Sale"/>
    <x v="144"/>
    <x v="1"/>
    <n v="10022"/>
    <s v="Macys"/>
    <x v="1"/>
    <n v="1"/>
    <x v="1"/>
    <x v="1"/>
    <s v="Male"/>
    <x v="0"/>
    <s v="Kenya"/>
    <s v="Africa"/>
    <n v="15"/>
    <n v="30"/>
    <n v="15"/>
  </r>
  <r>
    <s v="Sale"/>
    <x v="145"/>
    <x v="1"/>
    <n v="10022"/>
    <s v="Macys"/>
    <x v="1"/>
    <n v="1"/>
    <x v="1"/>
    <x v="1"/>
    <s v="Male"/>
    <x v="0"/>
    <s v="Kenya"/>
    <s v="Africa"/>
    <n v="15"/>
    <n v="30"/>
    <n v="15"/>
  </r>
  <r>
    <s v="Sale"/>
    <x v="146"/>
    <x v="1"/>
    <n v="10022"/>
    <s v="Macys"/>
    <x v="1"/>
    <n v="1"/>
    <x v="1"/>
    <x v="1"/>
    <s v="Male"/>
    <x v="0"/>
    <s v="Kenya"/>
    <s v="Africa"/>
    <n v="15"/>
    <n v="30"/>
    <n v="15"/>
  </r>
  <r>
    <s v="Sale"/>
    <x v="147"/>
    <x v="1"/>
    <n v="10022"/>
    <s v="Macys"/>
    <x v="1"/>
    <n v="1"/>
    <x v="1"/>
    <x v="1"/>
    <s v="Male"/>
    <x v="0"/>
    <s v="Kenya"/>
    <s v="Africa"/>
    <n v="15"/>
    <n v="30"/>
    <n v="15"/>
  </r>
  <r>
    <s v="Sale"/>
    <x v="148"/>
    <x v="1"/>
    <n v="10022"/>
    <s v="Macys"/>
    <x v="1"/>
    <n v="1"/>
    <x v="1"/>
    <x v="1"/>
    <s v="Male"/>
    <x v="0"/>
    <s v="Kenya"/>
    <s v="Africa"/>
    <n v="15"/>
    <n v="30"/>
    <n v="15"/>
  </r>
  <r>
    <s v="Sale"/>
    <x v="149"/>
    <x v="1"/>
    <n v="10022"/>
    <s v="Macys"/>
    <x v="1"/>
    <n v="1"/>
    <x v="1"/>
    <x v="1"/>
    <s v="Male"/>
    <x v="0"/>
    <s v="Kenya"/>
    <s v="Africa"/>
    <n v="15"/>
    <n v="30"/>
    <n v="15"/>
  </r>
  <r>
    <s v="Sale"/>
    <x v="150"/>
    <x v="1"/>
    <n v="10022"/>
    <s v="Macys"/>
    <x v="1"/>
    <n v="1"/>
    <x v="1"/>
    <x v="1"/>
    <s v="Male"/>
    <x v="0"/>
    <s v="Kenya"/>
    <s v="Africa"/>
    <n v="15"/>
    <n v="30"/>
    <n v="15"/>
  </r>
  <r>
    <s v="Sale"/>
    <x v="151"/>
    <x v="1"/>
    <n v="10022"/>
    <s v="Macys"/>
    <x v="1"/>
    <n v="1"/>
    <x v="1"/>
    <x v="1"/>
    <s v="Male"/>
    <x v="0"/>
    <s v="Kenya"/>
    <s v="Africa"/>
    <n v="15"/>
    <n v="30"/>
    <n v="15"/>
  </r>
  <r>
    <s v="Sale"/>
    <x v="152"/>
    <x v="1"/>
    <n v="10022"/>
    <s v="Macys"/>
    <x v="1"/>
    <n v="1"/>
    <x v="1"/>
    <x v="1"/>
    <s v="Male"/>
    <x v="0"/>
    <s v="Kenya"/>
    <s v="Africa"/>
    <n v="15"/>
    <n v="30"/>
    <n v="15"/>
  </r>
  <r>
    <s v="Sale"/>
    <x v="153"/>
    <x v="1"/>
    <n v="10022"/>
    <s v="Macys"/>
    <x v="1"/>
    <n v="1"/>
    <x v="1"/>
    <x v="1"/>
    <s v="Male"/>
    <x v="0"/>
    <s v="Kenya"/>
    <s v="Africa"/>
    <n v="15"/>
    <n v="30"/>
    <n v="15"/>
  </r>
  <r>
    <s v="Sale"/>
    <x v="154"/>
    <x v="1"/>
    <n v="10022"/>
    <s v="Oscar Howard"/>
    <x v="0"/>
    <n v="1"/>
    <x v="1"/>
    <x v="1"/>
    <s v="Male"/>
    <x v="0"/>
    <s v="Kenya"/>
    <s v="Africa"/>
    <n v="15"/>
    <n v="30"/>
    <n v="15"/>
  </r>
  <r>
    <s v="Sale"/>
    <x v="155"/>
    <x v="1"/>
    <n v="10022"/>
    <s v="James Watson"/>
    <x v="0"/>
    <n v="1"/>
    <x v="1"/>
    <x v="1"/>
    <s v="Male"/>
    <x v="0"/>
    <s v="Kenya"/>
    <s v="Africa"/>
    <n v="15"/>
    <n v="30"/>
    <n v="15"/>
  </r>
  <r>
    <s v="Sale"/>
    <x v="156"/>
    <x v="1"/>
    <n v="10022"/>
    <s v="Sam Warren"/>
    <x v="0"/>
    <n v="1"/>
    <x v="1"/>
    <x v="1"/>
    <s v="Male"/>
    <x v="0"/>
    <s v="Kenya"/>
    <s v="Africa"/>
    <n v="15"/>
    <n v="30"/>
    <n v="15"/>
  </r>
  <r>
    <s v="Sale"/>
    <x v="157"/>
    <x v="1"/>
    <n v="10022"/>
    <s v="Dainton Smith"/>
    <x v="0"/>
    <n v="1"/>
    <x v="1"/>
    <x v="1"/>
    <s v="Male"/>
    <x v="0"/>
    <s v="Kenya"/>
    <s v="Africa"/>
    <n v="15"/>
    <n v="30"/>
    <n v="15"/>
  </r>
  <r>
    <s v="Sale"/>
    <x v="158"/>
    <x v="1"/>
    <n v="10022"/>
    <s v="Alfred Cole"/>
    <x v="0"/>
    <n v="1"/>
    <x v="1"/>
    <x v="1"/>
    <s v="Male"/>
    <x v="0"/>
    <s v="Kenya"/>
    <s v="Africa"/>
    <n v="15"/>
    <n v="30"/>
    <n v="15"/>
  </r>
  <r>
    <s v="Sale"/>
    <x v="159"/>
    <x v="1"/>
    <n v="10022"/>
    <s v="Ryan Campbell"/>
    <x v="0"/>
    <n v="1"/>
    <x v="1"/>
    <x v="1"/>
    <s v="Male"/>
    <x v="0"/>
    <s v="Kenya"/>
    <s v="Africa"/>
    <n v="15"/>
    <n v="30"/>
    <n v="15"/>
  </r>
  <r>
    <s v="Sale"/>
    <x v="160"/>
    <x v="1"/>
    <n v="10022"/>
    <s v="Luke Ryan"/>
    <x v="0"/>
    <n v="1"/>
    <x v="1"/>
    <x v="1"/>
    <s v="Male"/>
    <x v="0"/>
    <s v="Kenya"/>
    <s v="Africa"/>
    <n v="15"/>
    <n v="30"/>
    <n v="15"/>
  </r>
  <r>
    <s v="Sale"/>
    <x v="161"/>
    <x v="1"/>
    <n v="10022"/>
    <s v="Oliver Hall"/>
    <x v="0"/>
    <n v="1"/>
    <x v="1"/>
    <x v="1"/>
    <s v="Male"/>
    <x v="0"/>
    <s v="Kenya"/>
    <s v="Africa"/>
    <n v="15"/>
    <n v="30"/>
    <n v="15"/>
  </r>
  <r>
    <s v="Sale"/>
    <x v="162"/>
    <x v="1"/>
    <n v="10022"/>
    <s v="William Richards"/>
    <x v="0"/>
    <n v="1"/>
    <x v="1"/>
    <x v="1"/>
    <s v="Male"/>
    <x v="0"/>
    <s v="Kenya"/>
    <s v="Africa"/>
    <n v="15"/>
    <n v="30"/>
    <n v="15"/>
  </r>
  <r>
    <s v="Sale"/>
    <x v="163"/>
    <x v="1"/>
    <n v="10022"/>
    <s v="James Harper"/>
    <x v="0"/>
    <n v="1"/>
    <x v="1"/>
    <x v="1"/>
    <s v="Male"/>
    <x v="0"/>
    <s v="Kenya"/>
    <s v="Africa"/>
    <n v="15"/>
    <n v="30"/>
    <n v="15"/>
  </r>
  <r>
    <s v="Sale"/>
    <x v="164"/>
    <x v="1"/>
    <n v="10022"/>
    <s v="Patrick Mason"/>
    <x v="0"/>
    <n v="1"/>
    <x v="1"/>
    <x v="1"/>
    <s v="Male"/>
    <x v="0"/>
    <s v="Kenya"/>
    <s v="Africa"/>
    <n v="15"/>
    <n v="30"/>
    <n v="15"/>
  </r>
  <r>
    <s v="Sale"/>
    <x v="165"/>
    <x v="1"/>
    <n v="10022"/>
    <s v="Macys"/>
    <x v="1"/>
    <n v="1"/>
    <x v="1"/>
    <x v="1"/>
    <s v="Male"/>
    <x v="0"/>
    <s v="Kenya"/>
    <s v="Africa"/>
    <n v="15"/>
    <n v="30"/>
    <n v="15"/>
  </r>
  <r>
    <s v="Sale"/>
    <x v="166"/>
    <x v="1"/>
    <n v="33101"/>
    <s v="Kohls"/>
    <x v="1"/>
    <n v="1"/>
    <x v="0"/>
    <x v="2"/>
    <s v="Male"/>
    <x v="0"/>
    <s v="Kenya"/>
    <s v="Africa"/>
    <n v="15"/>
    <n v="30"/>
    <n v="15"/>
  </r>
  <r>
    <s v="Sale"/>
    <x v="167"/>
    <x v="0"/>
    <n v="80123"/>
    <s v="Oliver Rogers"/>
    <x v="0"/>
    <n v="1"/>
    <x v="2"/>
    <x v="3"/>
    <s v="Male"/>
    <x v="0"/>
    <s v="Ethiopia"/>
    <s v="Africa"/>
    <n v="10"/>
    <n v="20"/>
    <n v="10"/>
  </r>
  <r>
    <s v="Sale"/>
    <x v="168"/>
    <x v="0"/>
    <n v="80123"/>
    <s v="Preston Parker"/>
    <x v="0"/>
    <n v="1"/>
    <x v="2"/>
    <x v="3"/>
    <s v="Male"/>
    <x v="0"/>
    <s v="Ethiopia"/>
    <s v="Africa"/>
    <n v="10"/>
    <n v="20"/>
    <n v="10"/>
  </r>
  <r>
    <s v="Sale"/>
    <x v="169"/>
    <x v="0"/>
    <n v="80123"/>
    <s v="Carl Cole"/>
    <x v="0"/>
    <n v="1"/>
    <x v="2"/>
    <x v="3"/>
    <s v="Male"/>
    <x v="0"/>
    <s v="Ethiopia"/>
    <s v="Africa"/>
    <n v="10"/>
    <n v="20"/>
    <n v="10"/>
  </r>
  <r>
    <s v="Sale"/>
    <x v="170"/>
    <x v="0"/>
    <n v="80123"/>
    <s v="Clark Johnston"/>
    <x v="0"/>
    <n v="1"/>
    <x v="2"/>
    <x v="3"/>
    <s v="Male"/>
    <x v="0"/>
    <s v="Ethiopia"/>
    <s v="Africa"/>
    <n v="10"/>
    <n v="20"/>
    <n v="10"/>
  </r>
  <r>
    <s v="Sale"/>
    <x v="171"/>
    <x v="0"/>
    <n v="80123"/>
    <s v="David Hunt"/>
    <x v="0"/>
    <n v="1"/>
    <x v="2"/>
    <x v="3"/>
    <s v="Male"/>
    <x v="0"/>
    <s v="Ethiopia"/>
    <s v="Africa"/>
    <n v="10"/>
    <n v="20"/>
    <n v="10"/>
  </r>
  <r>
    <s v="Sale"/>
    <x v="172"/>
    <x v="0"/>
    <n v="80123"/>
    <s v="David Ross"/>
    <x v="0"/>
    <n v="1"/>
    <x v="2"/>
    <x v="3"/>
    <s v="Male"/>
    <x v="0"/>
    <s v="Ethiopia"/>
    <s v="Africa"/>
    <n v="10"/>
    <n v="20"/>
    <n v="10"/>
  </r>
  <r>
    <s v="Sale"/>
    <x v="173"/>
    <x v="0"/>
    <n v="80123"/>
    <s v="James Johnson"/>
    <x v="0"/>
    <n v="1"/>
    <x v="2"/>
    <x v="3"/>
    <s v="Male"/>
    <x v="0"/>
    <s v="Ethiopia"/>
    <s v="Africa"/>
    <n v="10"/>
    <n v="20"/>
    <n v="10"/>
  </r>
  <r>
    <s v="Sale"/>
    <x v="174"/>
    <x v="0"/>
    <n v="80123"/>
    <s v="Sawyer Hawkins"/>
    <x v="0"/>
    <n v="1"/>
    <x v="2"/>
    <x v="3"/>
    <s v="Male"/>
    <x v="0"/>
    <s v="Ethiopia"/>
    <s v="Africa"/>
    <n v="10"/>
    <n v="20"/>
    <n v="10"/>
  </r>
  <r>
    <s v="Sale"/>
    <x v="175"/>
    <x v="0"/>
    <n v="80123"/>
    <s v="Spike Walker"/>
    <x v="0"/>
    <n v="1"/>
    <x v="2"/>
    <x v="3"/>
    <s v="Male"/>
    <x v="0"/>
    <s v="Ethiopia"/>
    <s v="Africa"/>
    <n v="10"/>
    <n v="20"/>
    <n v="10"/>
  </r>
  <r>
    <s v="Sale"/>
    <x v="176"/>
    <x v="0"/>
    <n v="80123"/>
    <s v="Stuart Warren"/>
    <x v="0"/>
    <n v="1"/>
    <x v="2"/>
    <x v="3"/>
    <s v="Male"/>
    <x v="0"/>
    <s v="Ethiopia"/>
    <s v="Africa"/>
    <n v="10"/>
    <n v="20"/>
    <n v="10"/>
  </r>
  <r>
    <s v="Sale"/>
    <x v="177"/>
    <x v="4"/>
    <n v="80123"/>
    <s v="Daryl Ross"/>
    <x v="0"/>
    <n v="1"/>
    <x v="2"/>
    <x v="3"/>
    <s v="Female"/>
    <x v="2"/>
    <s v="Romania"/>
    <s v="Eastern Europe"/>
    <n v="350"/>
    <n v="450"/>
    <n v="100"/>
  </r>
  <r>
    <s v="Sale"/>
    <x v="178"/>
    <x v="0"/>
    <n v="80123"/>
    <s v="Oliver Allen"/>
    <x v="0"/>
    <n v="1"/>
    <x v="2"/>
    <x v="3"/>
    <s v="Male"/>
    <x v="0"/>
    <s v="Ethiopia"/>
    <s v="Africa"/>
    <n v="10"/>
    <n v="20"/>
    <n v="10"/>
  </r>
  <r>
    <s v="Sale"/>
    <x v="179"/>
    <x v="0"/>
    <n v="80123"/>
    <s v="David Montgomery"/>
    <x v="0"/>
    <n v="1"/>
    <x v="2"/>
    <x v="3"/>
    <s v="Male"/>
    <x v="0"/>
    <s v="Ethiopia"/>
    <s v="Africa"/>
    <n v="10"/>
    <n v="20"/>
    <n v="10"/>
  </r>
  <r>
    <s v="Sale"/>
    <x v="180"/>
    <x v="0"/>
    <n v="80123"/>
    <s v="Abraham Carroll"/>
    <x v="0"/>
    <n v="1"/>
    <x v="2"/>
    <x v="3"/>
    <s v="Male"/>
    <x v="0"/>
    <s v="Ethiopia"/>
    <s v="Africa"/>
    <n v="10"/>
    <n v="20"/>
    <n v="10"/>
  </r>
  <r>
    <s v="Sale"/>
    <x v="181"/>
    <x v="4"/>
    <n v="80123"/>
    <s v="Walter Cameron"/>
    <x v="0"/>
    <n v="1"/>
    <x v="2"/>
    <x v="3"/>
    <s v="Female"/>
    <x v="2"/>
    <s v="Romania"/>
    <s v="Eastern Europe"/>
    <n v="350"/>
    <n v="450"/>
    <n v="100"/>
  </r>
  <r>
    <s v="Sale"/>
    <x v="182"/>
    <x v="0"/>
    <n v="80123"/>
    <s v="Spike Roberts"/>
    <x v="0"/>
    <n v="1"/>
    <x v="2"/>
    <x v="3"/>
    <s v="Male"/>
    <x v="0"/>
    <s v="Ethiopia"/>
    <s v="Africa"/>
    <n v="10"/>
    <n v="20"/>
    <n v="10"/>
  </r>
  <r>
    <s v="Sale"/>
    <x v="183"/>
    <x v="0"/>
    <n v="80123"/>
    <s v="Garry Ross"/>
    <x v="0"/>
    <n v="1"/>
    <x v="2"/>
    <x v="3"/>
    <s v="Male"/>
    <x v="0"/>
    <s v="Ethiopia"/>
    <s v="Africa"/>
    <n v="10"/>
    <n v="20"/>
    <n v="10"/>
  </r>
  <r>
    <s v="Sale"/>
    <x v="184"/>
    <x v="0"/>
    <n v="80123"/>
    <s v="Alfred Johnston"/>
    <x v="0"/>
    <n v="1"/>
    <x v="2"/>
    <x v="3"/>
    <s v="Male"/>
    <x v="0"/>
    <s v="Ethiopia"/>
    <s v="Africa"/>
    <n v="10"/>
    <n v="20"/>
    <n v="10"/>
  </r>
  <r>
    <s v="Sale"/>
    <x v="185"/>
    <x v="0"/>
    <n v="80123"/>
    <s v="Jack Ellis"/>
    <x v="0"/>
    <n v="1"/>
    <x v="2"/>
    <x v="3"/>
    <s v="Male"/>
    <x v="0"/>
    <s v="Ethiopia"/>
    <s v="Africa"/>
    <n v="10"/>
    <n v="20"/>
    <n v="10"/>
  </r>
  <r>
    <s v="Sale"/>
    <x v="186"/>
    <x v="0"/>
    <n v="80123"/>
    <s v="Arnold Morrison"/>
    <x v="0"/>
    <n v="1"/>
    <x v="2"/>
    <x v="3"/>
    <s v="Male"/>
    <x v="0"/>
    <s v="Ethiopia"/>
    <s v="Africa"/>
    <n v="10"/>
    <n v="20"/>
    <n v="10"/>
  </r>
  <r>
    <s v="Sale"/>
    <x v="187"/>
    <x v="0"/>
    <n v="80123"/>
    <s v="Alexander Stewart"/>
    <x v="0"/>
    <n v="1"/>
    <x v="2"/>
    <x v="3"/>
    <s v="Male"/>
    <x v="0"/>
    <s v="Ethiopia"/>
    <s v="Africa"/>
    <n v="10"/>
    <n v="20"/>
    <n v="10"/>
  </r>
  <r>
    <s v="Sale"/>
    <x v="188"/>
    <x v="0"/>
    <n v="80123"/>
    <s v="Marcus Casey"/>
    <x v="0"/>
    <n v="1"/>
    <x v="2"/>
    <x v="3"/>
    <s v="Male"/>
    <x v="0"/>
    <s v="Ethiopia"/>
    <s v="Africa"/>
    <n v="10"/>
    <n v="20"/>
    <n v="10"/>
  </r>
  <r>
    <s v="Sale"/>
    <x v="189"/>
    <x v="0"/>
    <n v="80123"/>
    <s v="Sawyer Chapman"/>
    <x v="0"/>
    <n v="1"/>
    <x v="2"/>
    <x v="3"/>
    <s v="Male"/>
    <x v="0"/>
    <s v="Ethiopia"/>
    <s v="Africa"/>
    <n v="10"/>
    <n v="20"/>
    <n v="10"/>
  </r>
  <r>
    <s v="Sale"/>
    <x v="190"/>
    <x v="0"/>
    <n v="80123"/>
    <s v="Jordan Cameron"/>
    <x v="0"/>
    <n v="1"/>
    <x v="2"/>
    <x v="3"/>
    <s v="Male"/>
    <x v="0"/>
    <s v="Ethiopia"/>
    <s v="Africa"/>
    <n v="10"/>
    <n v="20"/>
    <n v="10"/>
  </r>
  <r>
    <s v="Sale"/>
    <x v="191"/>
    <x v="0"/>
    <n v="80123"/>
    <s v="Maximilian Hawkins"/>
    <x v="0"/>
    <n v="1"/>
    <x v="2"/>
    <x v="3"/>
    <s v="Male"/>
    <x v="0"/>
    <s v="Ethiopia"/>
    <s v="Africa"/>
    <n v="10"/>
    <n v="20"/>
    <n v="10"/>
  </r>
  <r>
    <s v="Sale"/>
    <x v="192"/>
    <x v="0"/>
    <n v="80123"/>
    <s v="Eric Parker"/>
    <x v="0"/>
    <n v="1"/>
    <x v="2"/>
    <x v="3"/>
    <s v="Male"/>
    <x v="0"/>
    <s v="Ethiopia"/>
    <s v="Africa"/>
    <n v="10"/>
    <n v="20"/>
    <n v="10"/>
  </r>
  <r>
    <s v="Sale"/>
    <x v="193"/>
    <x v="0"/>
    <n v="80123"/>
    <s v="Daryl Parker"/>
    <x v="0"/>
    <n v="1"/>
    <x v="2"/>
    <x v="3"/>
    <s v="Male"/>
    <x v="0"/>
    <s v="Ethiopia"/>
    <s v="Africa"/>
    <n v="10"/>
    <n v="20"/>
    <n v="10"/>
  </r>
  <r>
    <s v="Sale"/>
    <x v="194"/>
    <x v="0"/>
    <n v="80123"/>
    <s v="Elian Carroll"/>
    <x v="0"/>
    <n v="1"/>
    <x v="2"/>
    <x v="3"/>
    <s v="Male"/>
    <x v="0"/>
    <s v="Ethiopia"/>
    <s v="Africa"/>
    <n v="10"/>
    <n v="20"/>
    <n v="10"/>
  </r>
  <r>
    <s v="Sale"/>
    <x v="195"/>
    <x v="0"/>
    <n v="80123"/>
    <s v="Ted Hunt"/>
    <x v="0"/>
    <n v="1"/>
    <x v="2"/>
    <x v="3"/>
    <s v="Male"/>
    <x v="0"/>
    <s v="Ethiopia"/>
    <s v="Africa"/>
    <n v="10"/>
    <n v="20"/>
    <n v="10"/>
  </r>
  <r>
    <s v="Sale"/>
    <x v="196"/>
    <x v="0"/>
    <n v="80123"/>
    <s v="Ryan Rogers"/>
    <x v="0"/>
    <n v="1"/>
    <x v="2"/>
    <x v="3"/>
    <s v="Male"/>
    <x v="0"/>
    <s v="Ethiopia"/>
    <s v="Africa"/>
    <n v="10"/>
    <n v="20"/>
    <n v="10"/>
  </r>
  <r>
    <s v="Sale"/>
    <x v="197"/>
    <x v="4"/>
    <n v="80123"/>
    <s v="Carlos Hamilton"/>
    <x v="0"/>
    <n v="1"/>
    <x v="2"/>
    <x v="3"/>
    <s v="Female"/>
    <x v="2"/>
    <s v="Romania"/>
    <s v="Eastern Europe"/>
    <n v="350"/>
    <n v="450"/>
    <n v="100"/>
  </r>
  <r>
    <s v="Sale"/>
    <x v="198"/>
    <x v="0"/>
    <n v="80123"/>
    <s v="Martin Williams"/>
    <x v="0"/>
    <n v="1"/>
    <x v="2"/>
    <x v="3"/>
    <s v="Male"/>
    <x v="0"/>
    <s v="Ethiopia"/>
    <s v="Africa"/>
    <n v="10"/>
    <n v="20"/>
    <n v="10"/>
  </r>
  <r>
    <s v="Sale"/>
    <x v="199"/>
    <x v="0"/>
    <n v="80123"/>
    <s v="Paul Adams"/>
    <x v="0"/>
    <n v="1"/>
    <x v="2"/>
    <x v="3"/>
    <s v="Male"/>
    <x v="0"/>
    <s v="Ethiopia"/>
    <s v="Africa"/>
    <n v="10"/>
    <n v="20"/>
    <n v="10"/>
  </r>
  <r>
    <s v="Sale"/>
    <x v="200"/>
    <x v="0"/>
    <n v="80123"/>
    <s v="Alexander Ellis"/>
    <x v="0"/>
    <n v="1"/>
    <x v="2"/>
    <x v="3"/>
    <s v="Male"/>
    <x v="0"/>
    <s v="Ethiopia"/>
    <s v="Africa"/>
    <n v="10"/>
    <n v="20"/>
    <n v="10"/>
  </r>
  <r>
    <s v="Sale"/>
    <x v="201"/>
    <x v="0"/>
    <n v="80123"/>
    <s v="Clark Turner"/>
    <x v="0"/>
    <n v="1"/>
    <x v="2"/>
    <x v="3"/>
    <s v="Male"/>
    <x v="0"/>
    <s v="Ethiopia"/>
    <s v="Africa"/>
    <n v="10"/>
    <n v="20"/>
    <n v="10"/>
  </r>
  <r>
    <s v="Sale"/>
    <x v="202"/>
    <x v="0"/>
    <n v="80123"/>
    <s v="Alfred Harper"/>
    <x v="0"/>
    <n v="1"/>
    <x v="2"/>
    <x v="3"/>
    <s v="Male"/>
    <x v="0"/>
    <s v="Ethiopia"/>
    <s v="Africa"/>
    <n v="10"/>
    <n v="20"/>
    <n v="10"/>
  </r>
  <r>
    <s v="Sale"/>
    <x v="203"/>
    <x v="0"/>
    <n v="80123"/>
    <s v="Thomas Anderson"/>
    <x v="0"/>
    <n v="1"/>
    <x v="2"/>
    <x v="3"/>
    <s v="Male"/>
    <x v="0"/>
    <s v="Ethiopia"/>
    <s v="Africa"/>
    <n v="10"/>
    <n v="20"/>
    <n v="10"/>
  </r>
  <r>
    <s v="Sale"/>
    <x v="204"/>
    <x v="0"/>
    <n v="80123"/>
    <s v="Aston Hill"/>
    <x v="0"/>
    <n v="1"/>
    <x v="2"/>
    <x v="3"/>
    <s v="Male"/>
    <x v="0"/>
    <s v="Ethiopia"/>
    <s v="Africa"/>
    <n v="10"/>
    <n v="20"/>
    <n v="10"/>
  </r>
  <r>
    <s v="Sale"/>
    <x v="205"/>
    <x v="0"/>
    <n v="80123"/>
    <s v="Blake Lloyd"/>
    <x v="0"/>
    <n v="1"/>
    <x v="2"/>
    <x v="3"/>
    <s v="Male"/>
    <x v="0"/>
    <s v="Ethiopia"/>
    <s v="Africa"/>
    <n v="10"/>
    <n v="20"/>
    <n v="10"/>
  </r>
  <r>
    <s v="Sale"/>
    <x v="206"/>
    <x v="0"/>
    <n v="80123"/>
    <s v="Ashton Cameron"/>
    <x v="0"/>
    <n v="1"/>
    <x v="2"/>
    <x v="3"/>
    <s v="Male"/>
    <x v="0"/>
    <s v="Ethiopia"/>
    <s v="Africa"/>
    <n v="10"/>
    <n v="20"/>
    <n v="10"/>
  </r>
  <r>
    <s v="Sale"/>
    <x v="207"/>
    <x v="0"/>
    <n v="80123"/>
    <s v="Stuart Johnson"/>
    <x v="0"/>
    <n v="1"/>
    <x v="2"/>
    <x v="3"/>
    <s v="Male"/>
    <x v="0"/>
    <s v="Ethiopia"/>
    <s v="Africa"/>
    <n v="10"/>
    <n v="20"/>
    <n v="10"/>
  </r>
  <r>
    <s v="Sale"/>
    <x v="208"/>
    <x v="0"/>
    <n v="80123"/>
    <s v="John Anderson"/>
    <x v="0"/>
    <n v="1"/>
    <x v="2"/>
    <x v="3"/>
    <s v="Male"/>
    <x v="0"/>
    <s v="Ethiopia"/>
    <s v="Africa"/>
    <n v="10"/>
    <n v="20"/>
    <n v="10"/>
  </r>
  <r>
    <s v="Sale"/>
    <x v="209"/>
    <x v="0"/>
    <n v="80123"/>
    <s v="Brad Bennett"/>
    <x v="0"/>
    <n v="1"/>
    <x v="2"/>
    <x v="3"/>
    <s v="Male"/>
    <x v="0"/>
    <s v="Ethiopia"/>
    <s v="Africa"/>
    <n v="10"/>
    <n v="20"/>
    <n v="10"/>
  </r>
  <r>
    <s v="Sale"/>
    <x v="210"/>
    <x v="3"/>
    <n v="80123"/>
    <s v="Albert Alexander"/>
    <x v="0"/>
    <n v="1"/>
    <x v="2"/>
    <x v="3"/>
    <s v="Male"/>
    <x v="2"/>
    <s v="Moldova"/>
    <s v="Eastern Europe"/>
    <n v="475"/>
    <n v="600"/>
    <n v="125"/>
  </r>
  <r>
    <s v="Sale"/>
    <x v="211"/>
    <x v="0"/>
    <n v="80123"/>
    <s v="Garry Smith"/>
    <x v="0"/>
    <n v="1"/>
    <x v="2"/>
    <x v="3"/>
    <s v="Male"/>
    <x v="0"/>
    <s v="Ethiopia"/>
    <s v="Africa"/>
    <n v="10"/>
    <n v="20"/>
    <n v="10"/>
  </r>
  <r>
    <s v="Sale"/>
    <x v="212"/>
    <x v="0"/>
    <n v="80123"/>
    <s v="Adam Perkins"/>
    <x v="0"/>
    <n v="1"/>
    <x v="2"/>
    <x v="3"/>
    <s v="Male"/>
    <x v="0"/>
    <s v="Ethiopia"/>
    <s v="Africa"/>
    <n v="10"/>
    <n v="20"/>
    <n v="10"/>
  </r>
  <r>
    <s v="Sale"/>
    <x v="213"/>
    <x v="0"/>
    <n v="80123"/>
    <s v="Dexter Wright"/>
    <x v="0"/>
    <n v="1"/>
    <x v="2"/>
    <x v="3"/>
    <s v="Male"/>
    <x v="0"/>
    <s v="Ethiopia"/>
    <s v="Africa"/>
    <n v="10"/>
    <n v="20"/>
    <n v="10"/>
  </r>
  <r>
    <s v="Sale"/>
    <x v="214"/>
    <x v="0"/>
    <n v="80123"/>
    <s v="Jack Howard"/>
    <x v="0"/>
    <n v="1"/>
    <x v="2"/>
    <x v="3"/>
    <s v="Male"/>
    <x v="0"/>
    <s v="Ethiopia"/>
    <s v="Africa"/>
    <n v="10"/>
    <n v="20"/>
    <n v="10"/>
  </r>
  <r>
    <s v="Sale"/>
    <x v="215"/>
    <x v="0"/>
    <n v="80123"/>
    <s v="Adrian Evans"/>
    <x v="0"/>
    <n v="1"/>
    <x v="2"/>
    <x v="3"/>
    <s v="Male"/>
    <x v="0"/>
    <s v="Ethiopia"/>
    <s v="Africa"/>
    <n v="10"/>
    <n v="20"/>
    <n v="10"/>
  </r>
  <r>
    <s v="Sale"/>
    <x v="216"/>
    <x v="0"/>
    <n v="80123"/>
    <s v="Tony Adams"/>
    <x v="0"/>
    <n v="1"/>
    <x v="2"/>
    <x v="3"/>
    <s v="Male"/>
    <x v="0"/>
    <s v="Ethiopia"/>
    <s v="Africa"/>
    <n v="10"/>
    <n v="20"/>
    <n v="10"/>
  </r>
  <r>
    <s v="Sale"/>
    <x v="217"/>
    <x v="0"/>
    <n v="80123"/>
    <s v="Max Cooper"/>
    <x v="0"/>
    <n v="1"/>
    <x v="2"/>
    <x v="3"/>
    <s v="Male"/>
    <x v="0"/>
    <s v="Ethiopia"/>
    <s v="Africa"/>
    <n v="10"/>
    <n v="20"/>
    <n v="10"/>
  </r>
  <r>
    <s v="Sale"/>
    <x v="218"/>
    <x v="0"/>
    <n v="80123"/>
    <s v="Dominik Myers"/>
    <x v="0"/>
    <n v="1"/>
    <x v="2"/>
    <x v="3"/>
    <s v="Male"/>
    <x v="0"/>
    <s v="Ethiopia"/>
    <s v="Africa"/>
    <n v="10"/>
    <n v="20"/>
    <n v="10"/>
  </r>
  <r>
    <s v="Sale"/>
    <x v="219"/>
    <x v="0"/>
    <n v="80123"/>
    <s v="James Wells"/>
    <x v="0"/>
    <n v="1"/>
    <x v="2"/>
    <x v="3"/>
    <s v="Male"/>
    <x v="0"/>
    <s v="Ethiopia"/>
    <s v="Africa"/>
    <n v="10"/>
    <n v="20"/>
    <n v="10"/>
  </r>
  <r>
    <s v="Sale"/>
    <x v="220"/>
    <x v="0"/>
    <n v="80123"/>
    <s v="Andrew Foster"/>
    <x v="0"/>
    <n v="1"/>
    <x v="2"/>
    <x v="3"/>
    <s v="Male"/>
    <x v="0"/>
    <s v="Ethiopia"/>
    <s v="Africa"/>
    <n v="10"/>
    <n v="20"/>
    <n v="10"/>
  </r>
  <r>
    <s v="Sale"/>
    <x v="221"/>
    <x v="0"/>
    <n v="80123"/>
    <s v="Antony Barnes"/>
    <x v="0"/>
    <n v="1"/>
    <x v="2"/>
    <x v="3"/>
    <s v="Male"/>
    <x v="0"/>
    <s v="Ethiopia"/>
    <s v="Africa"/>
    <n v="10"/>
    <n v="20"/>
    <n v="10"/>
  </r>
  <r>
    <s v="Sale"/>
    <x v="222"/>
    <x v="0"/>
    <n v="80123"/>
    <s v="Fenton Phillips"/>
    <x v="0"/>
    <n v="1"/>
    <x v="2"/>
    <x v="3"/>
    <s v="Male"/>
    <x v="0"/>
    <s v="Ethiopia"/>
    <s v="Africa"/>
    <n v="10"/>
    <n v="20"/>
    <n v="10"/>
  </r>
  <r>
    <s v="Sale"/>
    <x v="223"/>
    <x v="0"/>
    <n v="80123"/>
    <s v="Aiden Cooper"/>
    <x v="0"/>
    <n v="1"/>
    <x v="2"/>
    <x v="3"/>
    <s v="Male"/>
    <x v="0"/>
    <s v="Ethiopia"/>
    <s v="Africa"/>
    <n v="10"/>
    <n v="20"/>
    <n v="10"/>
  </r>
  <r>
    <s v="Sale"/>
    <x v="224"/>
    <x v="0"/>
    <n v="80123"/>
    <s v="Aiden Anderson"/>
    <x v="0"/>
    <n v="1"/>
    <x v="2"/>
    <x v="3"/>
    <s v="Male"/>
    <x v="0"/>
    <s v="Ethiopia"/>
    <s v="Africa"/>
    <n v="10"/>
    <n v="20"/>
    <n v="10"/>
  </r>
  <r>
    <s v="Sale"/>
    <x v="225"/>
    <x v="0"/>
    <n v="80123"/>
    <s v="Lenny Foster"/>
    <x v="0"/>
    <n v="1"/>
    <x v="2"/>
    <x v="3"/>
    <s v="Male"/>
    <x v="0"/>
    <s v="Ethiopia"/>
    <s v="Africa"/>
    <n v="10"/>
    <n v="20"/>
    <n v="10"/>
  </r>
  <r>
    <s v="Sale"/>
    <x v="226"/>
    <x v="0"/>
    <n v="80123"/>
    <s v="Steven Stevens"/>
    <x v="0"/>
    <n v="1"/>
    <x v="2"/>
    <x v="3"/>
    <s v="Male"/>
    <x v="0"/>
    <s v="Ethiopia"/>
    <s v="Africa"/>
    <n v="10"/>
    <n v="20"/>
    <n v="10"/>
  </r>
  <r>
    <s v="Sale"/>
    <x v="227"/>
    <x v="3"/>
    <n v="80123"/>
    <s v="George Ferguson"/>
    <x v="0"/>
    <n v="1"/>
    <x v="2"/>
    <x v="3"/>
    <s v="Male"/>
    <x v="2"/>
    <s v="Moldova"/>
    <s v="Eastern Europe"/>
    <n v="475"/>
    <n v="600"/>
    <n v="125"/>
  </r>
  <r>
    <s v="Sale"/>
    <x v="228"/>
    <x v="0"/>
    <n v="80123"/>
    <s v="Edgar Warren"/>
    <x v="0"/>
    <n v="1"/>
    <x v="2"/>
    <x v="3"/>
    <s v="Male"/>
    <x v="0"/>
    <s v="Ethiopia"/>
    <s v="Africa"/>
    <n v="10"/>
    <n v="20"/>
    <n v="10"/>
  </r>
  <r>
    <s v="Sale"/>
    <x v="229"/>
    <x v="0"/>
    <n v="80123"/>
    <s v="Vincent Ferguson"/>
    <x v="0"/>
    <n v="1"/>
    <x v="2"/>
    <x v="3"/>
    <s v="Male"/>
    <x v="0"/>
    <s v="Ethiopia"/>
    <s v="Africa"/>
    <n v="10"/>
    <n v="20"/>
    <n v="10"/>
  </r>
  <r>
    <s v="Sale"/>
    <x v="230"/>
    <x v="0"/>
    <n v="80123"/>
    <s v="Daniel Rogers"/>
    <x v="0"/>
    <n v="1"/>
    <x v="2"/>
    <x v="3"/>
    <s v="Male"/>
    <x v="0"/>
    <s v="Ethiopia"/>
    <s v="Africa"/>
    <n v="10"/>
    <n v="20"/>
    <n v="10"/>
  </r>
  <r>
    <s v="Sale"/>
    <x v="231"/>
    <x v="0"/>
    <n v="80123"/>
    <s v="Oliver Owens"/>
    <x v="0"/>
    <n v="1"/>
    <x v="2"/>
    <x v="3"/>
    <s v="Male"/>
    <x v="0"/>
    <s v="Ethiopia"/>
    <s v="Africa"/>
    <n v="10"/>
    <n v="20"/>
    <n v="10"/>
  </r>
  <r>
    <s v="Sale"/>
    <x v="232"/>
    <x v="0"/>
    <n v="80123"/>
    <s v="Carl Henderson"/>
    <x v="0"/>
    <n v="1"/>
    <x v="2"/>
    <x v="3"/>
    <s v="Male"/>
    <x v="0"/>
    <s v="Ethiopia"/>
    <s v="Africa"/>
    <n v="10"/>
    <n v="20"/>
    <n v="10"/>
  </r>
  <r>
    <s v="Sale"/>
    <x v="233"/>
    <x v="0"/>
    <n v="80123"/>
    <s v="Luke Cole"/>
    <x v="0"/>
    <n v="1"/>
    <x v="2"/>
    <x v="3"/>
    <s v="Male"/>
    <x v="0"/>
    <s v="Ethiopia"/>
    <s v="Africa"/>
    <n v="10"/>
    <n v="20"/>
    <n v="10"/>
  </r>
  <r>
    <s v="Sale"/>
    <x v="234"/>
    <x v="0"/>
    <n v="80123"/>
    <s v="Adam Chapman"/>
    <x v="0"/>
    <n v="1"/>
    <x v="2"/>
    <x v="3"/>
    <s v="Male"/>
    <x v="0"/>
    <s v="Ethiopia"/>
    <s v="Africa"/>
    <n v="10"/>
    <n v="20"/>
    <n v="10"/>
  </r>
  <r>
    <s v="Sale"/>
    <x v="235"/>
    <x v="0"/>
    <n v="80123"/>
    <s v="Vincent Stevens"/>
    <x v="0"/>
    <n v="1"/>
    <x v="2"/>
    <x v="3"/>
    <s v="Male"/>
    <x v="0"/>
    <s v="Ethiopia"/>
    <s v="Africa"/>
    <n v="10"/>
    <n v="20"/>
    <n v="10"/>
  </r>
  <r>
    <s v="Sale"/>
    <x v="236"/>
    <x v="0"/>
    <n v="80123"/>
    <s v="Fenton Tucker"/>
    <x v="0"/>
    <n v="1"/>
    <x v="2"/>
    <x v="3"/>
    <s v="Male"/>
    <x v="0"/>
    <s v="Ethiopia"/>
    <s v="Africa"/>
    <n v="10"/>
    <n v="20"/>
    <n v="10"/>
  </r>
  <r>
    <s v="Sale"/>
    <x v="237"/>
    <x v="0"/>
    <n v="80123"/>
    <s v="Freddie Thomas"/>
    <x v="0"/>
    <n v="1"/>
    <x v="2"/>
    <x v="3"/>
    <s v="Male"/>
    <x v="0"/>
    <s v="Ethiopia"/>
    <s v="Africa"/>
    <n v="10"/>
    <n v="20"/>
    <n v="10"/>
  </r>
  <r>
    <s v="Sale"/>
    <x v="238"/>
    <x v="0"/>
    <n v="80123"/>
    <s v="Dainton Stevens"/>
    <x v="0"/>
    <n v="1"/>
    <x v="2"/>
    <x v="3"/>
    <s v="Male"/>
    <x v="0"/>
    <s v="Ethiopia"/>
    <s v="Africa"/>
    <n v="10"/>
    <n v="20"/>
    <n v="10"/>
  </r>
  <r>
    <s v="Sale"/>
    <x v="239"/>
    <x v="3"/>
    <n v="80123"/>
    <s v="Jared Jones"/>
    <x v="0"/>
    <n v="1"/>
    <x v="2"/>
    <x v="3"/>
    <s v="Male"/>
    <x v="2"/>
    <s v="Moldova"/>
    <s v="Eastern Europe"/>
    <n v="475"/>
    <n v="600"/>
    <n v="125"/>
  </r>
  <r>
    <s v="Sale"/>
    <x v="240"/>
    <x v="0"/>
    <n v="80123"/>
    <s v="Max Phillips"/>
    <x v="0"/>
    <n v="1"/>
    <x v="2"/>
    <x v="3"/>
    <s v="Male"/>
    <x v="0"/>
    <s v="Ethiopia"/>
    <s v="Africa"/>
    <n v="10"/>
    <n v="20"/>
    <n v="10"/>
  </r>
  <r>
    <s v="Sale"/>
    <x v="241"/>
    <x v="0"/>
    <n v="80123"/>
    <s v="Brad Anderson"/>
    <x v="0"/>
    <n v="1"/>
    <x v="2"/>
    <x v="3"/>
    <s v="Male"/>
    <x v="0"/>
    <s v="Ethiopia"/>
    <s v="Africa"/>
    <n v="10"/>
    <n v="20"/>
    <n v="10"/>
  </r>
  <r>
    <s v="Sale"/>
    <x v="242"/>
    <x v="0"/>
    <n v="80123"/>
    <s v="Oscar Wilson"/>
    <x v="0"/>
    <n v="1"/>
    <x v="2"/>
    <x v="3"/>
    <s v="Male"/>
    <x v="0"/>
    <s v="Ethiopia"/>
    <s v="Africa"/>
    <n v="10"/>
    <n v="20"/>
    <n v="10"/>
  </r>
  <r>
    <s v="Sale"/>
    <x v="243"/>
    <x v="0"/>
    <n v="80123"/>
    <s v="Ryan Johnston"/>
    <x v="0"/>
    <n v="1"/>
    <x v="2"/>
    <x v="3"/>
    <s v="Male"/>
    <x v="0"/>
    <s v="Ethiopia"/>
    <s v="Africa"/>
    <n v="10"/>
    <n v="20"/>
    <n v="10"/>
  </r>
  <r>
    <s v="Sale"/>
    <x v="244"/>
    <x v="0"/>
    <n v="80123"/>
    <s v="Henry Barnes"/>
    <x v="0"/>
    <n v="1"/>
    <x v="2"/>
    <x v="3"/>
    <s v="Male"/>
    <x v="0"/>
    <s v="Ethiopia"/>
    <s v="Africa"/>
    <n v="10"/>
    <n v="20"/>
    <n v="10"/>
  </r>
  <r>
    <s v="Sale"/>
    <x v="245"/>
    <x v="0"/>
    <n v="80123"/>
    <s v="Martin Harris"/>
    <x v="0"/>
    <n v="1"/>
    <x v="2"/>
    <x v="3"/>
    <s v="Male"/>
    <x v="0"/>
    <s v="Ethiopia"/>
    <s v="Africa"/>
    <n v="10"/>
    <n v="20"/>
    <n v="10"/>
  </r>
  <r>
    <s v="Sale"/>
    <x v="246"/>
    <x v="0"/>
    <n v="80123"/>
    <s v="Arnold Turner"/>
    <x v="0"/>
    <n v="1"/>
    <x v="2"/>
    <x v="3"/>
    <s v="Male"/>
    <x v="0"/>
    <s v="Ethiopia"/>
    <s v="Africa"/>
    <n v="10"/>
    <n v="20"/>
    <n v="10"/>
  </r>
  <r>
    <s v="Sale"/>
    <x v="247"/>
    <x v="1"/>
    <n v="80123"/>
    <s v="Dale Spencer"/>
    <x v="0"/>
    <n v="1"/>
    <x v="2"/>
    <x v="3"/>
    <s v="Male"/>
    <x v="0"/>
    <s v="Kenya"/>
    <s v="Africa"/>
    <n v="15"/>
    <n v="30"/>
    <n v="15"/>
  </r>
  <r>
    <s v="Sale"/>
    <x v="248"/>
    <x v="0"/>
    <n v="80123"/>
    <s v="Adison Morris"/>
    <x v="0"/>
    <n v="1"/>
    <x v="2"/>
    <x v="3"/>
    <s v="Male"/>
    <x v="0"/>
    <s v="Ethiopia"/>
    <s v="Africa"/>
    <n v="10"/>
    <n v="20"/>
    <n v="10"/>
  </r>
  <r>
    <s v="Sale"/>
    <x v="249"/>
    <x v="0"/>
    <n v="80123"/>
    <s v="Walter Morrison"/>
    <x v="0"/>
    <n v="1"/>
    <x v="2"/>
    <x v="3"/>
    <s v="Male"/>
    <x v="0"/>
    <s v="Ethiopia"/>
    <s v="Africa"/>
    <n v="10"/>
    <n v="20"/>
    <n v="10"/>
  </r>
  <r>
    <s v="Sale"/>
    <x v="250"/>
    <x v="0"/>
    <n v="80123"/>
    <s v="Haris Hall"/>
    <x v="0"/>
    <n v="1"/>
    <x v="2"/>
    <x v="3"/>
    <s v="Male"/>
    <x v="0"/>
    <s v="Ethiopia"/>
    <s v="Africa"/>
    <n v="10"/>
    <n v="20"/>
    <n v="10"/>
  </r>
  <r>
    <s v="Sale"/>
    <x v="251"/>
    <x v="3"/>
    <n v="80123"/>
    <s v="Lyndon Cameron"/>
    <x v="0"/>
    <n v="1"/>
    <x v="2"/>
    <x v="3"/>
    <s v="Male"/>
    <x v="2"/>
    <s v="Moldova"/>
    <s v="Eastern Europe"/>
    <n v="475"/>
    <n v="600"/>
    <n v="125"/>
  </r>
  <r>
    <s v="Sale"/>
    <x v="252"/>
    <x v="1"/>
    <n v="80123"/>
    <s v="John Jones"/>
    <x v="0"/>
    <n v="1"/>
    <x v="2"/>
    <x v="3"/>
    <s v="Male"/>
    <x v="0"/>
    <s v="Kenya"/>
    <s v="Africa"/>
    <n v="15"/>
    <n v="30"/>
    <n v="15"/>
  </r>
  <r>
    <s v="Sale"/>
    <x v="253"/>
    <x v="0"/>
    <n v="80123"/>
    <s v="Patrick Tucker"/>
    <x v="0"/>
    <n v="1"/>
    <x v="2"/>
    <x v="3"/>
    <s v="Male"/>
    <x v="0"/>
    <s v="Ethiopia"/>
    <s v="Africa"/>
    <n v="10"/>
    <n v="20"/>
    <n v="10"/>
  </r>
  <r>
    <s v="Sale"/>
    <x v="254"/>
    <x v="0"/>
    <n v="80123"/>
    <s v="Robert Ryan"/>
    <x v="0"/>
    <n v="1"/>
    <x v="2"/>
    <x v="3"/>
    <s v="Male"/>
    <x v="0"/>
    <s v="Ethiopia"/>
    <s v="Africa"/>
    <n v="10"/>
    <n v="20"/>
    <n v="10"/>
  </r>
  <r>
    <s v="Sale"/>
    <x v="255"/>
    <x v="0"/>
    <n v="80123"/>
    <s v="Justin Crawford"/>
    <x v="0"/>
    <n v="1"/>
    <x v="2"/>
    <x v="3"/>
    <s v="Male"/>
    <x v="0"/>
    <s v="Ethiopia"/>
    <s v="Africa"/>
    <n v="10"/>
    <n v="20"/>
    <n v="10"/>
  </r>
  <r>
    <s v="Sale"/>
    <x v="256"/>
    <x v="1"/>
    <n v="80123"/>
    <s v="Garry Martin"/>
    <x v="0"/>
    <n v="1"/>
    <x v="2"/>
    <x v="3"/>
    <s v="Male"/>
    <x v="0"/>
    <s v="Kenya"/>
    <s v="Africa"/>
    <n v="15"/>
    <n v="30"/>
    <n v="15"/>
  </r>
  <r>
    <s v="Sale"/>
    <x v="257"/>
    <x v="0"/>
    <n v="80123"/>
    <s v="Alfred Martin"/>
    <x v="0"/>
    <n v="1"/>
    <x v="2"/>
    <x v="3"/>
    <s v="Male"/>
    <x v="0"/>
    <s v="Ethiopia"/>
    <s v="Africa"/>
    <n v="10"/>
    <n v="20"/>
    <n v="10"/>
  </r>
  <r>
    <s v="Sale"/>
    <x v="258"/>
    <x v="0"/>
    <n v="80123"/>
    <s v="Andrew Murray"/>
    <x v="0"/>
    <n v="1"/>
    <x v="2"/>
    <x v="3"/>
    <s v="Male"/>
    <x v="0"/>
    <s v="Ethiopia"/>
    <s v="Africa"/>
    <n v="10"/>
    <n v="20"/>
    <n v="10"/>
  </r>
  <r>
    <s v="Sale"/>
    <x v="259"/>
    <x v="0"/>
    <n v="80123"/>
    <s v="Richard Carter"/>
    <x v="0"/>
    <n v="1"/>
    <x v="2"/>
    <x v="3"/>
    <s v="Male"/>
    <x v="0"/>
    <s v="Ethiopia"/>
    <s v="Africa"/>
    <n v="10"/>
    <n v="20"/>
    <n v="10"/>
  </r>
  <r>
    <s v="Sale"/>
    <x v="260"/>
    <x v="3"/>
    <n v="80123"/>
    <s v="Daryl Cole"/>
    <x v="0"/>
    <n v="1"/>
    <x v="2"/>
    <x v="3"/>
    <s v="Male"/>
    <x v="2"/>
    <s v="Moldova"/>
    <s v="Eastern Europe"/>
    <n v="475"/>
    <n v="600"/>
    <n v="125"/>
  </r>
  <r>
    <s v="Sale"/>
    <x v="261"/>
    <x v="0"/>
    <n v="80123"/>
    <s v="Arthur Robinson"/>
    <x v="0"/>
    <n v="1"/>
    <x v="2"/>
    <x v="3"/>
    <s v="Male"/>
    <x v="0"/>
    <s v="Ethiopia"/>
    <s v="Africa"/>
    <n v="10"/>
    <n v="20"/>
    <n v="10"/>
  </r>
  <r>
    <s v="Sale"/>
    <x v="262"/>
    <x v="0"/>
    <n v="80123"/>
    <s v="Ted Myers"/>
    <x v="0"/>
    <n v="1"/>
    <x v="2"/>
    <x v="3"/>
    <s v="Male"/>
    <x v="0"/>
    <s v="Ethiopia"/>
    <s v="Africa"/>
    <n v="10"/>
    <n v="20"/>
    <n v="10"/>
  </r>
  <r>
    <s v="Sale"/>
    <x v="263"/>
    <x v="0"/>
    <n v="80123"/>
    <s v="Victor Smith"/>
    <x v="0"/>
    <n v="1"/>
    <x v="2"/>
    <x v="3"/>
    <s v="Male"/>
    <x v="0"/>
    <s v="Ethiopia"/>
    <s v="Africa"/>
    <n v="10"/>
    <n v="20"/>
    <n v="10"/>
  </r>
  <r>
    <s v="Sale"/>
    <x v="264"/>
    <x v="0"/>
    <n v="80123"/>
    <s v="John Smith"/>
    <x v="0"/>
    <n v="1"/>
    <x v="2"/>
    <x v="3"/>
    <s v="Male"/>
    <x v="0"/>
    <s v="Ethiopia"/>
    <s v="Africa"/>
    <n v="10"/>
    <n v="20"/>
    <n v="10"/>
  </r>
  <r>
    <s v="Sale"/>
    <x v="265"/>
    <x v="3"/>
    <n v="80123"/>
    <s v="Alexander Warren"/>
    <x v="0"/>
    <n v="1"/>
    <x v="2"/>
    <x v="3"/>
    <s v="Male"/>
    <x v="2"/>
    <s v="Moldova"/>
    <s v="Eastern Europe"/>
    <n v="475"/>
    <n v="600"/>
    <n v="125"/>
  </r>
  <r>
    <s v="Sale"/>
    <x v="266"/>
    <x v="0"/>
    <n v="80123"/>
    <s v="Adrian Thompson"/>
    <x v="0"/>
    <n v="1"/>
    <x v="2"/>
    <x v="3"/>
    <s v="Male"/>
    <x v="0"/>
    <s v="Ethiopia"/>
    <s v="Africa"/>
    <n v="10"/>
    <n v="20"/>
    <n v="10"/>
  </r>
  <r>
    <s v="Sale"/>
    <x v="267"/>
    <x v="0"/>
    <n v="80123"/>
    <s v="Andrew Watson"/>
    <x v="0"/>
    <n v="1"/>
    <x v="2"/>
    <x v="3"/>
    <s v="Male"/>
    <x v="0"/>
    <s v="Ethiopia"/>
    <s v="Africa"/>
    <n v="10"/>
    <n v="20"/>
    <n v="10"/>
  </r>
  <r>
    <s v="Sale"/>
    <x v="268"/>
    <x v="0"/>
    <n v="80123"/>
    <s v="Charlie Harper"/>
    <x v="0"/>
    <n v="1"/>
    <x v="2"/>
    <x v="3"/>
    <s v="Male"/>
    <x v="0"/>
    <s v="Ethiopia"/>
    <s v="Africa"/>
    <n v="10"/>
    <n v="20"/>
    <n v="10"/>
  </r>
  <r>
    <s v="Sale"/>
    <x v="269"/>
    <x v="1"/>
    <n v="80123"/>
    <s v="Aiden Moore"/>
    <x v="0"/>
    <n v="1"/>
    <x v="1"/>
    <x v="3"/>
    <s v="Male"/>
    <x v="0"/>
    <s v="Kenya"/>
    <s v="Africa"/>
    <n v="15"/>
    <n v="30"/>
    <n v="15"/>
  </r>
  <r>
    <s v="Sale"/>
    <x v="270"/>
    <x v="0"/>
    <n v="80123"/>
    <s v="Luke Bennett"/>
    <x v="0"/>
    <n v="1"/>
    <x v="2"/>
    <x v="3"/>
    <s v="Male"/>
    <x v="0"/>
    <s v="Ethiopia"/>
    <s v="Africa"/>
    <n v="10"/>
    <n v="20"/>
    <n v="10"/>
  </r>
  <r>
    <s v="Sale"/>
    <x v="271"/>
    <x v="1"/>
    <n v="80123"/>
    <s v="Haris Thompson"/>
    <x v="0"/>
    <n v="1"/>
    <x v="1"/>
    <x v="3"/>
    <s v="Male"/>
    <x v="0"/>
    <s v="Kenya"/>
    <s v="Africa"/>
    <n v="15"/>
    <n v="30"/>
    <n v="15"/>
  </r>
  <r>
    <s v="Sale"/>
    <x v="272"/>
    <x v="0"/>
    <n v="80123"/>
    <s v="Mike Allen"/>
    <x v="0"/>
    <n v="1"/>
    <x v="2"/>
    <x v="3"/>
    <s v="Male"/>
    <x v="0"/>
    <s v="Ethiopia"/>
    <s v="Africa"/>
    <n v="10"/>
    <n v="20"/>
    <n v="10"/>
  </r>
  <r>
    <s v="Sale"/>
    <x v="273"/>
    <x v="1"/>
    <n v="80123"/>
    <s v="Martin Murray"/>
    <x v="0"/>
    <n v="1"/>
    <x v="1"/>
    <x v="3"/>
    <s v="Male"/>
    <x v="0"/>
    <s v="Kenya"/>
    <s v="Africa"/>
    <n v="15"/>
    <n v="30"/>
    <n v="15"/>
  </r>
  <r>
    <s v="Sale"/>
    <x v="274"/>
    <x v="0"/>
    <n v="80123"/>
    <s v="Dainton Morgan"/>
    <x v="0"/>
    <n v="1"/>
    <x v="2"/>
    <x v="3"/>
    <s v="Male"/>
    <x v="0"/>
    <s v="Ethiopia"/>
    <s v="Africa"/>
    <n v="10"/>
    <n v="20"/>
    <n v="10"/>
  </r>
  <r>
    <s v="Sale"/>
    <x v="275"/>
    <x v="0"/>
    <n v="80123"/>
    <s v="Mike Reed"/>
    <x v="0"/>
    <n v="1"/>
    <x v="2"/>
    <x v="3"/>
    <s v="Male"/>
    <x v="0"/>
    <s v="Ethiopia"/>
    <s v="Africa"/>
    <n v="10"/>
    <n v="20"/>
    <n v="10"/>
  </r>
  <r>
    <s v="Sale"/>
    <x v="276"/>
    <x v="0"/>
    <n v="80123"/>
    <s v="Dexter Stewart"/>
    <x v="0"/>
    <n v="1"/>
    <x v="2"/>
    <x v="3"/>
    <s v="Male"/>
    <x v="0"/>
    <s v="Ethiopia"/>
    <s v="Africa"/>
    <n v="10"/>
    <n v="20"/>
    <n v="10"/>
  </r>
  <r>
    <s v="Sale"/>
    <x v="277"/>
    <x v="0"/>
    <n v="80123"/>
    <s v="James Sullivan"/>
    <x v="0"/>
    <n v="1"/>
    <x v="2"/>
    <x v="3"/>
    <s v="Male"/>
    <x v="0"/>
    <s v="Ethiopia"/>
    <s v="Africa"/>
    <n v="10"/>
    <n v="20"/>
    <n v="10"/>
  </r>
  <r>
    <s v="Sale"/>
    <x v="278"/>
    <x v="0"/>
    <n v="80123"/>
    <s v="John Williams"/>
    <x v="0"/>
    <n v="1"/>
    <x v="2"/>
    <x v="3"/>
    <s v="Male"/>
    <x v="0"/>
    <s v="Ethiopia"/>
    <s v="Africa"/>
    <n v="10"/>
    <n v="20"/>
    <n v="10"/>
  </r>
  <r>
    <s v="Sale"/>
    <x v="279"/>
    <x v="0"/>
    <n v="80123"/>
    <s v="Edwin Lloyd"/>
    <x v="0"/>
    <n v="1"/>
    <x v="2"/>
    <x v="3"/>
    <s v="Male"/>
    <x v="0"/>
    <s v="Ethiopia"/>
    <s v="Africa"/>
    <n v="10"/>
    <n v="20"/>
    <n v="10"/>
  </r>
  <r>
    <s v="Sale"/>
    <x v="280"/>
    <x v="0"/>
    <n v="80123"/>
    <s v="Julian Lloyd"/>
    <x v="0"/>
    <n v="1"/>
    <x v="2"/>
    <x v="3"/>
    <s v="Male"/>
    <x v="0"/>
    <s v="Ethiopia"/>
    <s v="Africa"/>
    <n v="10"/>
    <n v="20"/>
    <n v="10"/>
  </r>
  <r>
    <s v="Sale"/>
    <x v="281"/>
    <x v="0"/>
    <n v="80123"/>
    <s v="Eddy Harris"/>
    <x v="0"/>
    <n v="1"/>
    <x v="2"/>
    <x v="3"/>
    <s v="Male"/>
    <x v="0"/>
    <s v="Ethiopia"/>
    <s v="Africa"/>
    <n v="10"/>
    <n v="20"/>
    <n v="10"/>
  </r>
  <r>
    <s v="Sale"/>
    <x v="282"/>
    <x v="0"/>
    <n v="80123"/>
    <s v="Stuart Nelson"/>
    <x v="0"/>
    <n v="1"/>
    <x v="2"/>
    <x v="3"/>
    <s v="Male"/>
    <x v="0"/>
    <s v="Ethiopia"/>
    <s v="Africa"/>
    <n v="10"/>
    <n v="20"/>
    <n v="10"/>
  </r>
  <r>
    <s v="Sale"/>
    <x v="283"/>
    <x v="0"/>
    <n v="80123"/>
    <s v="Patrick Turner"/>
    <x v="0"/>
    <n v="1"/>
    <x v="2"/>
    <x v="3"/>
    <s v="Male"/>
    <x v="0"/>
    <s v="Ethiopia"/>
    <s v="Africa"/>
    <n v="10"/>
    <n v="20"/>
    <n v="10"/>
  </r>
  <r>
    <s v="Sale"/>
    <x v="284"/>
    <x v="0"/>
    <n v="80123"/>
    <s v="Dexter Perkins"/>
    <x v="0"/>
    <n v="1"/>
    <x v="2"/>
    <x v="3"/>
    <s v="Male"/>
    <x v="0"/>
    <s v="Ethiopia"/>
    <s v="Africa"/>
    <n v="10"/>
    <n v="20"/>
    <n v="10"/>
  </r>
  <r>
    <s v="Sale"/>
    <x v="285"/>
    <x v="3"/>
    <n v="80123"/>
    <s v="Abraham Turner"/>
    <x v="0"/>
    <n v="1"/>
    <x v="0"/>
    <x v="3"/>
    <s v="Male"/>
    <x v="2"/>
    <s v="Moldova"/>
    <s v="Eastern Europe"/>
    <n v="475"/>
    <n v="600"/>
    <n v="125"/>
  </r>
  <r>
    <s v="Sale"/>
    <x v="286"/>
    <x v="0"/>
    <n v="10022"/>
    <s v="Macys"/>
    <x v="1"/>
    <n v="1"/>
    <x v="1"/>
    <x v="1"/>
    <s v="Male"/>
    <x v="0"/>
    <s v="Ethiopia"/>
    <s v="Africa"/>
    <n v="10"/>
    <n v="20"/>
    <n v="10"/>
  </r>
  <r>
    <s v="Sale"/>
    <x v="287"/>
    <x v="0"/>
    <n v="80123"/>
    <s v="Ryan Murphy"/>
    <x v="0"/>
    <n v="1"/>
    <x v="2"/>
    <x v="3"/>
    <s v="Male"/>
    <x v="0"/>
    <s v="Ethiopia"/>
    <s v="Africa"/>
    <n v="10"/>
    <n v="20"/>
    <n v="10"/>
  </r>
  <r>
    <s v="Sale"/>
    <x v="288"/>
    <x v="0"/>
    <n v="80123"/>
    <s v="Eric Morrison"/>
    <x v="0"/>
    <n v="1"/>
    <x v="2"/>
    <x v="3"/>
    <s v="Male"/>
    <x v="0"/>
    <s v="Ethiopia"/>
    <s v="Africa"/>
    <n v="10"/>
    <n v="20"/>
    <n v="10"/>
  </r>
  <r>
    <s v="Sale"/>
    <x v="289"/>
    <x v="3"/>
    <n v="80123"/>
    <s v="Martin Henderson"/>
    <x v="0"/>
    <n v="1"/>
    <x v="0"/>
    <x v="3"/>
    <s v="Male"/>
    <x v="2"/>
    <s v="Moldova"/>
    <s v="Eastern Europe"/>
    <n v="475"/>
    <n v="600"/>
    <n v="125"/>
  </r>
  <r>
    <s v="Sale"/>
    <x v="290"/>
    <x v="0"/>
    <n v="80123"/>
    <s v="Carlos Murray"/>
    <x v="0"/>
    <n v="1"/>
    <x v="2"/>
    <x v="3"/>
    <s v="Male"/>
    <x v="0"/>
    <s v="Ethiopia"/>
    <s v="Africa"/>
    <n v="10"/>
    <n v="20"/>
    <n v="10"/>
  </r>
  <r>
    <s v="Sale"/>
    <x v="291"/>
    <x v="0"/>
    <n v="80123"/>
    <s v="Daniel Henderson"/>
    <x v="0"/>
    <n v="1"/>
    <x v="2"/>
    <x v="3"/>
    <s v="Male"/>
    <x v="0"/>
    <s v="Ethiopia"/>
    <s v="Africa"/>
    <n v="10"/>
    <n v="20"/>
    <n v="10"/>
  </r>
  <r>
    <s v="Sale"/>
    <x v="292"/>
    <x v="3"/>
    <n v="80123"/>
    <s v="Steven Brooks"/>
    <x v="0"/>
    <n v="1"/>
    <x v="0"/>
    <x v="3"/>
    <s v="Male"/>
    <x v="2"/>
    <s v="Moldova"/>
    <s v="Eastern Europe"/>
    <n v="475"/>
    <n v="600"/>
    <n v="125"/>
  </r>
  <r>
    <s v="Sale"/>
    <x v="293"/>
    <x v="0"/>
    <n v="80123"/>
    <s v="Julian Kelly"/>
    <x v="0"/>
    <n v="1"/>
    <x v="2"/>
    <x v="3"/>
    <s v="Male"/>
    <x v="0"/>
    <s v="Ethiopia"/>
    <s v="Africa"/>
    <n v="10"/>
    <n v="20"/>
    <n v="10"/>
  </r>
  <r>
    <s v="Sale"/>
    <x v="294"/>
    <x v="3"/>
    <n v="80123"/>
    <s v="Harold Jones"/>
    <x v="0"/>
    <n v="1"/>
    <x v="0"/>
    <x v="3"/>
    <s v="Male"/>
    <x v="2"/>
    <s v="Moldova"/>
    <s v="Eastern Europe"/>
    <n v="475"/>
    <n v="600"/>
    <n v="125"/>
  </r>
  <r>
    <s v="Sale"/>
    <x v="295"/>
    <x v="0"/>
    <n v="80123"/>
    <s v="Eric Warren"/>
    <x v="0"/>
    <n v="1"/>
    <x v="2"/>
    <x v="3"/>
    <s v="Male"/>
    <x v="0"/>
    <s v="Ethiopia"/>
    <s v="Africa"/>
    <n v="10"/>
    <n v="20"/>
    <n v="10"/>
  </r>
  <r>
    <s v="Sale"/>
    <x v="296"/>
    <x v="0"/>
    <n v="80123"/>
    <s v="Target"/>
    <x v="1"/>
    <n v="1"/>
    <x v="2"/>
    <x v="3"/>
    <s v="Male"/>
    <x v="0"/>
    <s v="Ethiopia"/>
    <s v="Africa"/>
    <n v="10"/>
    <n v="20"/>
    <n v="10"/>
  </r>
  <r>
    <s v="Sale"/>
    <x v="297"/>
    <x v="0"/>
    <n v="80123"/>
    <s v="Target"/>
    <x v="1"/>
    <n v="1"/>
    <x v="2"/>
    <x v="3"/>
    <s v="Male"/>
    <x v="0"/>
    <s v="Ethiopia"/>
    <s v="Africa"/>
    <n v="10"/>
    <n v="20"/>
    <n v="10"/>
  </r>
  <r>
    <s v="Sale"/>
    <x v="298"/>
    <x v="0"/>
    <n v="80123"/>
    <s v="Target"/>
    <x v="1"/>
    <n v="1"/>
    <x v="2"/>
    <x v="3"/>
    <s v="Male"/>
    <x v="0"/>
    <s v="Ethiopia"/>
    <s v="Africa"/>
    <n v="10"/>
    <n v="20"/>
    <n v="10"/>
  </r>
  <r>
    <s v="Sale"/>
    <x v="299"/>
    <x v="0"/>
    <n v="80123"/>
    <s v="Target"/>
    <x v="1"/>
    <n v="1"/>
    <x v="2"/>
    <x v="3"/>
    <s v="Male"/>
    <x v="0"/>
    <s v="Ethiopia"/>
    <s v="Africa"/>
    <n v="10"/>
    <n v="20"/>
    <n v="10"/>
  </r>
  <r>
    <s v="Sale"/>
    <x v="300"/>
    <x v="0"/>
    <n v="10022"/>
    <s v="Macys"/>
    <x v="1"/>
    <n v="1"/>
    <x v="1"/>
    <x v="1"/>
    <s v="Male"/>
    <x v="0"/>
    <s v="Ethiopia"/>
    <s v="Africa"/>
    <n v="10"/>
    <n v="20"/>
    <n v="10"/>
  </r>
  <r>
    <s v="Sale"/>
    <x v="301"/>
    <x v="0"/>
    <n v="10022"/>
    <s v="Macys"/>
    <x v="1"/>
    <n v="1"/>
    <x v="1"/>
    <x v="1"/>
    <s v="Male"/>
    <x v="0"/>
    <s v="Ethiopia"/>
    <s v="Africa"/>
    <n v="10"/>
    <n v="20"/>
    <n v="10"/>
  </r>
  <r>
    <s v="Sale"/>
    <x v="302"/>
    <x v="0"/>
    <n v="10022"/>
    <s v="Macys"/>
    <x v="1"/>
    <n v="1"/>
    <x v="1"/>
    <x v="1"/>
    <s v="Male"/>
    <x v="0"/>
    <s v="Ethiopia"/>
    <s v="Africa"/>
    <n v="10"/>
    <n v="20"/>
    <n v="10"/>
  </r>
  <r>
    <s v="Sale"/>
    <x v="303"/>
    <x v="0"/>
    <n v="10022"/>
    <s v="Macys"/>
    <x v="1"/>
    <n v="1"/>
    <x v="1"/>
    <x v="1"/>
    <s v="Male"/>
    <x v="0"/>
    <s v="Ethiopia"/>
    <s v="Africa"/>
    <n v="10"/>
    <n v="20"/>
    <n v="10"/>
  </r>
  <r>
    <s v="Sale"/>
    <x v="304"/>
    <x v="5"/>
    <n v="90001"/>
    <s v="Cadie Alexander"/>
    <x v="0"/>
    <n v="1"/>
    <x v="1"/>
    <x v="0"/>
    <s v="Female"/>
    <x v="0"/>
    <s v="Honduras"/>
    <s v="Central America"/>
    <n v="30"/>
    <n v="45"/>
    <n v="15"/>
  </r>
  <r>
    <s v="Sale"/>
    <x v="305"/>
    <x v="5"/>
    <n v="90001"/>
    <s v="Jasmine Wilson"/>
    <x v="0"/>
    <n v="1"/>
    <x v="1"/>
    <x v="0"/>
    <s v="Female"/>
    <x v="0"/>
    <s v="Honduras"/>
    <s v="Central America"/>
    <n v="30"/>
    <n v="45"/>
    <n v="15"/>
  </r>
  <r>
    <s v="Sale"/>
    <x v="306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307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308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309"/>
    <x v="3"/>
    <n v="10001"/>
    <s v="Macys"/>
    <x v="1"/>
    <n v="1"/>
    <x v="2"/>
    <x v="1"/>
    <s v="Male"/>
    <x v="2"/>
    <s v="Moldova"/>
    <s v="Eastern Europe"/>
    <n v="475"/>
    <n v="600"/>
    <n v="125"/>
  </r>
  <r>
    <s v="Sale"/>
    <x v="310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311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312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313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314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315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316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317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318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319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320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321"/>
    <x v="3"/>
    <n v="10001"/>
    <s v="Macys"/>
    <x v="1"/>
    <n v="1"/>
    <x v="2"/>
    <x v="1"/>
    <s v="Male"/>
    <x v="2"/>
    <s v="Moldova"/>
    <s v="Eastern Europe"/>
    <n v="475"/>
    <n v="600"/>
    <n v="125"/>
  </r>
  <r>
    <s v="Sale"/>
    <x v="322"/>
    <x v="3"/>
    <n v="10001"/>
    <s v="Macys"/>
    <x v="1"/>
    <n v="1"/>
    <x v="2"/>
    <x v="1"/>
    <s v="Male"/>
    <x v="2"/>
    <s v="Moldova"/>
    <s v="Eastern Europe"/>
    <n v="475"/>
    <n v="600"/>
    <n v="125"/>
  </r>
  <r>
    <s v="Sale"/>
    <x v="323"/>
    <x v="3"/>
    <n v="10001"/>
    <s v="Macys"/>
    <x v="1"/>
    <n v="1"/>
    <x v="2"/>
    <x v="1"/>
    <s v="Male"/>
    <x v="2"/>
    <s v="Moldova"/>
    <s v="Eastern Europe"/>
    <n v="475"/>
    <n v="600"/>
    <n v="125"/>
  </r>
  <r>
    <s v="Sale"/>
    <x v="324"/>
    <x v="3"/>
    <n v="10001"/>
    <s v="Macys"/>
    <x v="1"/>
    <n v="1"/>
    <x v="2"/>
    <x v="1"/>
    <s v="Male"/>
    <x v="2"/>
    <s v="Moldova"/>
    <s v="Eastern Europe"/>
    <n v="475"/>
    <n v="600"/>
    <n v="125"/>
  </r>
  <r>
    <s v="Sale"/>
    <x v="325"/>
    <x v="3"/>
    <n v="10001"/>
    <s v="Macys"/>
    <x v="1"/>
    <n v="1"/>
    <x v="2"/>
    <x v="1"/>
    <s v="Male"/>
    <x v="2"/>
    <s v="Moldova"/>
    <s v="Eastern Europe"/>
    <n v="475"/>
    <n v="600"/>
    <n v="125"/>
  </r>
  <r>
    <s v="Sale"/>
    <x v="326"/>
    <x v="3"/>
    <n v="10001"/>
    <s v="Sienna Sullivan"/>
    <x v="0"/>
    <n v="1"/>
    <x v="2"/>
    <x v="1"/>
    <s v="Male"/>
    <x v="2"/>
    <s v="Moldova"/>
    <s v="Eastern Europe"/>
    <n v="475"/>
    <n v="600"/>
    <n v="125"/>
  </r>
  <r>
    <s v="Sale"/>
    <x v="327"/>
    <x v="3"/>
    <n v="10001"/>
    <s v="Hailey Foster"/>
    <x v="0"/>
    <n v="1"/>
    <x v="2"/>
    <x v="1"/>
    <s v="Male"/>
    <x v="2"/>
    <s v="Moldova"/>
    <s v="Eastern Europe"/>
    <n v="475"/>
    <n v="600"/>
    <n v="125"/>
  </r>
  <r>
    <s v="Sale"/>
    <x v="328"/>
    <x v="3"/>
    <n v="10001"/>
    <s v="Violet Tucker"/>
    <x v="0"/>
    <n v="1"/>
    <x v="2"/>
    <x v="1"/>
    <s v="Male"/>
    <x v="2"/>
    <s v="Moldova"/>
    <s v="Eastern Europe"/>
    <n v="475"/>
    <n v="600"/>
    <n v="125"/>
  </r>
  <r>
    <s v="Sale"/>
    <x v="329"/>
    <x v="3"/>
    <n v="10001"/>
    <s v="Sienna Davis"/>
    <x v="0"/>
    <n v="1"/>
    <x v="2"/>
    <x v="1"/>
    <s v="Male"/>
    <x v="2"/>
    <s v="Moldova"/>
    <s v="Eastern Europe"/>
    <n v="475"/>
    <n v="600"/>
    <n v="125"/>
  </r>
  <r>
    <s v="Sale"/>
    <x v="330"/>
    <x v="4"/>
    <n v="10001"/>
    <s v="Lucy Jones"/>
    <x v="0"/>
    <n v="1"/>
    <x v="2"/>
    <x v="1"/>
    <s v="Female"/>
    <x v="2"/>
    <s v="Romania"/>
    <s v="Eastern Europe"/>
    <n v="350"/>
    <n v="450"/>
    <n v="100"/>
  </r>
  <r>
    <s v="Sale"/>
    <x v="331"/>
    <x v="5"/>
    <n v="10001"/>
    <s v="Amanda Cooper"/>
    <x v="0"/>
    <n v="1"/>
    <x v="1"/>
    <x v="1"/>
    <s v="Female"/>
    <x v="0"/>
    <s v="Honduras"/>
    <s v="Central America"/>
    <n v="30"/>
    <n v="45"/>
    <n v="15"/>
  </r>
  <r>
    <s v="Sale"/>
    <x v="332"/>
    <x v="5"/>
    <n v="10001"/>
    <s v="Honey Walker"/>
    <x v="0"/>
    <n v="1"/>
    <x v="1"/>
    <x v="1"/>
    <s v="Female"/>
    <x v="0"/>
    <s v="Honduras"/>
    <s v="Central America"/>
    <n v="30"/>
    <n v="45"/>
    <n v="15"/>
  </r>
  <r>
    <s v="Sale"/>
    <x v="333"/>
    <x v="4"/>
    <n v="10001"/>
    <s v="Briony Williams"/>
    <x v="0"/>
    <n v="1"/>
    <x v="2"/>
    <x v="1"/>
    <s v="Female"/>
    <x v="2"/>
    <s v="Romania"/>
    <s v="Eastern Europe"/>
    <n v="350"/>
    <n v="450"/>
    <n v="100"/>
  </r>
  <r>
    <s v="Sale"/>
    <x v="334"/>
    <x v="4"/>
    <n v="10001"/>
    <s v="Miranda Rogers"/>
    <x v="0"/>
    <n v="1"/>
    <x v="2"/>
    <x v="1"/>
    <s v="Female"/>
    <x v="2"/>
    <s v="Romania"/>
    <s v="Eastern Europe"/>
    <n v="350"/>
    <n v="450"/>
    <n v="100"/>
  </r>
  <r>
    <s v="Sale"/>
    <x v="335"/>
    <x v="4"/>
    <n v="10001"/>
    <s v="Macys"/>
    <x v="1"/>
    <n v="1"/>
    <x v="2"/>
    <x v="1"/>
    <s v="Female"/>
    <x v="2"/>
    <s v="Romania"/>
    <s v="Eastern Europe"/>
    <n v="350"/>
    <n v="450"/>
    <n v="100"/>
  </r>
  <r>
    <s v="Sale"/>
    <x v="336"/>
    <x v="4"/>
    <n v="10001"/>
    <s v="Macys"/>
    <x v="1"/>
    <n v="1"/>
    <x v="2"/>
    <x v="1"/>
    <s v="Female"/>
    <x v="2"/>
    <s v="Romania"/>
    <s v="Eastern Europe"/>
    <n v="350"/>
    <n v="450"/>
    <n v="100"/>
  </r>
  <r>
    <s v="Sale"/>
    <x v="337"/>
    <x v="4"/>
    <n v="10001"/>
    <s v="Macys"/>
    <x v="1"/>
    <n v="1"/>
    <x v="2"/>
    <x v="1"/>
    <s v="Female"/>
    <x v="2"/>
    <s v="Romania"/>
    <s v="Eastern Europe"/>
    <n v="350"/>
    <n v="450"/>
    <n v="100"/>
  </r>
  <r>
    <s v="Sale"/>
    <x v="338"/>
    <x v="4"/>
    <n v="10001"/>
    <s v="Macys"/>
    <x v="1"/>
    <n v="1"/>
    <x v="2"/>
    <x v="1"/>
    <s v="Female"/>
    <x v="2"/>
    <s v="Romania"/>
    <s v="Eastern Europe"/>
    <n v="350"/>
    <n v="450"/>
    <n v="100"/>
  </r>
  <r>
    <s v="Sale"/>
    <x v="339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340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341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342"/>
    <x v="5"/>
    <n v="10001"/>
    <s v="Macys"/>
    <x v="1"/>
    <n v="1"/>
    <x v="0"/>
    <x v="1"/>
    <s v="Female"/>
    <x v="0"/>
    <s v="Honduras"/>
    <s v="Central America"/>
    <n v="30"/>
    <n v="45"/>
    <n v="15"/>
  </r>
  <r>
    <s v="Sale"/>
    <x v="343"/>
    <x v="4"/>
    <n v="10001"/>
    <s v="Macys"/>
    <x v="1"/>
    <n v="1"/>
    <x v="0"/>
    <x v="1"/>
    <s v="Female"/>
    <x v="2"/>
    <s v="Romania"/>
    <s v="Eastern Europe"/>
    <n v="350"/>
    <n v="450"/>
    <n v="100"/>
  </r>
  <r>
    <s v="Sale"/>
    <x v="344"/>
    <x v="4"/>
    <n v="10001"/>
    <s v="Macys"/>
    <x v="1"/>
    <n v="1"/>
    <x v="0"/>
    <x v="1"/>
    <s v="Female"/>
    <x v="2"/>
    <s v="Romania"/>
    <s v="Eastern Europe"/>
    <n v="350"/>
    <n v="450"/>
    <n v="100"/>
  </r>
  <r>
    <s v="Sale"/>
    <x v="345"/>
    <x v="6"/>
    <n v="10001"/>
    <s v="Macys"/>
    <x v="1"/>
    <n v="1"/>
    <x v="0"/>
    <x v="1"/>
    <s v="Female"/>
    <x v="1"/>
    <s v="Afghanistan"/>
    <s v="Middle East"/>
    <n v="150"/>
    <n v="75"/>
    <n v="-75"/>
  </r>
  <r>
    <s v="Sale"/>
    <x v="346"/>
    <x v="4"/>
    <n v="10001"/>
    <s v="Macys"/>
    <x v="1"/>
    <n v="1"/>
    <x v="0"/>
    <x v="1"/>
    <s v="Female"/>
    <x v="2"/>
    <s v="Romania"/>
    <s v="Eastern Europe"/>
    <n v="350"/>
    <n v="450"/>
    <n v="100"/>
  </r>
  <r>
    <s v="Sale"/>
    <x v="347"/>
    <x v="5"/>
    <n v="10001"/>
    <s v="Macys"/>
    <x v="1"/>
    <n v="1"/>
    <x v="0"/>
    <x v="1"/>
    <s v="Female"/>
    <x v="0"/>
    <s v="Honduras"/>
    <s v="Central America"/>
    <n v="30"/>
    <n v="45"/>
    <n v="15"/>
  </r>
  <r>
    <s v="Sale"/>
    <x v="348"/>
    <x v="6"/>
    <n v="10001"/>
    <s v="Macys"/>
    <x v="1"/>
    <n v="1"/>
    <x v="0"/>
    <x v="1"/>
    <s v="Female"/>
    <x v="1"/>
    <s v="Afghanistan"/>
    <s v="Middle East"/>
    <n v="150"/>
    <n v="75"/>
    <n v="-75"/>
  </r>
  <r>
    <s v="Sale"/>
    <x v="349"/>
    <x v="5"/>
    <n v="10001"/>
    <s v="Macys"/>
    <x v="1"/>
    <n v="1"/>
    <x v="0"/>
    <x v="1"/>
    <s v="Female"/>
    <x v="0"/>
    <s v="Honduras"/>
    <s v="Central America"/>
    <n v="30"/>
    <n v="45"/>
    <n v="15"/>
  </r>
  <r>
    <s v="Sale"/>
    <x v="350"/>
    <x v="4"/>
    <n v="10001"/>
    <s v="Sarah Higgins"/>
    <x v="0"/>
    <n v="1"/>
    <x v="0"/>
    <x v="1"/>
    <s v="Female"/>
    <x v="2"/>
    <s v="Romania"/>
    <s v="Eastern Europe"/>
    <n v="350"/>
    <n v="450"/>
    <n v="100"/>
  </r>
  <r>
    <s v="Sale"/>
    <x v="351"/>
    <x v="7"/>
    <n v="10001"/>
    <s v="Catherine Hamilton"/>
    <x v="0"/>
    <n v="1"/>
    <x v="1"/>
    <x v="1"/>
    <s v="Female"/>
    <x v="0"/>
    <s v="Guatemala"/>
    <s v="Central America"/>
    <n v="25"/>
    <n v="30"/>
    <n v="5"/>
  </r>
  <r>
    <s v="Sale"/>
    <x v="352"/>
    <x v="4"/>
    <n v="10001"/>
    <s v="Isabella Johnston"/>
    <x v="0"/>
    <n v="1"/>
    <x v="0"/>
    <x v="1"/>
    <s v="Female"/>
    <x v="2"/>
    <s v="Romania"/>
    <s v="Eastern Europe"/>
    <n v="350"/>
    <n v="450"/>
    <n v="100"/>
  </r>
  <r>
    <s v="Sale"/>
    <x v="353"/>
    <x v="6"/>
    <n v="10001"/>
    <s v="Mary Walker"/>
    <x v="0"/>
    <n v="1"/>
    <x v="0"/>
    <x v="1"/>
    <s v="Female"/>
    <x v="1"/>
    <s v="Afghanistan"/>
    <s v="Middle East"/>
    <n v="150"/>
    <n v="75"/>
    <n v="-75"/>
  </r>
  <r>
    <s v="Sale"/>
    <x v="354"/>
    <x v="4"/>
    <n v="10001"/>
    <s v="Adrianna Hill"/>
    <x v="0"/>
    <n v="1"/>
    <x v="0"/>
    <x v="1"/>
    <s v="Female"/>
    <x v="2"/>
    <s v="Romania"/>
    <s v="Eastern Europe"/>
    <n v="350"/>
    <n v="450"/>
    <n v="100"/>
  </r>
  <r>
    <s v="Sale"/>
    <x v="355"/>
    <x v="4"/>
    <n v="10001"/>
    <s v="Adrianna Harper"/>
    <x v="0"/>
    <n v="1"/>
    <x v="0"/>
    <x v="1"/>
    <s v="Female"/>
    <x v="2"/>
    <s v="Romania"/>
    <s v="Eastern Europe"/>
    <n v="350"/>
    <n v="450"/>
    <n v="100"/>
  </r>
  <r>
    <s v="Sale"/>
    <x v="356"/>
    <x v="5"/>
    <n v="10001"/>
    <s v="Natalie Barnes"/>
    <x v="0"/>
    <n v="1"/>
    <x v="0"/>
    <x v="1"/>
    <s v="Female"/>
    <x v="0"/>
    <s v="Honduras"/>
    <s v="Central America"/>
    <n v="30"/>
    <n v="45"/>
    <n v="15"/>
  </r>
  <r>
    <s v="Sale"/>
    <x v="357"/>
    <x v="6"/>
    <n v="10001"/>
    <s v="Melanie Anderson"/>
    <x v="0"/>
    <n v="1"/>
    <x v="0"/>
    <x v="1"/>
    <s v="Female"/>
    <x v="1"/>
    <s v="Afghanistan"/>
    <s v="Middle East"/>
    <n v="150"/>
    <n v="75"/>
    <n v="-75"/>
  </r>
  <r>
    <s v="Sale"/>
    <x v="358"/>
    <x v="4"/>
    <n v="10001"/>
    <s v="Tess Bennett"/>
    <x v="0"/>
    <n v="1"/>
    <x v="0"/>
    <x v="1"/>
    <s v="Female"/>
    <x v="2"/>
    <s v="Romania"/>
    <s v="Eastern Europe"/>
    <n v="350"/>
    <n v="450"/>
    <n v="100"/>
  </r>
  <r>
    <s v="Sale"/>
    <x v="359"/>
    <x v="4"/>
    <n v="10013"/>
    <s v="Alisa Robinson"/>
    <x v="0"/>
    <n v="1"/>
    <x v="0"/>
    <x v="1"/>
    <s v="Female"/>
    <x v="2"/>
    <s v="Romania"/>
    <s v="Eastern Europe"/>
    <n v="350"/>
    <n v="450"/>
    <n v="100"/>
  </r>
  <r>
    <s v="Sale"/>
    <x v="360"/>
    <x v="5"/>
    <n v="10013"/>
    <s v="Aida Hawkins"/>
    <x v="0"/>
    <n v="1"/>
    <x v="1"/>
    <x v="1"/>
    <s v="Female"/>
    <x v="0"/>
    <s v="Honduras"/>
    <s v="Central America"/>
    <n v="30"/>
    <n v="45"/>
    <n v="15"/>
  </r>
  <r>
    <s v="Sale"/>
    <x v="361"/>
    <x v="5"/>
    <n v="10013"/>
    <s v="Joyce Farrell"/>
    <x v="0"/>
    <n v="1"/>
    <x v="1"/>
    <x v="1"/>
    <s v="Female"/>
    <x v="0"/>
    <s v="Honduras"/>
    <s v="Central America"/>
    <n v="30"/>
    <n v="45"/>
    <n v="15"/>
  </r>
  <r>
    <s v="Sale"/>
    <x v="362"/>
    <x v="5"/>
    <n v="10013"/>
    <s v="Jasmine Cooper"/>
    <x v="0"/>
    <n v="1"/>
    <x v="1"/>
    <x v="1"/>
    <s v="Female"/>
    <x v="0"/>
    <s v="Honduras"/>
    <s v="Central America"/>
    <n v="30"/>
    <n v="45"/>
    <n v="15"/>
  </r>
  <r>
    <s v="Sale"/>
    <x v="363"/>
    <x v="5"/>
    <n v="10013"/>
    <s v="Heather Edwards"/>
    <x v="0"/>
    <n v="1"/>
    <x v="1"/>
    <x v="1"/>
    <s v="Female"/>
    <x v="0"/>
    <s v="Honduras"/>
    <s v="Central America"/>
    <n v="30"/>
    <n v="45"/>
    <n v="15"/>
  </r>
  <r>
    <s v="Sale"/>
    <x v="364"/>
    <x v="5"/>
    <n v="10013"/>
    <s v="Agata Williams"/>
    <x v="0"/>
    <n v="1"/>
    <x v="1"/>
    <x v="1"/>
    <s v="Female"/>
    <x v="0"/>
    <s v="Honduras"/>
    <s v="Central America"/>
    <n v="30"/>
    <n v="45"/>
    <n v="15"/>
  </r>
  <r>
    <s v="Sale"/>
    <x v="365"/>
    <x v="5"/>
    <n v="10013"/>
    <s v="Deanna Morrison"/>
    <x v="0"/>
    <n v="1"/>
    <x v="1"/>
    <x v="1"/>
    <s v="Female"/>
    <x v="0"/>
    <s v="Honduras"/>
    <s v="Central America"/>
    <n v="30"/>
    <n v="45"/>
    <n v="15"/>
  </r>
  <r>
    <s v="Sale"/>
    <x v="366"/>
    <x v="5"/>
    <n v="10013"/>
    <s v="Cadie Ferguson"/>
    <x v="0"/>
    <n v="1"/>
    <x v="1"/>
    <x v="1"/>
    <s v="Female"/>
    <x v="0"/>
    <s v="Honduras"/>
    <s v="Central America"/>
    <n v="30"/>
    <n v="45"/>
    <n v="15"/>
  </r>
  <r>
    <s v="Sale"/>
    <x v="367"/>
    <x v="5"/>
    <n v="10013"/>
    <s v="Abigail Cole"/>
    <x v="0"/>
    <n v="1"/>
    <x v="1"/>
    <x v="1"/>
    <s v="Female"/>
    <x v="0"/>
    <s v="Honduras"/>
    <s v="Central America"/>
    <n v="30"/>
    <n v="45"/>
    <n v="15"/>
  </r>
  <r>
    <s v="Sale"/>
    <x v="368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369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370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371"/>
    <x v="8"/>
    <n v="10013"/>
    <s v="Macys"/>
    <x v="1"/>
    <n v="1"/>
    <x v="1"/>
    <x v="1"/>
    <s v="Female"/>
    <x v="1"/>
    <s v="Iran"/>
    <s v="Middle East"/>
    <n v="75"/>
    <n v="125"/>
    <n v="50"/>
  </r>
  <r>
    <s v="Sale"/>
    <x v="372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373"/>
    <x v="6"/>
    <n v="10013"/>
    <s v="Macys"/>
    <x v="1"/>
    <n v="1"/>
    <x v="1"/>
    <x v="1"/>
    <s v="Female"/>
    <x v="1"/>
    <s v="Afghanistan"/>
    <s v="Middle East"/>
    <n v="150"/>
    <n v="75"/>
    <n v="-75"/>
  </r>
  <r>
    <s v="Sale"/>
    <x v="374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375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376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377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378"/>
    <x v="5"/>
    <n v="10013"/>
    <s v="Lilianna Morris"/>
    <x v="0"/>
    <n v="1"/>
    <x v="1"/>
    <x v="1"/>
    <s v="Female"/>
    <x v="0"/>
    <s v="Honduras"/>
    <s v="Central America"/>
    <n v="30"/>
    <n v="45"/>
    <n v="15"/>
  </r>
  <r>
    <s v="Sale"/>
    <x v="379"/>
    <x v="5"/>
    <n v="10013"/>
    <s v="Paige Walker"/>
    <x v="0"/>
    <n v="1"/>
    <x v="1"/>
    <x v="1"/>
    <s v="Female"/>
    <x v="0"/>
    <s v="Honduras"/>
    <s v="Central America"/>
    <n v="30"/>
    <n v="45"/>
    <n v="15"/>
  </r>
  <r>
    <s v="Sale"/>
    <x v="380"/>
    <x v="8"/>
    <n v="10013"/>
    <s v="Amanda Moore"/>
    <x v="0"/>
    <n v="1"/>
    <x v="1"/>
    <x v="1"/>
    <s v="Female"/>
    <x v="1"/>
    <s v="Iran"/>
    <s v="Middle East"/>
    <n v="75"/>
    <n v="125"/>
    <n v="50"/>
  </r>
  <r>
    <s v="Sale"/>
    <x v="381"/>
    <x v="5"/>
    <n v="10013"/>
    <s v="Naomi Turner"/>
    <x v="0"/>
    <n v="1"/>
    <x v="1"/>
    <x v="1"/>
    <s v="Female"/>
    <x v="0"/>
    <s v="Honduras"/>
    <s v="Central America"/>
    <n v="30"/>
    <n v="45"/>
    <n v="15"/>
  </r>
  <r>
    <s v="Sale"/>
    <x v="382"/>
    <x v="5"/>
    <n v="10013"/>
    <s v="Jessica Moore"/>
    <x v="0"/>
    <n v="1"/>
    <x v="1"/>
    <x v="1"/>
    <s v="Female"/>
    <x v="0"/>
    <s v="Honduras"/>
    <s v="Central America"/>
    <n v="30"/>
    <n v="45"/>
    <n v="15"/>
  </r>
  <r>
    <s v="Sale"/>
    <x v="383"/>
    <x v="5"/>
    <n v="10013"/>
    <s v="Connie Adams"/>
    <x v="0"/>
    <n v="1"/>
    <x v="1"/>
    <x v="1"/>
    <s v="Female"/>
    <x v="0"/>
    <s v="Honduras"/>
    <s v="Central America"/>
    <n v="30"/>
    <n v="45"/>
    <n v="15"/>
  </r>
  <r>
    <s v="Sale"/>
    <x v="384"/>
    <x v="5"/>
    <n v="10013"/>
    <s v="Naomi Morris"/>
    <x v="0"/>
    <n v="1"/>
    <x v="1"/>
    <x v="1"/>
    <s v="Female"/>
    <x v="0"/>
    <s v="Honduras"/>
    <s v="Central America"/>
    <n v="30"/>
    <n v="45"/>
    <n v="15"/>
  </r>
  <r>
    <s v="Sale"/>
    <x v="385"/>
    <x v="5"/>
    <n v="10013"/>
    <s v="Lilianna Carroll"/>
    <x v="0"/>
    <n v="1"/>
    <x v="1"/>
    <x v="1"/>
    <s v="Female"/>
    <x v="0"/>
    <s v="Honduras"/>
    <s v="Central America"/>
    <n v="30"/>
    <n v="45"/>
    <n v="15"/>
  </r>
  <r>
    <s v="Sale"/>
    <x v="386"/>
    <x v="5"/>
    <n v="10013"/>
    <s v="Honey Kelley"/>
    <x v="0"/>
    <n v="1"/>
    <x v="1"/>
    <x v="1"/>
    <s v="Female"/>
    <x v="0"/>
    <s v="Honduras"/>
    <s v="Central America"/>
    <n v="30"/>
    <n v="45"/>
    <n v="15"/>
  </r>
  <r>
    <s v="Sale"/>
    <x v="387"/>
    <x v="5"/>
    <n v="10013"/>
    <s v="Ada Howard"/>
    <x v="0"/>
    <n v="1"/>
    <x v="1"/>
    <x v="1"/>
    <s v="Female"/>
    <x v="0"/>
    <s v="Honduras"/>
    <s v="Central America"/>
    <n v="30"/>
    <n v="45"/>
    <n v="15"/>
  </r>
  <r>
    <s v="Sale"/>
    <x v="388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389"/>
    <x v="6"/>
    <n v="10013"/>
    <s v="Macys"/>
    <x v="1"/>
    <n v="1"/>
    <x v="1"/>
    <x v="1"/>
    <s v="Female"/>
    <x v="1"/>
    <s v="Afghanistan"/>
    <s v="Middle East"/>
    <n v="150"/>
    <n v="75"/>
    <n v="-75"/>
  </r>
  <r>
    <s v="Sale"/>
    <x v="390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391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392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393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394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395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396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397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398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399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00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01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02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03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04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05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06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07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08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09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10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411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412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13"/>
    <x v="5"/>
    <n v="10022"/>
    <s v="Melanie Smith"/>
    <x v="0"/>
    <n v="1"/>
    <x v="1"/>
    <x v="1"/>
    <s v="Female"/>
    <x v="0"/>
    <s v="Honduras"/>
    <s v="Central America"/>
    <n v="30"/>
    <n v="45"/>
    <n v="15"/>
  </r>
  <r>
    <s v="Sale"/>
    <x v="414"/>
    <x v="5"/>
    <n v="10022"/>
    <s v="Darcy Andrews"/>
    <x v="0"/>
    <n v="1"/>
    <x v="1"/>
    <x v="1"/>
    <s v="Female"/>
    <x v="0"/>
    <s v="Honduras"/>
    <s v="Central America"/>
    <n v="30"/>
    <n v="45"/>
    <n v="15"/>
  </r>
  <r>
    <s v="Sale"/>
    <x v="415"/>
    <x v="5"/>
    <n v="10022"/>
    <s v="Nicole Perkins"/>
    <x v="0"/>
    <n v="1"/>
    <x v="1"/>
    <x v="1"/>
    <s v="Female"/>
    <x v="0"/>
    <s v="Honduras"/>
    <s v="Central America"/>
    <n v="30"/>
    <n v="45"/>
    <n v="15"/>
  </r>
  <r>
    <s v="Sale"/>
    <x v="416"/>
    <x v="5"/>
    <n v="10022"/>
    <s v="Michelle Hawkins"/>
    <x v="0"/>
    <n v="1"/>
    <x v="1"/>
    <x v="1"/>
    <s v="Female"/>
    <x v="0"/>
    <s v="Honduras"/>
    <s v="Central America"/>
    <n v="30"/>
    <n v="45"/>
    <n v="15"/>
  </r>
  <r>
    <s v="Sale"/>
    <x v="417"/>
    <x v="5"/>
    <n v="10022"/>
    <s v="Natalie Kelley"/>
    <x v="0"/>
    <n v="1"/>
    <x v="1"/>
    <x v="1"/>
    <s v="Female"/>
    <x v="0"/>
    <s v="Honduras"/>
    <s v="Central America"/>
    <n v="30"/>
    <n v="45"/>
    <n v="15"/>
  </r>
  <r>
    <s v="Sale"/>
    <x v="418"/>
    <x v="5"/>
    <n v="10022"/>
    <s v="Gianna Crawford"/>
    <x v="0"/>
    <n v="1"/>
    <x v="1"/>
    <x v="1"/>
    <s v="Female"/>
    <x v="0"/>
    <s v="Honduras"/>
    <s v="Central America"/>
    <n v="30"/>
    <n v="45"/>
    <n v="15"/>
  </r>
  <r>
    <s v="Sale"/>
    <x v="419"/>
    <x v="5"/>
    <n v="10022"/>
    <s v="Emma Craig"/>
    <x v="0"/>
    <n v="1"/>
    <x v="1"/>
    <x v="1"/>
    <s v="Female"/>
    <x v="0"/>
    <s v="Honduras"/>
    <s v="Central America"/>
    <n v="30"/>
    <n v="45"/>
    <n v="15"/>
  </r>
  <r>
    <s v="Sale"/>
    <x v="420"/>
    <x v="5"/>
    <n v="10022"/>
    <s v="Paige Montgomery"/>
    <x v="0"/>
    <n v="1"/>
    <x v="1"/>
    <x v="1"/>
    <s v="Female"/>
    <x v="0"/>
    <s v="Honduras"/>
    <s v="Central America"/>
    <n v="30"/>
    <n v="45"/>
    <n v="15"/>
  </r>
  <r>
    <s v="Sale"/>
    <x v="421"/>
    <x v="5"/>
    <n v="10022"/>
    <s v="Rebecca Nelson"/>
    <x v="0"/>
    <n v="1"/>
    <x v="1"/>
    <x v="1"/>
    <s v="Female"/>
    <x v="0"/>
    <s v="Honduras"/>
    <s v="Central America"/>
    <n v="30"/>
    <n v="45"/>
    <n v="15"/>
  </r>
  <r>
    <s v="Sale"/>
    <x v="422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23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24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25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26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27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28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29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30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31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32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33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34"/>
    <x v="6"/>
    <n v="10022"/>
    <s v="SAKS Fifth Avenue"/>
    <x v="1"/>
    <n v="1"/>
    <x v="2"/>
    <x v="1"/>
    <s v="Female"/>
    <x v="1"/>
    <s v="Afghanistan"/>
    <s v="Middle East"/>
    <n v="150"/>
    <n v="75"/>
    <n v="-75"/>
  </r>
  <r>
    <s v="Sale"/>
    <x v="435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36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37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38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39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40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41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42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43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44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45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46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47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48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49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50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51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52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53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454"/>
    <x v="7"/>
    <n v="10022"/>
    <s v="Macys"/>
    <x v="1"/>
    <n v="1"/>
    <x v="1"/>
    <x v="1"/>
    <s v="Female"/>
    <x v="0"/>
    <s v="Guatemala"/>
    <s v="Central America"/>
    <n v="25"/>
    <n v="30"/>
    <n v="5"/>
  </r>
  <r>
    <s v="Sale"/>
    <x v="455"/>
    <x v="6"/>
    <n v="10022"/>
    <s v="SAKS Fifth Avenue"/>
    <x v="1"/>
    <n v="1"/>
    <x v="2"/>
    <x v="1"/>
    <s v="Female"/>
    <x v="1"/>
    <s v="Afghanistan"/>
    <s v="Middle East"/>
    <n v="150"/>
    <n v="75"/>
    <n v="-75"/>
  </r>
  <r>
    <s v="Sale"/>
    <x v="456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57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58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59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60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61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62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63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64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65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66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67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68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69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70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71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72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73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74"/>
    <x v="4"/>
    <n v="80014"/>
    <s v="Annabella Ellis"/>
    <x v="0"/>
    <n v="1"/>
    <x v="2"/>
    <x v="3"/>
    <s v="Female"/>
    <x v="2"/>
    <s v="Romania"/>
    <s v="Eastern Europe"/>
    <n v="350"/>
    <n v="450"/>
    <n v="100"/>
  </r>
  <r>
    <s v="Sale"/>
    <x v="475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76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77"/>
    <x v="4"/>
    <n v="80014"/>
    <s v="Caroline Warren"/>
    <x v="0"/>
    <n v="1"/>
    <x v="2"/>
    <x v="3"/>
    <s v="Female"/>
    <x v="2"/>
    <s v="Romania"/>
    <s v="Eastern Europe"/>
    <n v="350"/>
    <n v="450"/>
    <n v="100"/>
  </r>
  <r>
    <s v="Sale"/>
    <x v="478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79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80"/>
    <x v="4"/>
    <n v="80014"/>
    <s v="Connie Spencer"/>
    <x v="0"/>
    <n v="1"/>
    <x v="0"/>
    <x v="3"/>
    <s v="Female"/>
    <x v="2"/>
    <s v="Romania"/>
    <s v="Eastern Europe"/>
    <n v="350"/>
    <n v="450"/>
    <n v="100"/>
  </r>
  <r>
    <s v="Sale"/>
    <x v="481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82"/>
    <x v="7"/>
    <n v="80014"/>
    <s v="Emily Farrell"/>
    <x v="0"/>
    <n v="1"/>
    <x v="2"/>
    <x v="3"/>
    <s v="Female"/>
    <x v="0"/>
    <s v="Guatemala"/>
    <s v="Central America"/>
    <n v="25"/>
    <n v="30"/>
    <n v="5"/>
  </r>
  <r>
    <s v="Sale"/>
    <x v="483"/>
    <x v="7"/>
    <n v="80014"/>
    <s v="Lucy Myers"/>
    <x v="0"/>
    <n v="1"/>
    <x v="2"/>
    <x v="3"/>
    <s v="Female"/>
    <x v="0"/>
    <s v="Guatemala"/>
    <s v="Central America"/>
    <n v="25"/>
    <n v="30"/>
    <n v="5"/>
  </r>
  <r>
    <s v="Sale"/>
    <x v="484"/>
    <x v="4"/>
    <n v="80014"/>
    <s v="Camila Wells"/>
    <x v="0"/>
    <n v="1"/>
    <x v="0"/>
    <x v="3"/>
    <s v="Female"/>
    <x v="2"/>
    <s v="Romania"/>
    <s v="Eastern Europe"/>
    <n v="350"/>
    <n v="450"/>
    <n v="100"/>
  </r>
  <r>
    <s v="Sale"/>
    <x v="485"/>
    <x v="7"/>
    <n v="80014"/>
    <s v="Valeria Hawkins"/>
    <x v="0"/>
    <n v="1"/>
    <x v="2"/>
    <x v="3"/>
    <s v="Female"/>
    <x v="0"/>
    <s v="Guatemala"/>
    <s v="Central America"/>
    <n v="25"/>
    <n v="30"/>
    <n v="5"/>
  </r>
  <r>
    <s v="Sale"/>
    <x v="486"/>
    <x v="7"/>
    <n v="80014"/>
    <s v="Darcy Higgins"/>
    <x v="0"/>
    <n v="1"/>
    <x v="2"/>
    <x v="3"/>
    <s v="Female"/>
    <x v="0"/>
    <s v="Guatemala"/>
    <s v="Central America"/>
    <n v="25"/>
    <n v="30"/>
    <n v="5"/>
  </r>
  <r>
    <s v="Sale"/>
    <x v="487"/>
    <x v="7"/>
    <n v="80014"/>
    <s v="Emma Nelson"/>
    <x v="0"/>
    <n v="1"/>
    <x v="2"/>
    <x v="3"/>
    <s v="Female"/>
    <x v="0"/>
    <s v="Guatemala"/>
    <s v="Central America"/>
    <n v="25"/>
    <n v="30"/>
    <n v="5"/>
  </r>
  <r>
    <s v="Sale"/>
    <x v="488"/>
    <x v="7"/>
    <n v="80014"/>
    <s v="Adrianna Roberts"/>
    <x v="0"/>
    <n v="1"/>
    <x v="2"/>
    <x v="3"/>
    <s v="Female"/>
    <x v="0"/>
    <s v="Guatemala"/>
    <s v="Central America"/>
    <n v="25"/>
    <n v="30"/>
    <n v="5"/>
  </r>
  <r>
    <s v="Sale"/>
    <x v="489"/>
    <x v="7"/>
    <n v="80014"/>
    <s v="Nicole Martin"/>
    <x v="0"/>
    <n v="1"/>
    <x v="2"/>
    <x v="3"/>
    <s v="Female"/>
    <x v="0"/>
    <s v="Guatemala"/>
    <s v="Central America"/>
    <n v="25"/>
    <n v="30"/>
    <n v="5"/>
  </r>
  <r>
    <s v="Sale"/>
    <x v="490"/>
    <x v="7"/>
    <n v="80014"/>
    <s v="Elise Perry"/>
    <x v="0"/>
    <n v="1"/>
    <x v="2"/>
    <x v="3"/>
    <s v="Female"/>
    <x v="0"/>
    <s v="Guatemala"/>
    <s v="Central America"/>
    <n v="25"/>
    <n v="30"/>
    <n v="5"/>
  </r>
  <r>
    <s v="Sale"/>
    <x v="491"/>
    <x v="7"/>
    <n v="80014"/>
    <s v="Tiana Jones"/>
    <x v="0"/>
    <n v="1"/>
    <x v="2"/>
    <x v="3"/>
    <s v="Female"/>
    <x v="0"/>
    <s v="Guatemala"/>
    <s v="Central America"/>
    <n v="25"/>
    <n v="30"/>
    <n v="5"/>
  </r>
  <r>
    <s v="Sale"/>
    <x v="492"/>
    <x v="7"/>
    <n v="80014"/>
    <s v="Sabrina Anderson"/>
    <x v="0"/>
    <n v="1"/>
    <x v="2"/>
    <x v="3"/>
    <s v="Female"/>
    <x v="0"/>
    <s v="Guatemala"/>
    <s v="Central America"/>
    <n v="25"/>
    <n v="30"/>
    <n v="5"/>
  </r>
  <r>
    <s v="Sale"/>
    <x v="493"/>
    <x v="7"/>
    <n v="80014"/>
    <s v="Catherine Richards"/>
    <x v="0"/>
    <n v="1"/>
    <x v="2"/>
    <x v="3"/>
    <s v="Female"/>
    <x v="0"/>
    <s v="Guatemala"/>
    <s v="Central America"/>
    <n v="25"/>
    <n v="30"/>
    <n v="5"/>
  </r>
  <r>
    <s v="Sale"/>
    <x v="494"/>
    <x v="7"/>
    <n v="80014"/>
    <s v="Naomi Hunt"/>
    <x v="0"/>
    <n v="1"/>
    <x v="2"/>
    <x v="3"/>
    <s v="Female"/>
    <x v="0"/>
    <s v="Guatemala"/>
    <s v="Central America"/>
    <n v="25"/>
    <n v="30"/>
    <n v="5"/>
  </r>
  <r>
    <s v="Sale"/>
    <x v="495"/>
    <x v="7"/>
    <n v="80014"/>
    <s v="Tara Armstrong"/>
    <x v="0"/>
    <n v="1"/>
    <x v="2"/>
    <x v="3"/>
    <s v="Female"/>
    <x v="0"/>
    <s v="Guatemala"/>
    <s v="Central America"/>
    <n v="25"/>
    <n v="30"/>
    <n v="5"/>
  </r>
  <r>
    <s v="Sale"/>
    <x v="496"/>
    <x v="7"/>
    <n v="80014"/>
    <s v="Emma Miller"/>
    <x v="0"/>
    <n v="1"/>
    <x v="2"/>
    <x v="3"/>
    <s v="Female"/>
    <x v="0"/>
    <s v="Guatemala"/>
    <s v="Central America"/>
    <n v="25"/>
    <n v="30"/>
    <n v="5"/>
  </r>
  <r>
    <s v="Sale"/>
    <x v="497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98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499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500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501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502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503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504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505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506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507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508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509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510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511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512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513"/>
    <x v="7"/>
    <n v="80014"/>
    <s v="Isabella Henderson"/>
    <x v="0"/>
    <n v="1"/>
    <x v="2"/>
    <x v="3"/>
    <s v="Female"/>
    <x v="0"/>
    <s v="Guatemala"/>
    <s v="Central America"/>
    <n v="25"/>
    <n v="30"/>
    <n v="5"/>
  </r>
  <r>
    <s v="Sale"/>
    <x v="514"/>
    <x v="7"/>
    <n v="80014"/>
    <s v="Amy Barrett"/>
    <x v="0"/>
    <n v="1"/>
    <x v="2"/>
    <x v="3"/>
    <s v="Female"/>
    <x v="0"/>
    <s v="Guatemala"/>
    <s v="Central America"/>
    <n v="25"/>
    <n v="30"/>
    <n v="5"/>
  </r>
  <r>
    <s v="Sale"/>
    <x v="515"/>
    <x v="7"/>
    <n v="80014"/>
    <s v="Chelsea Davis"/>
    <x v="0"/>
    <n v="1"/>
    <x v="2"/>
    <x v="3"/>
    <s v="Female"/>
    <x v="0"/>
    <s v="Guatemala"/>
    <s v="Central America"/>
    <n v="25"/>
    <n v="30"/>
    <n v="5"/>
  </r>
  <r>
    <s v="Sale"/>
    <x v="516"/>
    <x v="7"/>
    <n v="80014"/>
    <s v="Charlotte Williams"/>
    <x v="0"/>
    <n v="1"/>
    <x v="2"/>
    <x v="3"/>
    <s v="Female"/>
    <x v="0"/>
    <s v="Guatemala"/>
    <s v="Central America"/>
    <n v="25"/>
    <n v="30"/>
    <n v="5"/>
  </r>
  <r>
    <s v="Sale"/>
    <x v="517"/>
    <x v="7"/>
    <n v="80014"/>
    <s v="Gianna Jones"/>
    <x v="0"/>
    <n v="1"/>
    <x v="2"/>
    <x v="3"/>
    <s v="Female"/>
    <x v="0"/>
    <s v="Guatemala"/>
    <s v="Central America"/>
    <n v="25"/>
    <n v="30"/>
    <n v="5"/>
  </r>
  <r>
    <s v="Sale"/>
    <x v="518"/>
    <x v="7"/>
    <n v="80014"/>
    <s v="Caroline Riley"/>
    <x v="0"/>
    <n v="1"/>
    <x v="2"/>
    <x v="3"/>
    <s v="Female"/>
    <x v="0"/>
    <s v="Guatemala"/>
    <s v="Central America"/>
    <n v="25"/>
    <n v="30"/>
    <n v="5"/>
  </r>
  <r>
    <s v="Sale"/>
    <x v="519"/>
    <x v="7"/>
    <n v="80014"/>
    <s v="Chloe Carroll"/>
    <x v="0"/>
    <n v="1"/>
    <x v="2"/>
    <x v="3"/>
    <s v="Female"/>
    <x v="0"/>
    <s v="Guatemala"/>
    <s v="Central America"/>
    <n v="25"/>
    <n v="30"/>
    <n v="5"/>
  </r>
  <r>
    <s v="Sale"/>
    <x v="520"/>
    <x v="7"/>
    <n v="80014"/>
    <s v="Connie Smith"/>
    <x v="0"/>
    <n v="1"/>
    <x v="2"/>
    <x v="3"/>
    <s v="Female"/>
    <x v="0"/>
    <s v="Guatemala"/>
    <s v="Central America"/>
    <n v="25"/>
    <n v="30"/>
    <n v="5"/>
  </r>
  <r>
    <s v="Sale"/>
    <x v="521"/>
    <x v="7"/>
    <n v="80208"/>
    <s v="Myra Turner"/>
    <x v="0"/>
    <n v="1"/>
    <x v="2"/>
    <x v="3"/>
    <s v="Female"/>
    <x v="0"/>
    <s v="Guatemala"/>
    <s v="Central America"/>
    <n v="25"/>
    <n v="30"/>
    <n v="5"/>
  </r>
  <r>
    <s v="Sale"/>
    <x v="522"/>
    <x v="7"/>
    <n v="80208"/>
    <s v="Arianna Barrett"/>
    <x v="0"/>
    <n v="1"/>
    <x v="2"/>
    <x v="3"/>
    <s v="Female"/>
    <x v="0"/>
    <s v="Guatemala"/>
    <s v="Central America"/>
    <n v="25"/>
    <n v="30"/>
    <n v="5"/>
  </r>
  <r>
    <s v="Sale"/>
    <x v="523"/>
    <x v="7"/>
    <n v="80208"/>
    <s v="Paige Craig"/>
    <x v="0"/>
    <n v="1"/>
    <x v="2"/>
    <x v="3"/>
    <s v="Female"/>
    <x v="0"/>
    <s v="Guatemala"/>
    <s v="Central America"/>
    <n v="25"/>
    <n v="30"/>
    <n v="5"/>
  </r>
  <r>
    <s v="Sale"/>
    <x v="524"/>
    <x v="7"/>
    <n v="80208"/>
    <s v="Melanie Morris"/>
    <x v="0"/>
    <n v="1"/>
    <x v="2"/>
    <x v="3"/>
    <s v="Female"/>
    <x v="0"/>
    <s v="Guatemala"/>
    <s v="Central America"/>
    <n v="25"/>
    <n v="30"/>
    <n v="5"/>
  </r>
  <r>
    <s v="Sale"/>
    <x v="525"/>
    <x v="7"/>
    <n v="80208"/>
    <s v="Agata Wilson"/>
    <x v="0"/>
    <n v="1"/>
    <x v="2"/>
    <x v="3"/>
    <s v="Female"/>
    <x v="0"/>
    <s v="Guatemala"/>
    <s v="Central America"/>
    <n v="25"/>
    <n v="30"/>
    <n v="5"/>
  </r>
  <r>
    <s v="Sale"/>
    <x v="526"/>
    <x v="7"/>
    <n v="80208"/>
    <s v="Tess Craig"/>
    <x v="0"/>
    <n v="1"/>
    <x v="2"/>
    <x v="3"/>
    <s v="Female"/>
    <x v="0"/>
    <s v="Guatemala"/>
    <s v="Central America"/>
    <n v="25"/>
    <n v="30"/>
    <n v="5"/>
  </r>
  <r>
    <s v="Sale"/>
    <x v="527"/>
    <x v="7"/>
    <n v="80208"/>
    <s v="Tess Fowler"/>
    <x v="0"/>
    <n v="1"/>
    <x v="2"/>
    <x v="3"/>
    <s v="Female"/>
    <x v="0"/>
    <s v="Guatemala"/>
    <s v="Central America"/>
    <n v="25"/>
    <n v="30"/>
    <n v="5"/>
  </r>
  <r>
    <s v="Sale"/>
    <x v="528"/>
    <x v="7"/>
    <n v="80208"/>
    <s v="Eleanor Morgan"/>
    <x v="0"/>
    <n v="1"/>
    <x v="2"/>
    <x v="3"/>
    <s v="Female"/>
    <x v="0"/>
    <s v="Guatemala"/>
    <s v="Central America"/>
    <n v="25"/>
    <n v="30"/>
    <n v="5"/>
  </r>
  <r>
    <s v="Sale"/>
    <x v="529"/>
    <x v="7"/>
    <n v="80208"/>
    <s v="Kate Russell"/>
    <x v="0"/>
    <n v="1"/>
    <x v="2"/>
    <x v="3"/>
    <s v="Female"/>
    <x v="0"/>
    <s v="Guatemala"/>
    <s v="Central America"/>
    <n v="25"/>
    <n v="30"/>
    <n v="5"/>
  </r>
  <r>
    <s v="Sale"/>
    <x v="530"/>
    <x v="7"/>
    <n v="80208"/>
    <s v="Aida Harper"/>
    <x v="0"/>
    <n v="1"/>
    <x v="2"/>
    <x v="3"/>
    <s v="Female"/>
    <x v="0"/>
    <s v="Guatemala"/>
    <s v="Central America"/>
    <n v="25"/>
    <n v="30"/>
    <n v="5"/>
  </r>
  <r>
    <s v="Sale"/>
    <x v="531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32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33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34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35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36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37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38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39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40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41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42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43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44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45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46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47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48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49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50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51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52"/>
    <x v="7"/>
    <n v="80208"/>
    <s v="Joyce Bennett"/>
    <x v="0"/>
    <n v="1"/>
    <x v="2"/>
    <x v="3"/>
    <s v="Female"/>
    <x v="0"/>
    <s v="Guatemala"/>
    <s v="Central America"/>
    <n v="25"/>
    <n v="30"/>
    <n v="5"/>
  </r>
  <r>
    <s v="Sale"/>
    <x v="553"/>
    <x v="7"/>
    <n v="80208"/>
    <s v="Honey Barrett"/>
    <x v="0"/>
    <n v="1"/>
    <x v="2"/>
    <x v="3"/>
    <s v="Female"/>
    <x v="0"/>
    <s v="Guatemala"/>
    <s v="Central America"/>
    <n v="25"/>
    <n v="30"/>
    <n v="5"/>
  </r>
  <r>
    <s v="Sale"/>
    <x v="554"/>
    <x v="7"/>
    <n v="80208"/>
    <s v="Melissa Carroll"/>
    <x v="0"/>
    <n v="1"/>
    <x v="2"/>
    <x v="3"/>
    <s v="Female"/>
    <x v="0"/>
    <s v="Guatemala"/>
    <s v="Central America"/>
    <n v="25"/>
    <n v="30"/>
    <n v="5"/>
  </r>
  <r>
    <s v="Sale"/>
    <x v="555"/>
    <x v="7"/>
    <n v="80208"/>
    <s v="Chloe Rogers"/>
    <x v="0"/>
    <n v="1"/>
    <x v="2"/>
    <x v="3"/>
    <s v="Female"/>
    <x v="0"/>
    <s v="Guatemala"/>
    <s v="Central America"/>
    <n v="25"/>
    <n v="30"/>
    <n v="5"/>
  </r>
  <r>
    <s v="Sale"/>
    <x v="556"/>
    <x v="7"/>
    <n v="80208"/>
    <s v="Tess Carroll"/>
    <x v="0"/>
    <n v="1"/>
    <x v="2"/>
    <x v="3"/>
    <s v="Female"/>
    <x v="0"/>
    <s v="Guatemala"/>
    <s v="Central America"/>
    <n v="25"/>
    <n v="30"/>
    <n v="5"/>
  </r>
  <r>
    <s v="Sale"/>
    <x v="557"/>
    <x v="7"/>
    <n v="80208"/>
    <s v="Lucia Ferguson"/>
    <x v="0"/>
    <n v="1"/>
    <x v="2"/>
    <x v="3"/>
    <s v="Female"/>
    <x v="0"/>
    <s v="Guatemala"/>
    <s v="Central America"/>
    <n v="25"/>
    <n v="30"/>
    <n v="5"/>
  </r>
  <r>
    <s v="Sale"/>
    <x v="558"/>
    <x v="7"/>
    <n v="80208"/>
    <s v="Isabella Russell"/>
    <x v="0"/>
    <n v="1"/>
    <x v="2"/>
    <x v="3"/>
    <s v="Female"/>
    <x v="0"/>
    <s v="Guatemala"/>
    <s v="Central America"/>
    <n v="25"/>
    <n v="30"/>
    <n v="5"/>
  </r>
  <r>
    <s v="Sale"/>
    <x v="559"/>
    <x v="7"/>
    <n v="80208"/>
    <s v="Deanna Wells"/>
    <x v="0"/>
    <n v="1"/>
    <x v="2"/>
    <x v="3"/>
    <s v="Female"/>
    <x v="0"/>
    <s v="Guatemala"/>
    <s v="Central America"/>
    <n v="25"/>
    <n v="30"/>
    <n v="5"/>
  </r>
  <r>
    <s v="Sale"/>
    <x v="560"/>
    <x v="7"/>
    <n v="80208"/>
    <s v="Carina Davis"/>
    <x v="0"/>
    <n v="1"/>
    <x v="2"/>
    <x v="3"/>
    <s v="Female"/>
    <x v="0"/>
    <s v="Guatemala"/>
    <s v="Central America"/>
    <n v="25"/>
    <n v="30"/>
    <n v="5"/>
  </r>
  <r>
    <s v="Sale"/>
    <x v="561"/>
    <x v="7"/>
    <n v="80208"/>
    <s v="Michelle Henderson"/>
    <x v="0"/>
    <n v="1"/>
    <x v="2"/>
    <x v="3"/>
    <s v="Female"/>
    <x v="0"/>
    <s v="Guatemala"/>
    <s v="Central America"/>
    <n v="25"/>
    <n v="30"/>
    <n v="5"/>
  </r>
  <r>
    <s v="Sale"/>
    <x v="562"/>
    <x v="7"/>
    <n v="80208"/>
    <s v="Edith Owens"/>
    <x v="0"/>
    <n v="1"/>
    <x v="2"/>
    <x v="3"/>
    <s v="Female"/>
    <x v="0"/>
    <s v="Guatemala"/>
    <s v="Central America"/>
    <n v="25"/>
    <n v="30"/>
    <n v="5"/>
  </r>
  <r>
    <s v="Sale"/>
    <x v="563"/>
    <x v="7"/>
    <n v="80208"/>
    <s v="Olivia Adams"/>
    <x v="0"/>
    <n v="1"/>
    <x v="2"/>
    <x v="3"/>
    <s v="Female"/>
    <x v="0"/>
    <s v="Guatemala"/>
    <s v="Central America"/>
    <n v="25"/>
    <n v="30"/>
    <n v="5"/>
  </r>
  <r>
    <s v="Sale"/>
    <x v="564"/>
    <x v="7"/>
    <n v="80208"/>
    <s v="Alisa Hill"/>
    <x v="0"/>
    <n v="1"/>
    <x v="2"/>
    <x v="3"/>
    <s v="Female"/>
    <x v="0"/>
    <s v="Guatemala"/>
    <s v="Central America"/>
    <n v="25"/>
    <n v="30"/>
    <n v="5"/>
  </r>
  <r>
    <s v="Sale"/>
    <x v="565"/>
    <x v="7"/>
    <n v="80208"/>
    <s v="Chloe Kelley"/>
    <x v="0"/>
    <n v="1"/>
    <x v="2"/>
    <x v="3"/>
    <s v="Female"/>
    <x v="0"/>
    <s v="Guatemala"/>
    <s v="Central America"/>
    <n v="25"/>
    <n v="30"/>
    <n v="5"/>
  </r>
  <r>
    <s v="Sale"/>
    <x v="566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67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68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69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70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71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72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73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74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75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76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77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78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79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80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81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82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83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84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85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86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587"/>
    <x v="7"/>
    <n v="80208"/>
    <s v="Tiana Ellis"/>
    <x v="0"/>
    <n v="1"/>
    <x v="2"/>
    <x v="3"/>
    <s v="Female"/>
    <x v="0"/>
    <s v="Guatemala"/>
    <s v="Central America"/>
    <n v="25"/>
    <n v="30"/>
    <n v="5"/>
  </r>
  <r>
    <s v="Sale"/>
    <x v="588"/>
    <x v="7"/>
    <n v="80208"/>
    <s v="Vivian Tucker"/>
    <x v="0"/>
    <n v="1"/>
    <x v="2"/>
    <x v="3"/>
    <s v="Female"/>
    <x v="0"/>
    <s v="Guatemala"/>
    <s v="Central America"/>
    <n v="25"/>
    <n v="30"/>
    <n v="5"/>
  </r>
  <r>
    <s v="Sale"/>
    <x v="589"/>
    <x v="7"/>
    <n v="80208"/>
    <s v="Vivian Martin"/>
    <x v="0"/>
    <n v="1"/>
    <x v="2"/>
    <x v="3"/>
    <s v="Female"/>
    <x v="0"/>
    <s v="Guatemala"/>
    <s v="Central America"/>
    <n v="25"/>
    <n v="30"/>
    <n v="5"/>
  </r>
  <r>
    <s v="Sale"/>
    <x v="590"/>
    <x v="7"/>
    <n v="80208"/>
    <s v="Myra Johnson"/>
    <x v="0"/>
    <n v="1"/>
    <x v="2"/>
    <x v="3"/>
    <s v="Female"/>
    <x v="0"/>
    <s v="Guatemala"/>
    <s v="Central America"/>
    <n v="25"/>
    <n v="30"/>
    <n v="5"/>
  </r>
  <r>
    <s v="Sale"/>
    <x v="591"/>
    <x v="7"/>
    <n v="80208"/>
    <s v="Adelaide Lloyd"/>
    <x v="0"/>
    <n v="1"/>
    <x v="2"/>
    <x v="3"/>
    <s v="Female"/>
    <x v="0"/>
    <s v="Guatemala"/>
    <s v="Central America"/>
    <n v="25"/>
    <n v="30"/>
    <n v="5"/>
  </r>
  <r>
    <s v="Sale"/>
    <x v="592"/>
    <x v="7"/>
    <n v="80208"/>
    <s v="Maddie Henderson"/>
    <x v="0"/>
    <n v="1"/>
    <x v="2"/>
    <x v="3"/>
    <s v="Female"/>
    <x v="0"/>
    <s v="Guatemala"/>
    <s v="Central America"/>
    <n v="25"/>
    <n v="30"/>
    <n v="5"/>
  </r>
  <r>
    <s v="Sale"/>
    <x v="593"/>
    <x v="7"/>
    <n v="80123"/>
    <s v="Emma Morris"/>
    <x v="0"/>
    <n v="1"/>
    <x v="2"/>
    <x v="3"/>
    <s v="Female"/>
    <x v="0"/>
    <s v="Guatemala"/>
    <s v="Central America"/>
    <n v="25"/>
    <n v="30"/>
    <n v="5"/>
  </r>
  <r>
    <s v="Sale"/>
    <x v="594"/>
    <x v="7"/>
    <n v="80123"/>
    <s v="Lucia Moore"/>
    <x v="0"/>
    <n v="1"/>
    <x v="2"/>
    <x v="3"/>
    <s v="Female"/>
    <x v="0"/>
    <s v="Guatemala"/>
    <s v="Central America"/>
    <n v="25"/>
    <n v="30"/>
    <n v="5"/>
  </r>
  <r>
    <s v="Sale"/>
    <x v="595"/>
    <x v="7"/>
    <n v="80123"/>
    <s v="Florrie Howard"/>
    <x v="0"/>
    <n v="1"/>
    <x v="2"/>
    <x v="3"/>
    <s v="Female"/>
    <x v="0"/>
    <s v="Guatemala"/>
    <s v="Central America"/>
    <n v="25"/>
    <n v="30"/>
    <n v="5"/>
  </r>
  <r>
    <s v="Sale"/>
    <x v="596"/>
    <x v="7"/>
    <n v="80123"/>
    <s v="Violet Grant"/>
    <x v="0"/>
    <n v="1"/>
    <x v="2"/>
    <x v="3"/>
    <s v="Female"/>
    <x v="0"/>
    <s v="Guatemala"/>
    <s v="Central America"/>
    <n v="25"/>
    <n v="30"/>
    <n v="5"/>
  </r>
  <r>
    <s v="Sale"/>
    <x v="597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598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599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00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01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02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03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04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05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06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07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08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09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10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11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12"/>
    <x v="7"/>
    <n v="80123"/>
    <s v="Adrianna Ross"/>
    <x v="0"/>
    <n v="1"/>
    <x v="2"/>
    <x v="3"/>
    <s v="Female"/>
    <x v="0"/>
    <s v="Guatemala"/>
    <s v="Central America"/>
    <n v="25"/>
    <n v="30"/>
    <n v="5"/>
  </r>
  <r>
    <s v="Sale"/>
    <x v="613"/>
    <x v="7"/>
    <n v="80123"/>
    <s v="Kimberly Crawford"/>
    <x v="0"/>
    <n v="1"/>
    <x v="2"/>
    <x v="3"/>
    <s v="Female"/>
    <x v="0"/>
    <s v="Guatemala"/>
    <s v="Central America"/>
    <n v="25"/>
    <n v="30"/>
    <n v="5"/>
  </r>
  <r>
    <s v="Sale"/>
    <x v="614"/>
    <x v="7"/>
    <n v="80123"/>
    <s v="Abigail Thomas"/>
    <x v="0"/>
    <n v="1"/>
    <x v="2"/>
    <x v="3"/>
    <s v="Female"/>
    <x v="0"/>
    <s v="Guatemala"/>
    <s v="Central America"/>
    <n v="25"/>
    <n v="30"/>
    <n v="5"/>
  </r>
  <r>
    <s v="Sale"/>
    <x v="615"/>
    <x v="7"/>
    <n v="80123"/>
    <s v="Hailey Stevens"/>
    <x v="0"/>
    <n v="1"/>
    <x v="2"/>
    <x v="3"/>
    <s v="Female"/>
    <x v="0"/>
    <s v="Guatemala"/>
    <s v="Central America"/>
    <n v="25"/>
    <n v="30"/>
    <n v="5"/>
  </r>
  <r>
    <s v="Sale"/>
    <x v="616"/>
    <x v="7"/>
    <n v="80123"/>
    <s v="Kimberly Richards"/>
    <x v="0"/>
    <n v="1"/>
    <x v="2"/>
    <x v="3"/>
    <s v="Female"/>
    <x v="0"/>
    <s v="Guatemala"/>
    <s v="Central America"/>
    <n v="25"/>
    <n v="30"/>
    <n v="5"/>
  </r>
  <r>
    <s v="Sale"/>
    <x v="617"/>
    <x v="7"/>
    <n v="80123"/>
    <s v="Lucia Cunningham"/>
    <x v="0"/>
    <n v="1"/>
    <x v="2"/>
    <x v="3"/>
    <s v="Female"/>
    <x v="0"/>
    <s v="Guatemala"/>
    <s v="Central America"/>
    <n v="25"/>
    <n v="30"/>
    <n v="5"/>
  </r>
  <r>
    <s v="Sale"/>
    <x v="618"/>
    <x v="7"/>
    <n v="80123"/>
    <s v="Violet Alexander"/>
    <x v="0"/>
    <n v="1"/>
    <x v="0"/>
    <x v="3"/>
    <s v="Female"/>
    <x v="0"/>
    <s v="Guatemala"/>
    <s v="Central America"/>
    <n v="25"/>
    <n v="30"/>
    <n v="5"/>
  </r>
  <r>
    <s v="Sale"/>
    <x v="619"/>
    <x v="7"/>
    <n v="80123"/>
    <s v="Melanie Turner"/>
    <x v="0"/>
    <n v="1"/>
    <x v="0"/>
    <x v="3"/>
    <s v="Female"/>
    <x v="0"/>
    <s v="Guatemala"/>
    <s v="Central America"/>
    <n v="25"/>
    <n v="30"/>
    <n v="5"/>
  </r>
  <r>
    <s v="Sale"/>
    <x v="620"/>
    <x v="7"/>
    <n v="80123"/>
    <s v="Miley Hall"/>
    <x v="0"/>
    <n v="1"/>
    <x v="0"/>
    <x v="3"/>
    <s v="Female"/>
    <x v="0"/>
    <s v="Guatemala"/>
    <s v="Central America"/>
    <n v="25"/>
    <n v="30"/>
    <n v="5"/>
  </r>
  <r>
    <s v="Sale"/>
    <x v="621"/>
    <x v="7"/>
    <n v="80123"/>
    <s v="Target"/>
    <x v="1"/>
    <n v="1"/>
    <x v="0"/>
    <x v="3"/>
    <s v="Female"/>
    <x v="0"/>
    <s v="Guatemala"/>
    <s v="Central America"/>
    <n v="25"/>
    <n v="30"/>
    <n v="5"/>
  </r>
  <r>
    <s v="Sale"/>
    <x v="622"/>
    <x v="7"/>
    <n v="80123"/>
    <s v="Target"/>
    <x v="1"/>
    <n v="1"/>
    <x v="0"/>
    <x v="3"/>
    <s v="Female"/>
    <x v="0"/>
    <s v="Guatemala"/>
    <s v="Central America"/>
    <n v="25"/>
    <n v="30"/>
    <n v="5"/>
  </r>
  <r>
    <s v="Sale"/>
    <x v="623"/>
    <x v="7"/>
    <n v="80123"/>
    <s v="Target"/>
    <x v="1"/>
    <n v="1"/>
    <x v="0"/>
    <x v="3"/>
    <s v="Female"/>
    <x v="0"/>
    <s v="Guatemala"/>
    <s v="Central America"/>
    <n v="25"/>
    <n v="30"/>
    <n v="5"/>
  </r>
  <r>
    <s v="Sale"/>
    <x v="624"/>
    <x v="7"/>
    <n v="80123"/>
    <s v="Target"/>
    <x v="1"/>
    <n v="1"/>
    <x v="0"/>
    <x v="3"/>
    <s v="Female"/>
    <x v="0"/>
    <s v="Guatemala"/>
    <s v="Central America"/>
    <n v="25"/>
    <n v="30"/>
    <n v="5"/>
  </r>
  <r>
    <s v="Sale"/>
    <x v="625"/>
    <x v="7"/>
    <n v="80123"/>
    <s v="Target"/>
    <x v="1"/>
    <n v="1"/>
    <x v="0"/>
    <x v="3"/>
    <s v="Female"/>
    <x v="0"/>
    <s v="Guatemala"/>
    <s v="Central America"/>
    <n v="25"/>
    <n v="30"/>
    <n v="5"/>
  </r>
  <r>
    <s v="Sale"/>
    <x v="626"/>
    <x v="7"/>
    <n v="80123"/>
    <s v="Target"/>
    <x v="1"/>
    <n v="1"/>
    <x v="0"/>
    <x v="3"/>
    <s v="Female"/>
    <x v="0"/>
    <s v="Guatemala"/>
    <s v="Central America"/>
    <n v="25"/>
    <n v="30"/>
    <n v="5"/>
  </r>
  <r>
    <s v="Sale"/>
    <x v="627"/>
    <x v="7"/>
    <n v="80123"/>
    <s v="Target"/>
    <x v="1"/>
    <n v="1"/>
    <x v="0"/>
    <x v="3"/>
    <s v="Female"/>
    <x v="0"/>
    <s v="Guatemala"/>
    <s v="Central America"/>
    <n v="25"/>
    <n v="30"/>
    <n v="5"/>
  </r>
  <r>
    <s v="Sale"/>
    <x v="628"/>
    <x v="7"/>
    <n v="80123"/>
    <s v="Target"/>
    <x v="1"/>
    <n v="1"/>
    <x v="0"/>
    <x v="3"/>
    <s v="Female"/>
    <x v="0"/>
    <s v="Guatemala"/>
    <s v="Central America"/>
    <n v="25"/>
    <n v="30"/>
    <n v="5"/>
  </r>
  <r>
    <s v="Sale"/>
    <x v="629"/>
    <x v="7"/>
    <n v="80123"/>
    <s v="Target"/>
    <x v="1"/>
    <n v="1"/>
    <x v="0"/>
    <x v="3"/>
    <s v="Female"/>
    <x v="0"/>
    <s v="Guatemala"/>
    <s v="Central America"/>
    <n v="25"/>
    <n v="30"/>
    <n v="5"/>
  </r>
  <r>
    <s v="Sale"/>
    <x v="630"/>
    <x v="7"/>
    <n v="80123"/>
    <s v="Target"/>
    <x v="1"/>
    <n v="1"/>
    <x v="0"/>
    <x v="3"/>
    <s v="Female"/>
    <x v="0"/>
    <s v="Guatemala"/>
    <s v="Central America"/>
    <n v="25"/>
    <n v="30"/>
    <n v="5"/>
  </r>
  <r>
    <s v="Sale"/>
    <x v="631"/>
    <x v="7"/>
    <n v="80123"/>
    <s v="Target"/>
    <x v="1"/>
    <n v="1"/>
    <x v="0"/>
    <x v="3"/>
    <s v="Female"/>
    <x v="0"/>
    <s v="Guatemala"/>
    <s v="Central America"/>
    <n v="25"/>
    <n v="30"/>
    <n v="5"/>
  </r>
  <r>
    <s v="Sale"/>
    <x v="632"/>
    <x v="7"/>
    <n v="80123"/>
    <s v="Target"/>
    <x v="1"/>
    <n v="1"/>
    <x v="0"/>
    <x v="3"/>
    <s v="Female"/>
    <x v="0"/>
    <s v="Guatemala"/>
    <s v="Central America"/>
    <n v="25"/>
    <n v="30"/>
    <n v="5"/>
  </r>
  <r>
    <s v="Sale"/>
    <x v="633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34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35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636"/>
    <x v="7"/>
    <n v="80123"/>
    <s v="Florrie Thomas"/>
    <x v="0"/>
    <n v="1"/>
    <x v="2"/>
    <x v="3"/>
    <s v="Female"/>
    <x v="0"/>
    <s v="Guatemala"/>
    <s v="Central America"/>
    <n v="25"/>
    <n v="30"/>
    <n v="5"/>
  </r>
  <r>
    <s v="Sale"/>
    <x v="637"/>
    <x v="7"/>
    <n v="80123"/>
    <s v="Adelaide Martin"/>
    <x v="0"/>
    <n v="1"/>
    <x v="2"/>
    <x v="3"/>
    <s v="Female"/>
    <x v="0"/>
    <s v="Guatemala"/>
    <s v="Central America"/>
    <n v="25"/>
    <n v="30"/>
    <n v="5"/>
  </r>
  <r>
    <s v="Sale"/>
    <x v="638"/>
    <x v="7"/>
    <n v="80123"/>
    <s v="Nicole Ross"/>
    <x v="0"/>
    <n v="1"/>
    <x v="2"/>
    <x v="3"/>
    <s v="Female"/>
    <x v="0"/>
    <s v="Guatemala"/>
    <s v="Central America"/>
    <n v="25"/>
    <n v="30"/>
    <n v="5"/>
  </r>
  <r>
    <s v="Sale"/>
    <x v="639"/>
    <x v="7"/>
    <n v="80123"/>
    <s v="Julia Armstrong"/>
    <x v="0"/>
    <n v="1"/>
    <x v="2"/>
    <x v="3"/>
    <s v="Female"/>
    <x v="0"/>
    <s v="Guatemala"/>
    <s v="Central America"/>
    <n v="25"/>
    <n v="30"/>
    <n v="5"/>
  </r>
  <r>
    <s v="Sale"/>
    <x v="640"/>
    <x v="7"/>
    <n v="80123"/>
    <s v="Naomi Montgomery"/>
    <x v="0"/>
    <n v="1"/>
    <x v="2"/>
    <x v="3"/>
    <s v="Female"/>
    <x v="0"/>
    <s v="Guatemala"/>
    <s v="Central America"/>
    <n v="25"/>
    <n v="30"/>
    <n v="5"/>
  </r>
  <r>
    <s v="Sale"/>
    <x v="641"/>
    <x v="9"/>
    <n v="33101"/>
    <s v="Alexia Williams"/>
    <x v="0"/>
    <n v="1"/>
    <x v="0"/>
    <x v="2"/>
    <s v="Female"/>
    <x v="1"/>
    <s v="Azerbaijan"/>
    <s v="Middle East"/>
    <n v="1200"/>
    <n v="2000"/>
    <n v="800"/>
  </r>
  <r>
    <s v="Sale"/>
    <x v="642"/>
    <x v="6"/>
    <n v="90005"/>
    <s v="Anna Smith"/>
    <x v="0"/>
    <n v="1"/>
    <x v="0"/>
    <x v="0"/>
    <s v="Female"/>
    <x v="1"/>
    <s v="Afghanistan"/>
    <s v="Middle East"/>
    <n v="150"/>
    <n v="75"/>
    <n v="-75"/>
  </r>
  <r>
    <s v="Sale"/>
    <x v="643"/>
    <x v="6"/>
    <n v="90005"/>
    <s v="Savana Brown"/>
    <x v="0"/>
    <n v="1"/>
    <x v="0"/>
    <x v="0"/>
    <s v="Female"/>
    <x v="1"/>
    <s v="Afghanistan"/>
    <s v="Middle East"/>
    <n v="150"/>
    <n v="75"/>
    <n v="-75"/>
  </r>
  <r>
    <s v="Sale"/>
    <x v="644"/>
    <x v="6"/>
    <n v="90005"/>
    <s v="Vanessa Evans"/>
    <x v="0"/>
    <n v="1"/>
    <x v="0"/>
    <x v="0"/>
    <s v="Female"/>
    <x v="1"/>
    <s v="Afghanistan"/>
    <s v="Middle East"/>
    <n v="150"/>
    <n v="75"/>
    <n v="-75"/>
  </r>
  <r>
    <s v="Sale"/>
    <x v="645"/>
    <x v="6"/>
    <n v="90005"/>
    <s v="Chelsea Murphy"/>
    <x v="0"/>
    <n v="1"/>
    <x v="0"/>
    <x v="0"/>
    <s v="Female"/>
    <x v="1"/>
    <s v="Afghanistan"/>
    <s v="Middle East"/>
    <n v="150"/>
    <n v="75"/>
    <n v="-75"/>
  </r>
  <r>
    <s v="Sale"/>
    <x v="646"/>
    <x v="6"/>
    <n v="90005"/>
    <s v="Sophia Chapman"/>
    <x v="0"/>
    <n v="1"/>
    <x v="0"/>
    <x v="0"/>
    <s v="Female"/>
    <x v="1"/>
    <s v="Afghanistan"/>
    <s v="Middle East"/>
    <n v="150"/>
    <n v="75"/>
    <n v="-75"/>
  </r>
  <r>
    <s v="Sale"/>
    <x v="647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648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649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650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651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652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653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654"/>
    <x v="6"/>
    <n v="90005"/>
    <s v="Alisa Ferguson"/>
    <x v="0"/>
    <n v="1"/>
    <x v="0"/>
    <x v="0"/>
    <s v="Female"/>
    <x v="1"/>
    <s v="Afghanistan"/>
    <s v="Middle East"/>
    <n v="150"/>
    <n v="75"/>
    <n v="-75"/>
  </r>
  <r>
    <s v="Sale"/>
    <x v="655"/>
    <x v="6"/>
    <n v="90005"/>
    <s v="Mary Ferguson"/>
    <x v="0"/>
    <n v="1"/>
    <x v="0"/>
    <x v="0"/>
    <s v="Female"/>
    <x v="1"/>
    <s v="Afghanistan"/>
    <s v="Middle East"/>
    <n v="150"/>
    <n v="75"/>
    <n v="-75"/>
  </r>
  <r>
    <s v="Sale"/>
    <x v="656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657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658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659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660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661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662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663"/>
    <x v="6"/>
    <n v="90005"/>
    <s v="Vivian Ellis"/>
    <x v="0"/>
    <n v="1"/>
    <x v="0"/>
    <x v="0"/>
    <s v="Female"/>
    <x v="1"/>
    <s v="Afghanistan"/>
    <s v="Middle East"/>
    <n v="150"/>
    <n v="75"/>
    <n v="-75"/>
  </r>
  <r>
    <s v="Sale"/>
    <x v="664"/>
    <x v="6"/>
    <n v="90005"/>
    <s v="Lydia Hunt"/>
    <x v="0"/>
    <n v="1"/>
    <x v="0"/>
    <x v="0"/>
    <s v="Female"/>
    <x v="1"/>
    <s v="Afghanistan"/>
    <s v="Middle East"/>
    <n v="150"/>
    <n v="75"/>
    <n v="-75"/>
  </r>
  <r>
    <s v="Sale"/>
    <x v="665"/>
    <x v="6"/>
    <n v="90005"/>
    <s v="Kate Turner"/>
    <x v="0"/>
    <n v="1"/>
    <x v="0"/>
    <x v="0"/>
    <s v="Female"/>
    <x v="1"/>
    <s v="Afghanistan"/>
    <s v="Middle East"/>
    <n v="150"/>
    <n v="75"/>
    <n v="-75"/>
  </r>
  <r>
    <s v="Sale"/>
    <x v="666"/>
    <x v="6"/>
    <n v="90005"/>
    <s v="Alisa Carter"/>
    <x v="0"/>
    <n v="1"/>
    <x v="0"/>
    <x v="0"/>
    <s v="Female"/>
    <x v="1"/>
    <s v="Afghanistan"/>
    <s v="Middle East"/>
    <n v="150"/>
    <n v="75"/>
    <n v="-75"/>
  </r>
  <r>
    <s v="Sale"/>
    <x v="667"/>
    <x v="8"/>
    <n v="33101"/>
    <s v="Heather Russell"/>
    <x v="0"/>
    <n v="1"/>
    <x v="0"/>
    <x v="2"/>
    <s v="Female"/>
    <x v="1"/>
    <s v="Iran"/>
    <s v="Middle East"/>
    <n v="75"/>
    <n v="125"/>
    <n v="50"/>
  </r>
  <r>
    <s v="Sale"/>
    <x v="668"/>
    <x v="8"/>
    <n v="33101"/>
    <s v="Daisy Scott"/>
    <x v="0"/>
    <n v="1"/>
    <x v="0"/>
    <x v="2"/>
    <s v="Female"/>
    <x v="1"/>
    <s v="Iran"/>
    <s v="Middle East"/>
    <n v="75"/>
    <n v="125"/>
    <n v="50"/>
  </r>
  <r>
    <s v="Sale"/>
    <x v="669"/>
    <x v="8"/>
    <n v="33101"/>
    <s v="Kirsten Harris"/>
    <x v="0"/>
    <n v="1"/>
    <x v="0"/>
    <x v="2"/>
    <s v="Female"/>
    <x v="1"/>
    <s v="Iran"/>
    <s v="Middle East"/>
    <n v="75"/>
    <n v="125"/>
    <n v="50"/>
  </r>
  <r>
    <s v="Sale"/>
    <x v="670"/>
    <x v="8"/>
    <n v="33101"/>
    <s v="Arianna Thompson"/>
    <x v="0"/>
    <n v="1"/>
    <x v="0"/>
    <x v="2"/>
    <s v="Female"/>
    <x v="1"/>
    <s v="Iran"/>
    <s v="Middle East"/>
    <n v="75"/>
    <n v="125"/>
    <n v="50"/>
  </r>
  <r>
    <s v="Sale"/>
    <x v="671"/>
    <x v="8"/>
    <n v="33101"/>
    <s v="Elise Edwards"/>
    <x v="0"/>
    <n v="1"/>
    <x v="0"/>
    <x v="2"/>
    <s v="Female"/>
    <x v="1"/>
    <s v="Iran"/>
    <s v="Middle East"/>
    <n v="75"/>
    <n v="125"/>
    <n v="50"/>
  </r>
  <r>
    <s v="Sale"/>
    <x v="672"/>
    <x v="8"/>
    <n v="33101"/>
    <s v="Briony Clark"/>
    <x v="0"/>
    <n v="1"/>
    <x v="0"/>
    <x v="2"/>
    <s v="Female"/>
    <x v="1"/>
    <s v="Iran"/>
    <s v="Middle East"/>
    <n v="75"/>
    <n v="125"/>
    <n v="50"/>
  </r>
  <r>
    <s v="Sale"/>
    <x v="673"/>
    <x v="8"/>
    <n v="33101"/>
    <s v="Rebecca Morris"/>
    <x v="0"/>
    <n v="1"/>
    <x v="0"/>
    <x v="2"/>
    <s v="Female"/>
    <x v="1"/>
    <s v="Iran"/>
    <s v="Middle East"/>
    <n v="75"/>
    <n v="125"/>
    <n v="50"/>
  </r>
  <r>
    <s v="Sale"/>
    <x v="674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75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76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77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78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79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80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81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82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83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84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85"/>
    <x v="8"/>
    <n v="33101"/>
    <s v="Kate Thompson"/>
    <x v="0"/>
    <n v="1"/>
    <x v="0"/>
    <x v="2"/>
    <s v="Female"/>
    <x v="1"/>
    <s v="Iran"/>
    <s v="Middle East"/>
    <n v="75"/>
    <n v="125"/>
    <n v="50"/>
  </r>
  <r>
    <s v="Sale"/>
    <x v="686"/>
    <x v="8"/>
    <n v="33101"/>
    <s v="Tara Ellis"/>
    <x v="0"/>
    <n v="1"/>
    <x v="0"/>
    <x v="2"/>
    <s v="Female"/>
    <x v="1"/>
    <s v="Iran"/>
    <s v="Middle East"/>
    <n v="75"/>
    <n v="125"/>
    <n v="50"/>
  </r>
  <r>
    <s v="Sale"/>
    <x v="687"/>
    <x v="8"/>
    <n v="33101"/>
    <s v="Myra Farrell"/>
    <x v="0"/>
    <n v="1"/>
    <x v="0"/>
    <x v="2"/>
    <s v="Female"/>
    <x v="1"/>
    <s v="Iran"/>
    <s v="Middle East"/>
    <n v="75"/>
    <n v="125"/>
    <n v="50"/>
  </r>
  <r>
    <s v="Sale"/>
    <x v="688"/>
    <x v="8"/>
    <n v="33101"/>
    <s v="Chloe Ellis"/>
    <x v="0"/>
    <n v="1"/>
    <x v="0"/>
    <x v="2"/>
    <s v="Female"/>
    <x v="1"/>
    <s v="Iran"/>
    <s v="Middle East"/>
    <n v="75"/>
    <n v="125"/>
    <n v="50"/>
  </r>
  <r>
    <s v="Sale"/>
    <x v="689"/>
    <x v="8"/>
    <n v="33101"/>
    <s v="Caroline Farrell"/>
    <x v="0"/>
    <n v="1"/>
    <x v="0"/>
    <x v="2"/>
    <s v="Female"/>
    <x v="1"/>
    <s v="Iran"/>
    <s v="Middle East"/>
    <n v="75"/>
    <n v="125"/>
    <n v="50"/>
  </r>
  <r>
    <s v="Sale"/>
    <x v="690"/>
    <x v="8"/>
    <n v="33101"/>
    <s v="Kelsey Reed"/>
    <x v="0"/>
    <n v="1"/>
    <x v="0"/>
    <x v="2"/>
    <s v="Female"/>
    <x v="1"/>
    <s v="Iran"/>
    <s v="Middle East"/>
    <n v="75"/>
    <n v="125"/>
    <n v="50"/>
  </r>
  <r>
    <s v="Sale"/>
    <x v="691"/>
    <x v="7"/>
    <n v="33101"/>
    <s v="Elise Hawkins"/>
    <x v="0"/>
    <n v="1"/>
    <x v="0"/>
    <x v="2"/>
    <s v="Female"/>
    <x v="0"/>
    <s v="Guatemala"/>
    <s v="Central America"/>
    <n v="25"/>
    <n v="30"/>
    <n v="5"/>
  </r>
  <r>
    <s v="Sale"/>
    <x v="692"/>
    <x v="8"/>
    <n v="33101"/>
    <s v="Lana Baker"/>
    <x v="0"/>
    <n v="1"/>
    <x v="0"/>
    <x v="2"/>
    <s v="Female"/>
    <x v="1"/>
    <s v="Iran"/>
    <s v="Middle East"/>
    <n v="75"/>
    <n v="125"/>
    <n v="50"/>
  </r>
  <r>
    <s v="Sale"/>
    <x v="693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94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95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96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97"/>
    <x v="8"/>
    <n v="33101"/>
    <s v="Neiman Marcus"/>
    <x v="1"/>
    <n v="1"/>
    <x v="0"/>
    <x v="2"/>
    <s v="Female"/>
    <x v="1"/>
    <s v="Iran"/>
    <s v="Middle East"/>
    <n v="75"/>
    <n v="125"/>
    <n v="50"/>
  </r>
  <r>
    <s v="Sale"/>
    <x v="698"/>
    <x v="9"/>
    <n v="33101"/>
    <s v="Neiman Marcus"/>
    <x v="1"/>
    <n v="1"/>
    <x v="0"/>
    <x v="2"/>
    <s v="Female"/>
    <x v="1"/>
    <s v="Azerbaijan"/>
    <s v="Middle East"/>
    <n v="1200"/>
    <n v="2000"/>
    <n v="800"/>
  </r>
  <r>
    <s v="Sale"/>
    <x v="699"/>
    <x v="8"/>
    <n v="33101"/>
    <s v="Lydia Owens"/>
    <x v="0"/>
    <n v="1"/>
    <x v="1"/>
    <x v="2"/>
    <s v="Female"/>
    <x v="1"/>
    <s v="Iran"/>
    <s v="Middle East"/>
    <n v="75"/>
    <n v="125"/>
    <n v="50"/>
  </r>
  <r>
    <s v="Sale"/>
    <x v="700"/>
    <x v="8"/>
    <n v="33101"/>
    <s v="Briony Armstrong"/>
    <x v="0"/>
    <n v="1"/>
    <x v="1"/>
    <x v="2"/>
    <s v="Female"/>
    <x v="1"/>
    <s v="Iran"/>
    <s v="Middle East"/>
    <n v="75"/>
    <n v="125"/>
    <n v="50"/>
  </r>
  <r>
    <s v="Sale"/>
    <x v="701"/>
    <x v="8"/>
    <n v="33101"/>
    <s v="Ali Gibs"/>
    <x v="0"/>
    <n v="1"/>
    <x v="1"/>
    <x v="2"/>
    <s v="Female"/>
    <x v="1"/>
    <s v="Iran"/>
    <s v="Middle East"/>
    <n v="75"/>
    <n v="125"/>
    <n v="50"/>
  </r>
  <r>
    <s v="Sale"/>
    <x v="702"/>
    <x v="8"/>
    <n v="33101"/>
    <s v="Connie Harper"/>
    <x v="0"/>
    <n v="1"/>
    <x v="1"/>
    <x v="2"/>
    <s v="Female"/>
    <x v="1"/>
    <s v="Iran"/>
    <s v="Middle East"/>
    <n v="75"/>
    <n v="125"/>
    <n v="50"/>
  </r>
  <r>
    <s v="Sale"/>
    <x v="703"/>
    <x v="8"/>
    <n v="33125"/>
    <s v="Amy Ellis"/>
    <x v="0"/>
    <n v="1"/>
    <x v="1"/>
    <x v="2"/>
    <s v="Female"/>
    <x v="1"/>
    <s v="Iran"/>
    <s v="Middle East"/>
    <n v="75"/>
    <n v="125"/>
    <n v="50"/>
  </r>
  <r>
    <s v="Sale"/>
    <x v="704"/>
    <x v="8"/>
    <n v="33125"/>
    <s v="Abigail Rogers"/>
    <x v="0"/>
    <n v="1"/>
    <x v="1"/>
    <x v="2"/>
    <s v="Female"/>
    <x v="1"/>
    <s v="Iran"/>
    <s v="Middle East"/>
    <n v="75"/>
    <n v="125"/>
    <n v="50"/>
  </r>
  <r>
    <s v="Sale"/>
    <x v="705"/>
    <x v="8"/>
    <n v="33125"/>
    <s v="Emily Tucker"/>
    <x v="0"/>
    <n v="1"/>
    <x v="1"/>
    <x v="2"/>
    <s v="Female"/>
    <x v="1"/>
    <s v="Iran"/>
    <s v="Middle East"/>
    <n v="75"/>
    <n v="125"/>
    <n v="50"/>
  </r>
  <r>
    <s v="Sale"/>
    <x v="706"/>
    <x v="8"/>
    <n v="33125"/>
    <s v="Honua Tho"/>
    <x v="0"/>
    <n v="1"/>
    <x v="1"/>
    <x v="2"/>
    <s v="Female"/>
    <x v="1"/>
    <s v="Iran"/>
    <s v="Middle East"/>
    <n v="75"/>
    <n v="125"/>
    <n v="50"/>
  </r>
  <r>
    <s v="Sale"/>
    <x v="707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708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709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710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711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712"/>
    <x v="7"/>
    <n v="33125"/>
    <s v="Kohls"/>
    <x v="1"/>
    <n v="1"/>
    <x v="1"/>
    <x v="2"/>
    <s v="Female"/>
    <x v="0"/>
    <s v="Guatemala"/>
    <s v="Central America"/>
    <n v="25"/>
    <n v="30"/>
    <n v="5"/>
  </r>
  <r>
    <s v="Sale"/>
    <x v="713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714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715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716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717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718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719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720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721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722"/>
    <x v="8"/>
    <n v="33125"/>
    <s v="Rubie Murphy"/>
    <x v="0"/>
    <n v="1"/>
    <x v="1"/>
    <x v="2"/>
    <s v="Female"/>
    <x v="1"/>
    <s v="Iran"/>
    <s v="Middle East"/>
    <n v="75"/>
    <n v="125"/>
    <n v="50"/>
  </r>
  <r>
    <s v="Sale"/>
    <x v="723"/>
    <x v="5"/>
    <n v="33125"/>
    <s v="Kohls"/>
    <x v="1"/>
    <n v="1"/>
    <x v="1"/>
    <x v="2"/>
    <s v="Female"/>
    <x v="0"/>
    <s v="Honduras"/>
    <s v="Central America"/>
    <n v="30"/>
    <n v="45"/>
    <n v="15"/>
  </r>
  <r>
    <s v="Sale"/>
    <x v="724"/>
    <x v="8"/>
    <n v="33125"/>
    <s v="Janice Harkins"/>
    <x v="0"/>
    <n v="1"/>
    <x v="1"/>
    <x v="2"/>
    <s v="Female"/>
    <x v="1"/>
    <s v="Iran"/>
    <s v="Middle East"/>
    <n v="75"/>
    <n v="125"/>
    <n v="50"/>
  </r>
  <r>
    <s v="Sale"/>
    <x v="725"/>
    <x v="8"/>
    <n v="33125"/>
    <s v="Lydia Perry"/>
    <x v="0"/>
    <n v="1"/>
    <x v="1"/>
    <x v="2"/>
    <s v="Female"/>
    <x v="1"/>
    <s v="Iran"/>
    <s v="Middle East"/>
    <n v="75"/>
    <n v="125"/>
    <n v="50"/>
  </r>
  <r>
    <s v="Sale"/>
    <x v="726"/>
    <x v="8"/>
    <n v="33125"/>
    <s v="Maddie Gray"/>
    <x v="0"/>
    <n v="1"/>
    <x v="1"/>
    <x v="2"/>
    <s v="Female"/>
    <x v="1"/>
    <s v="Iran"/>
    <s v="Middle East"/>
    <n v="75"/>
    <n v="125"/>
    <n v="50"/>
  </r>
  <r>
    <s v="Sale"/>
    <x v="727"/>
    <x v="8"/>
    <n v="33125"/>
    <s v="Isabella Campbell"/>
    <x v="0"/>
    <n v="1"/>
    <x v="1"/>
    <x v="2"/>
    <s v="Female"/>
    <x v="1"/>
    <s v="Iran"/>
    <s v="Middle East"/>
    <n v="75"/>
    <n v="125"/>
    <n v="50"/>
  </r>
  <r>
    <s v="Sale"/>
    <x v="728"/>
    <x v="8"/>
    <n v="33125"/>
    <s v="Olivia Cunningham"/>
    <x v="0"/>
    <n v="1"/>
    <x v="1"/>
    <x v="2"/>
    <s v="Female"/>
    <x v="1"/>
    <s v="Iran"/>
    <s v="Middle East"/>
    <n v="75"/>
    <n v="125"/>
    <n v="50"/>
  </r>
  <r>
    <s v="Sale"/>
    <x v="729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730"/>
    <x v="6"/>
    <n v="90005"/>
    <s v="Paige Mitchell"/>
    <x v="0"/>
    <n v="1"/>
    <x v="0"/>
    <x v="0"/>
    <s v="Female"/>
    <x v="1"/>
    <s v="Afghanistan"/>
    <s v="Middle East"/>
    <n v="150"/>
    <n v="75"/>
    <n v="-75"/>
  </r>
  <r>
    <s v="Sale"/>
    <x v="731"/>
    <x v="6"/>
    <n v="33159"/>
    <s v="Neiman Marcus"/>
    <x v="1"/>
    <n v="1"/>
    <x v="1"/>
    <x v="2"/>
    <s v="Female"/>
    <x v="1"/>
    <s v="Afghanistan"/>
    <s v="Middle East"/>
    <n v="150"/>
    <n v="75"/>
    <n v="-75"/>
  </r>
  <r>
    <s v="Sale"/>
    <x v="732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33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34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35"/>
    <x v="8"/>
    <n v="33159"/>
    <s v="Charlotte Scott"/>
    <x v="0"/>
    <n v="1"/>
    <x v="1"/>
    <x v="2"/>
    <s v="Female"/>
    <x v="1"/>
    <s v="Iran"/>
    <s v="Middle East"/>
    <n v="75"/>
    <n v="125"/>
    <n v="50"/>
  </r>
  <r>
    <s v="Sale"/>
    <x v="736"/>
    <x v="8"/>
    <n v="33159"/>
    <s v="Melissa Douglas"/>
    <x v="0"/>
    <n v="1"/>
    <x v="1"/>
    <x v="2"/>
    <s v="Female"/>
    <x v="1"/>
    <s v="Iran"/>
    <s v="Middle East"/>
    <n v="75"/>
    <n v="125"/>
    <n v="50"/>
  </r>
  <r>
    <s v="Sale"/>
    <x v="737"/>
    <x v="8"/>
    <n v="33159"/>
    <s v="Alberta Edwards"/>
    <x v="0"/>
    <n v="1"/>
    <x v="1"/>
    <x v="2"/>
    <s v="Female"/>
    <x v="1"/>
    <s v="Iran"/>
    <s v="Middle East"/>
    <n v="75"/>
    <n v="125"/>
    <n v="50"/>
  </r>
  <r>
    <s v="Sale"/>
    <x v="738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39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40"/>
    <x v="6"/>
    <n v="90005"/>
    <s v="Camila Nelson"/>
    <x v="0"/>
    <n v="1"/>
    <x v="0"/>
    <x v="0"/>
    <s v="Female"/>
    <x v="1"/>
    <s v="Afghanistan"/>
    <s v="Middle East"/>
    <n v="150"/>
    <n v="75"/>
    <n v="-75"/>
  </r>
  <r>
    <s v="Sale"/>
    <x v="741"/>
    <x v="6"/>
    <n v="90005"/>
    <s v="Myra Murphy"/>
    <x v="0"/>
    <n v="1"/>
    <x v="0"/>
    <x v="0"/>
    <s v="Female"/>
    <x v="1"/>
    <s v="Afghanistan"/>
    <s v="Middle East"/>
    <n v="150"/>
    <n v="75"/>
    <n v="-75"/>
  </r>
  <r>
    <s v="Sale"/>
    <x v="742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43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44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45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46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47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48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49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50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51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52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53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54"/>
    <x v="8"/>
    <n v="33159"/>
    <s v="Natalie Harrison"/>
    <x v="0"/>
    <n v="1"/>
    <x v="1"/>
    <x v="2"/>
    <s v="Female"/>
    <x v="1"/>
    <s v="Iran"/>
    <s v="Middle East"/>
    <n v="75"/>
    <n v="125"/>
    <n v="50"/>
  </r>
  <r>
    <s v="Sale"/>
    <x v="755"/>
    <x v="9"/>
    <n v="33159"/>
    <s v="Tess Dixon"/>
    <x v="0"/>
    <n v="1"/>
    <x v="1"/>
    <x v="2"/>
    <s v="Female"/>
    <x v="1"/>
    <s v="Azerbaijan"/>
    <s v="Middle East"/>
    <n v="1200"/>
    <n v="2000"/>
    <n v="800"/>
  </r>
  <r>
    <s v="Sale"/>
    <x v="756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57"/>
    <x v="9"/>
    <n v="33159"/>
    <s v="Neiman Marcus"/>
    <x v="1"/>
    <n v="1"/>
    <x v="1"/>
    <x v="2"/>
    <s v="Female"/>
    <x v="1"/>
    <s v="Azerbaijan"/>
    <s v="Middle East"/>
    <n v="1200"/>
    <n v="2000"/>
    <n v="800"/>
  </r>
  <r>
    <s v="Sale"/>
    <x v="758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59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60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61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62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63"/>
    <x v="6"/>
    <n v="90005"/>
    <s v="Sydney Harris"/>
    <x v="0"/>
    <n v="1"/>
    <x v="0"/>
    <x v="0"/>
    <s v="Female"/>
    <x v="1"/>
    <s v="Afghanistan"/>
    <s v="Middle East"/>
    <n v="150"/>
    <n v="75"/>
    <n v="-75"/>
  </r>
  <r>
    <s v="Sale"/>
    <x v="764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65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766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67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768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69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70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71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72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73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74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775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776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777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778"/>
    <x v="6"/>
    <n v="90005"/>
    <s v="Bloomingdales"/>
    <x v="1"/>
    <n v="1"/>
    <x v="0"/>
    <x v="0"/>
    <s v="Female"/>
    <x v="1"/>
    <s v="Afghanistan"/>
    <s v="Middle East"/>
    <n v="150"/>
    <n v="75"/>
    <n v="-75"/>
  </r>
  <r>
    <s v="Sale"/>
    <x v="779"/>
    <x v="8"/>
    <n v="33159"/>
    <s v="Neiman Marcus"/>
    <x v="1"/>
    <n v="1"/>
    <x v="1"/>
    <x v="2"/>
    <s v="Female"/>
    <x v="1"/>
    <s v="Iran"/>
    <s v="Middle East"/>
    <n v="75"/>
    <n v="125"/>
    <n v="50"/>
  </r>
  <r>
    <s v="Sale"/>
    <x v="780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81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82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83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84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85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86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87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88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89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90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91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92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93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94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95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96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97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98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799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800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801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802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803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804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805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806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807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808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809"/>
    <x v="4"/>
    <n v="10001"/>
    <s v="Barneys New York"/>
    <x v="1"/>
    <n v="1"/>
    <x v="2"/>
    <x v="1"/>
    <s v="Female"/>
    <x v="2"/>
    <s v="Romania"/>
    <s v="Eastern Europe"/>
    <n v="350"/>
    <n v="450"/>
    <n v="100"/>
  </r>
  <r>
    <s v="Sale"/>
    <x v="810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11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12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13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14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15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16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17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18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19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20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21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22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23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24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25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26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27"/>
    <x v="4"/>
    <n v="10022"/>
    <s v="Barneys New York"/>
    <x v="1"/>
    <n v="1"/>
    <x v="2"/>
    <x v="1"/>
    <s v="Female"/>
    <x v="2"/>
    <s v="Romania"/>
    <s v="Eastern Europe"/>
    <n v="350"/>
    <n v="450"/>
    <n v="100"/>
  </r>
  <r>
    <s v="Sale"/>
    <x v="828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29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30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31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32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33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34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35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36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37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38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39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40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41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42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43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44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45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46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47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48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49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50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51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52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53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54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55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56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57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58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59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60"/>
    <x v="4"/>
    <n v="10022"/>
    <s v="Barneys New York"/>
    <x v="1"/>
    <n v="1"/>
    <x v="0"/>
    <x v="1"/>
    <s v="Female"/>
    <x v="2"/>
    <s v="Romania"/>
    <s v="Eastern Europe"/>
    <n v="350"/>
    <n v="450"/>
    <n v="100"/>
  </r>
  <r>
    <s v="Sale"/>
    <x v="861"/>
    <x v="5"/>
    <n v="90005"/>
    <s v="Mary Kelly"/>
    <x v="0"/>
    <n v="1"/>
    <x v="0"/>
    <x v="0"/>
    <s v="Female"/>
    <x v="0"/>
    <s v="Honduras"/>
    <s v="Central America"/>
    <n v="30"/>
    <n v="45"/>
    <n v="15"/>
  </r>
  <r>
    <s v="Sale"/>
    <x v="862"/>
    <x v="5"/>
    <n v="90005"/>
    <s v="Ryan Evans"/>
    <x v="0"/>
    <n v="1"/>
    <x v="0"/>
    <x v="0"/>
    <s v="Female"/>
    <x v="0"/>
    <s v="Honduras"/>
    <s v="Central America"/>
    <n v="30"/>
    <n v="45"/>
    <n v="15"/>
  </r>
  <r>
    <s v="Sale"/>
    <x v="863"/>
    <x v="6"/>
    <n v="90005"/>
    <s v="Ashton Watson"/>
    <x v="0"/>
    <n v="1"/>
    <x v="0"/>
    <x v="0"/>
    <s v="Female"/>
    <x v="1"/>
    <s v="Afghanistan"/>
    <s v="Middle East"/>
    <n v="150"/>
    <n v="75"/>
    <n v="-75"/>
  </r>
  <r>
    <s v="Sale"/>
    <x v="864"/>
    <x v="5"/>
    <n v="90005"/>
    <s v="Olivia Miller"/>
    <x v="0"/>
    <n v="1"/>
    <x v="1"/>
    <x v="0"/>
    <s v="Female"/>
    <x v="0"/>
    <s v="Honduras"/>
    <s v="Central America"/>
    <n v="30"/>
    <n v="45"/>
    <n v="15"/>
  </r>
  <r>
    <s v="Sale"/>
    <x v="865"/>
    <x v="6"/>
    <n v="90005"/>
    <s v="Robert Roberts"/>
    <x v="0"/>
    <n v="1"/>
    <x v="0"/>
    <x v="0"/>
    <s v="Female"/>
    <x v="1"/>
    <s v="Afghanistan"/>
    <s v="Middle East"/>
    <n v="150"/>
    <n v="75"/>
    <n v="-75"/>
  </r>
  <r>
    <s v="Sale"/>
    <x v="866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867"/>
    <x v="5"/>
    <n v="10022"/>
    <s v="Macys"/>
    <x v="1"/>
    <n v="1"/>
    <x v="1"/>
    <x v="1"/>
    <s v="Female"/>
    <x v="0"/>
    <s v="Honduras"/>
    <s v="Central America"/>
    <n v="30"/>
    <n v="45"/>
    <n v="15"/>
  </r>
  <r>
    <s v="Sale"/>
    <x v="868"/>
    <x v="5"/>
    <n v="10022"/>
    <s v="Jenna Miller"/>
    <x v="0"/>
    <n v="1"/>
    <x v="1"/>
    <x v="1"/>
    <s v="Female"/>
    <x v="0"/>
    <s v="Honduras"/>
    <s v="Central America"/>
    <n v="30"/>
    <n v="45"/>
    <n v="15"/>
  </r>
  <r>
    <s v="Sale"/>
    <x v="869"/>
    <x v="5"/>
    <n v="10022"/>
    <s v="Lana Bennett"/>
    <x v="0"/>
    <n v="1"/>
    <x v="1"/>
    <x v="1"/>
    <s v="Female"/>
    <x v="0"/>
    <s v="Honduras"/>
    <s v="Central America"/>
    <n v="30"/>
    <n v="45"/>
    <n v="15"/>
  </r>
  <r>
    <s v="Sale"/>
    <x v="870"/>
    <x v="5"/>
    <n v="10022"/>
    <s v="Thomas Mitchell"/>
    <x v="0"/>
    <n v="1"/>
    <x v="1"/>
    <x v="1"/>
    <s v="Female"/>
    <x v="0"/>
    <s v="Honduras"/>
    <s v="Central America"/>
    <n v="30"/>
    <n v="45"/>
    <n v="15"/>
  </r>
  <r>
    <s v="Sale"/>
    <x v="871"/>
    <x v="5"/>
    <n v="10022"/>
    <s v="Mike Perry"/>
    <x v="0"/>
    <n v="1"/>
    <x v="1"/>
    <x v="1"/>
    <s v="Female"/>
    <x v="0"/>
    <s v="Honduras"/>
    <s v="Central America"/>
    <n v="30"/>
    <n v="45"/>
    <n v="15"/>
  </r>
  <r>
    <s v="Sale"/>
    <x v="872"/>
    <x v="5"/>
    <n v="10022"/>
    <s v="JCPenney"/>
    <x v="1"/>
    <n v="1"/>
    <x v="1"/>
    <x v="1"/>
    <s v="Female"/>
    <x v="0"/>
    <s v="Honduras"/>
    <s v="Central America"/>
    <n v="30"/>
    <n v="45"/>
    <n v="15"/>
  </r>
  <r>
    <s v="Sale"/>
    <x v="873"/>
    <x v="5"/>
    <n v="10022"/>
    <s v="JCPenney"/>
    <x v="1"/>
    <n v="1"/>
    <x v="1"/>
    <x v="1"/>
    <s v="Female"/>
    <x v="0"/>
    <s v="Honduras"/>
    <s v="Central America"/>
    <n v="30"/>
    <n v="45"/>
    <n v="15"/>
  </r>
  <r>
    <s v="Sale"/>
    <x v="874"/>
    <x v="5"/>
    <n v="10022"/>
    <s v="JCPenney"/>
    <x v="1"/>
    <n v="1"/>
    <x v="1"/>
    <x v="1"/>
    <s v="Female"/>
    <x v="0"/>
    <s v="Honduras"/>
    <s v="Central America"/>
    <n v="30"/>
    <n v="45"/>
    <n v="15"/>
  </r>
  <r>
    <s v="Sale"/>
    <x v="875"/>
    <x v="5"/>
    <n v="10022"/>
    <s v="JCPenney"/>
    <x v="1"/>
    <n v="1"/>
    <x v="1"/>
    <x v="1"/>
    <s v="Female"/>
    <x v="0"/>
    <s v="Honduras"/>
    <s v="Central America"/>
    <n v="30"/>
    <n v="45"/>
    <n v="15"/>
  </r>
  <r>
    <s v="Sale"/>
    <x v="876"/>
    <x v="5"/>
    <n v="10022"/>
    <s v="JCPenney"/>
    <x v="1"/>
    <n v="1"/>
    <x v="1"/>
    <x v="1"/>
    <s v="Female"/>
    <x v="0"/>
    <s v="Honduras"/>
    <s v="Central America"/>
    <n v="30"/>
    <n v="45"/>
    <n v="15"/>
  </r>
  <r>
    <s v="Sale"/>
    <x v="877"/>
    <x v="5"/>
    <n v="10022"/>
    <s v="JCPenney"/>
    <x v="1"/>
    <n v="1"/>
    <x v="1"/>
    <x v="1"/>
    <s v="Female"/>
    <x v="0"/>
    <s v="Honduras"/>
    <s v="Central America"/>
    <n v="30"/>
    <n v="45"/>
    <n v="15"/>
  </r>
  <r>
    <s v="Sale"/>
    <x v="878"/>
    <x v="5"/>
    <n v="10022"/>
    <s v="JCPenney"/>
    <x v="1"/>
    <n v="1"/>
    <x v="1"/>
    <x v="1"/>
    <s v="Female"/>
    <x v="0"/>
    <s v="Honduras"/>
    <s v="Central America"/>
    <n v="30"/>
    <n v="45"/>
    <n v="15"/>
  </r>
  <r>
    <s v="Sale"/>
    <x v="879"/>
    <x v="5"/>
    <n v="10022"/>
    <s v="JCPenney"/>
    <x v="1"/>
    <n v="1"/>
    <x v="1"/>
    <x v="1"/>
    <s v="Female"/>
    <x v="0"/>
    <s v="Honduras"/>
    <s v="Central America"/>
    <n v="30"/>
    <n v="45"/>
    <n v="15"/>
  </r>
  <r>
    <s v="Sale"/>
    <x v="880"/>
    <x v="6"/>
    <n v="90005"/>
    <s v="Eleanor Clark"/>
    <x v="0"/>
    <n v="1"/>
    <x v="0"/>
    <x v="0"/>
    <s v="Female"/>
    <x v="1"/>
    <s v="Afghanistan"/>
    <s v="Middle East"/>
    <n v="150"/>
    <n v="75"/>
    <n v="-75"/>
  </r>
  <r>
    <s v="Sale"/>
    <x v="881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882"/>
    <x v="6"/>
    <n v="90005"/>
    <s v="Bruce Myers"/>
    <x v="0"/>
    <n v="1"/>
    <x v="0"/>
    <x v="0"/>
    <s v="Female"/>
    <x v="1"/>
    <s v="Afghanistan"/>
    <s v="Middle East"/>
    <n v="150"/>
    <n v="75"/>
    <n v="-75"/>
  </r>
  <r>
    <s v="Sale"/>
    <x v="883"/>
    <x v="9"/>
    <n v="33101"/>
    <s v="Neiman Marcus"/>
    <x v="1"/>
    <n v="1"/>
    <x v="1"/>
    <x v="2"/>
    <s v="Female"/>
    <x v="1"/>
    <s v="Azerbaijan"/>
    <s v="Middle East"/>
    <n v="1200"/>
    <n v="2000"/>
    <n v="800"/>
  </r>
  <r>
    <s v="Sale"/>
    <x v="884"/>
    <x v="6"/>
    <n v="90005"/>
    <s v="Paige Murray"/>
    <x v="0"/>
    <n v="1"/>
    <x v="0"/>
    <x v="0"/>
    <s v="Female"/>
    <x v="1"/>
    <s v="Afghanistan"/>
    <s v="Middle East"/>
    <n v="150"/>
    <n v="75"/>
    <n v="-75"/>
  </r>
  <r>
    <s v="Sale"/>
    <x v="885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886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887"/>
    <x v="8"/>
    <n v="33101"/>
    <s v="Bruce Payne"/>
    <x v="0"/>
    <n v="1"/>
    <x v="1"/>
    <x v="2"/>
    <s v="Female"/>
    <x v="1"/>
    <s v="Iran"/>
    <s v="Middle East"/>
    <n v="75"/>
    <n v="125"/>
    <n v="50"/>
  </r>
  <r>
    <s v="Sale"/>
    <x v="888"/>
    <x v="8"/>
    <n v="33101"/>
    <s v="Ted Jones"/>
    <x v="0"/>
    <n v="1"/>
    <x v="1"/>
    <x v="2"/>
    <s v="Female"/>
    <x v="1"/>
    <s v="Iran"/>
    <s v="Middle East"/>
    <n v="75"/>
    <n v="125"/>
    <n v="50"/>
  </r>
  <r>
    <s v="Sale"/>
    <x v="889"/>
    <x v="8"/>
    <n v="33101"/>
    <s v="Julian Edwards"/>
    <x v="0"/>
    <n v="1"/>
    <x v="1"/>
    <x v="2"/>
    <s v="Female"/>
    <x v="1"/>
    <s v="Iran"/>
    <s v="Middle East"/>
    <n v="75"/>
    <n v="125"/>
    <n v="50"/>
  </r>
  <r>
    <s v="Sale"/>
    <x v="890"/>
    <x v="8"/>
    <n v="33101"/>
    <s v="Kellan Ryan"/>
    <x v="0"/>
    <n v="1"/>
    <x v="1"/>
    <x v="2"/>
    <s v="Female"/>
    <x v="1"/>
    <s v="Iran"/>
    <s v="Middle East"/>
    <n v="75"/>
    <n v="125"/>
    <n v="50"/>
  </r>
  <r>
    <s v="Sale"/>
    <x v="891"/>
    <x v="8"/>
    <n v="33101"/>
    <s v="Carl Moore"/>
    <x v="0"/>
    <n v="1"/>
    <x v="1"/>
    <x v="2"/>
    <s v="Female"/>
    <x v="1"/>
    <s v="Iran"/>
    <s v="Middle East"/>
    <n v="75"/>
    <n v="125"/>
    <n v="50"/>
  </r>
  <r>
    <s v="Sale"/>
    <x v="892"/>
    <x v="8"/>
    <n v="33101"/>
    <s v="David Davis"/>
    <x v="0"/>
    <n v="1"/>
    <x v="1"/>
    <x v="2"/>
    <s v="Female"/>
    <x v="1"/>
    <s v="Iran"/>
    <s v="Middle East"/>
    <n v="75"/>
    <n v="125"/>
    <n v="50"/>
  </r>
  <r>
    <s v="Sale"/>
    <x v="893"/>
    <x v="8"/>
    <n v="33101"/>
    <s v="Amelia Ellis"/>
    <x v="0"/>
    <n v="1"/>
    <x v="1"/>
    <x v="2"/>
    <s v="Female"/>
    <x v="1"/>
    <s v="Iran"/>
    <s v="Middle East"/>
    <n v="75"/>
    <n v="125"/>
    <n v="50"/>
  </r>
  <r>
    <s v="Sale"/>
    <x v="894"/>
    <x v="8"/>
    <n v="33101"/>
    <s v="Amber Cameron"/>
    <x v="0"/>
    <n v="1"/>
    <x v="1"/>
    <x v="2"/>
    <s v="Female"/>
    <x v="1"/>
    <s v="Iran"/>
    <s v="Middle East"/>
    <n v="75"/>
    <n v="125"/>
    <n v="50"/>
  </r>
  <r>
    <s v="Sale"/>
    <x v="895"/>
    <x v="8"/>
    <n v="33101"/>
    <s v="Steven Casey"/>
    <x v="0"/>
    <n v="1"/>
    <x v="1"/>
    <x v="2"/>
    <s v="Female"/>
    <x v="1"/>
    <s v="Iran"/>
    <s v="Middle East"/>
    <n v="75"/>
    <n v="125"/>
    <n v="50"/>
  </r>
  <r>
    <s v="Sale"/>
    <x v="896"/>
    <x v="8"/>
    <n v="33101"/>
    <s v="Edwin Cole"/>
    <x v="0"/>
    <n v="1"/>
    <x v="1"/>
    <x v="2"/>
    <s v="Female"/>
    <x v="1"/>
    <s v="Iran"/>
    <s v="Middle East"/>
    <n v="75"/>
    <n v="125"/>
    <n v="50"/>
  </r>
  <r>
    <s v="Sale"/>
    <x v="897"/>
    <x v="8"/>
    <n v="33101"/>
    <s v="Martin Ross"/>
    <x v="0"/>
    <n v="1"/>
    <x v="1"/>
    <x v="2"/>
    <s v="Female"/>
    <x v="1"/>
    <s v="Iran"/>
    <s v="Middle East"/>
    <n v="75"/>
    <n v="125"/>
    <n v="50"/>
  </r>
  <r>
    <s v="Sale"/>
    <x v="898"/>
    <x v="8"/>
    <n v="33101"/>
    <s v="Emily Wells"/>
    <x v="0"/>
    <n v="1"/>
    <x v="1"/>
    <x v="2"/>
    <s v="Female"/>
    <x v="1"/>
    <s v="Iran"/>
    <s v="Middle East"/>
    <n v="75"/>
    <n v="125"/>
    <n v="50"/>
  </r>
  <r>
    <s v="Sale"/>
    <x v="899"/>
    <x v="8"/>
    <n v="33101"/>
    <s v="Kellan Johnson"/>
    <x v="0"/>
    <n v="1"/>
    <x v="1"/>
    <x v="2"/>
    <s v="Female"/>
    <x v="1"/>
    <s v="Iran"/>
    <s v="Middle East"/>
    <n v="75"/>
    <n v="125"/>
    <n v="50"/>
  </r>
  <r>
    <s v="Sale"/>
    <x v="900"/>
    <x v="8"/>
    <n v="33101"/>
    <s v="Adelaide Johnston"/>
    <x v="0"/>
    <n v="1"/>
    <x v="1"/>
    <x v="2"/>
    <s v="Female"/>
    <x v="1"/>
    <s v="Iran"/>
    <s v="Middle East"/>
    <n v="75"/>
    <n v="125"/>
    <n v="50"/>
  </r>
  <r>
    <s v="Sale"/>
    <x v="901"/>
    <x v="8"/>
    <n v="33101"/>
    <s v="Amy Moore"/>
    <x v="0"/>
    <n v="1"/>
    <x v="1"/>
    <x v="2"/>
    <s v="Female"/>
    <x v="1"/>
    <s v="Iran"/>
    <s v="Middle East"/>
    <n v="75"/>
    <n v="125"/>
    <n v="50"/>
  </r>
  <r>
    <s v="Sale"/>
    <x v="902"/>
    <x v="8"/>
    <n v="33101"/>
    <s v="Martin Scott"/>
    <x v="0"/>
    <n v="1"/>
    <x v="1"/>
    <x v="2"/>
    <s v="Female"/>
    <x v="1"/>
    <s v="Iran"/>
    <s v="Middle East"/>
    <n v="75"/>
    <n v="125"/>
    <n v="50"/>
  </r>
  <r>
    <s v="Sale"/>
    <x v="903"/>
    <x v="8"/>
    <n v="33101"/>
    <s v="Oliver Baker"/>
    <x v="0"/>
    <n v="1"/>
    <x v="1"/>
    <x v="2"/>
    <s v="Female"/>
    <x v="1"/>
    <s v="Iran"/>
    <s v="Middle East"/>
    <n v="75"/>
    <n v="125"/>
    <n v="50"/>
  </r>
  <r>
    <s v="Sale"/>
    <x v="904"/>
    <x v="8"/>
    <n v="33101"/>
    <s v="Naomi Wilson"/>
    <x v="0"/>
    <n v="1"/>
    <x v="1"/>
    <x v="2"/>
    <s v="Female"/>
    <x v="1"/>
    <s v="Iran"/>
    <s v="Middle East"/>
    <n v="75"/>
    <n v="125"/>
    <n v="50"/>
  </r>
  <r>
    <s v="Sale"/>
    <x v="905"/>
    <x v="8"/>
    <n v="33101"/>
    <s v="Abraham Cole"/>
    <x v="0"/>
    <n v="1"/>
    <x v="1"/>
    <x v="2"/>
    <s v="Female"/>
    <x v="1"/>
    <s v="Iran"/>
    <s v="Middle East"/>
    <n v="75"/>
    <n v="125"/>
    <n v="50"/>
  </r>
  <r>
    <s v="Sale"/>
    <x v="906"/>
    <x v="8"/>
    <n v="33101"/>
    <s v="Jared Robinson"/>
    <x v="0"/>
    <n v="1"/>
    <x v="1"/>
    <x v="2"/>
    <s v="Female"/>
    <x v="1"/>
    <s v="Iran"/>
    <s v="Middle East"/>
    <n v="75"/>
    <n v="125"/>
    <n v="50"/>
  </r>
  <r>
    <s v="Sale"/>
    <x v="907"/>
    <x v="8"/>
    <n v="33101"/>
    <s v="Daniel Payne"/>
    <x v="0"/>
    <n v="1"/>
    <x v="1"/>
    <x v="2"/>
    <s v="Female"/>
    <x v="1"/>
    <s v="Iran"/>
    <s v="Middle East"/>
    <n v="75"/>
    <n v="125"/>
    <n v="50"/>
  </r>
  <r>
    <s v="Sale"/>
    <x v="908"/>
    <x v="8"/>
    <n v="33101"/>
    <s v="Aston Richardson"/>
    <x v="0"/>
    <n v="1"/>
    <x v="1"/>
    <x v="2"/>
    <s v="Female"/>
    <x v="1"/>
    <s v="Iran"/>
    <s v="Middle East"/>
    <n v="75"/>
    <n v="125"/>
    <n v="50"/>
  </r>
  <r>
    <s v="Sale"/>
    <x v="909"/>
    <x v="8"/>
    <n v="33101"/>
    <s v="Oscar Cameron"/>
    <x v="0"/>
    <n v="1"/>
    <x v="1"/>
    <x v="2"/>
    <s v="Female"/>
    <x v="1"/>
    <s v="Iran"/>
    <s v="Middle East"/>
    <n v="75"/>
    <n v="125"/>
    <n v="50"/>
  </r>
  <r>
    <s v="Sale"/>
    <x v="910"/>
    <x v="8"/>
    <n v="33101"/>
    <s v="Myra Taylor"/>
    <x v="0"/>
    <n v="1"/>
    <x v="1"/>
    <x v="2"/>
    <s v="Female"/>
    <x v="1"/>
    <s v="Iran"/>
    <s v="Middle East"/>
    <n v="75"/>
    <n v="125"/>
    <n v="50"/>
  </r>
  <r>
    <s v="Sale"/>
    <x v="911"/>
    <x v="8"/>
    <n v="33101"/>
    <s v="Owen Lloyd"/>
    <x v="0"/>
    <n v="1"/>
    <x v="1"/>
    <x v="2"/>
    <s v="Female"/>
    <x v="1"/>
    <s v="Iran"/>
    <s v="Middle East"/>
    <n v="75"/>
    <n v="125"/>
    <n v="50"/>
  </r>
  <r>
    <s v="Sale"/>
    <x v="912"/>
    <x v="8"/>
    <n v="33101"/>
    <s v="Adrian Moore"/>
    <x v="0"/>
    <n v="1"/>
    <x v="1"/>
    <x v="2"/>
    <s v="Female"/>
    <x v="1"/>
    <s v="Iran"/>
    <s v="Middle East"/>
    <n v="75"/>
    <n v="125"/>
    <n v="50"/>
  </r>
  <r>
    <s v="Sale"/>
    <x v="913"/>
    <x v="8"/>
    <n v="33101"/>
    <s v="Jordan Elliott"/>
    <x v="0"/>
    <n v="1"/>
    <x v="1"/>
    <x v="2"/>
    <s v="Female"/>
    <x v="1"/>
    <s v="Iran"/>
    <s v="Middle East"/>
    <n v="75"/>
    <n v="125"/>
    <n v="50"/>
  </r>
  <r>
    <s v="Sale"/>
    <x v="914"/>
    <x v="8"/>
    <n v="33101"/>
    <s v="Honey Johnston"/>
    <x v="0"/>
    <n v="1"/>
    <x v="1"/>
    <x v="2"/>
    <s v="Female"/>
    <x v="1"/>
    <s v="Iran"/>
    <s v="Middle East"/>
    <n v="75"/>
    <n v="125"/>
    <n v="50"/>
  </r>
  <r>
    <s v="Sale"/>
    <x v="915"/>
    <x v="8"/>
    <n v="33101"/>
    <s v="Tyler Cole"/>
    <x v="0"/>
    <n v="1"/>
    <x v="1"/>
    <x v="2"/>
    <s v="Female"/>
    <x v="1"/>
    <s v="Iran"/>
    <s v="Middle East"/>
    <n v="75"/>
    <n v="125"/>
    <n v="50"/>
  </r>
  <r>
    <s v="Sale"/>
    <x v="916"/>
    <x v="8"/>
    <n v="33101"/>
    <s v="Brooke Russell"/>
    <x v="0"/>
    <n v="1"/>
    <x v="1"/>
    <x v="2"/>
    <s v="Female"/>
    <x v="1"/>
    <s v="Iran"/>
    <s v="Middle East"/>
    <n v="75"/>
    <n v="125"/>
    <n v="50"/>
  </r>
  <r>
    <s v="Sale"/>
    <x v="917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918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919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920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921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922"/>
    <x v="7"/>
    <n v="33101"/>
    <s v="Fiona Russell"/>
    <x v="0"/>
    <n v="1"/>
    <x v="1"/>
    <x v="2"/>
    <s v="Female"/>
    <x v="0"/>
    <s v="Guatemala"/>
    <s v="Central America"/>
    <n v="25"/>
    <n v="30"/>
    <n v="5"/>
  </r>
  <r>
    <s v="Sale"/>
    <x v="923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924"/>
    <x v="7"/>
    <n v="33101"/>
    <s v="Aston Casey"/>
    <x v="0"/>
    <n v="1"/>
    <x v="1"/>
    <x v="2"/>
    <s v="Female"/>
    <x v="0"/>
    <s v="Guatemala"/>
    <s v="Central America"/>
    <n v="25"/>
    <n v="30"/>
    <n v="5"/>
  </r>
  <r>
    <s v="Sale"/>
    <x v="925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926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927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928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929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930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931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932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933"/>
    <x v="8"/>
    <n v="33101"/>
    <s v="Neiman Marcus"/>
    <x v="1"/>
    <n v="1"/>
    <x v="1"/>
    <x v="2"/>
    <s v="Female"/>
    <x v="1"/>
    <s v="Iran"/>
    <s v="Middle East"/>
    <n v="75"/>
    <n v="125"/>
    <n v="50"/>
  </r>
  <r>
    <s v="Sale"/>
    <x v="934"/>
    <x v="8"/>
    <n v="33101"/>
    <s v="Edgar Scott"/>
    <x v="0"/>
    <n v="1"/>
    <x v="1"/>
    <x v="2"/>
    <s v="Female"/>
    <x v="1"/>
    <s v="Iran"/>
    <s v="Middle East"/>
    <n v="75"/>
    <n v="125"/>
    <n v="50"/>
  </r>
  <r>
    <s v="Sale"/>
    <x v="935"/>
    <x v="8"/>
    <n v="33101"/>
    <s v="Elian Wells"/>
    <x v="0"/>
    <n v="1"/>
    <x v="1"/>
    <x v="2"/>
    <s v="Female"/>
    <x v="1"/>
    <s v="Iran"/>
    <s v="Middle East"/>
    <n v="75"/>
    <n v="125"/>
    <n v="50"/>
  </r>
  <r>
    <s v="Sale"/>
    <x v="936"/>
    <x v="8"/>
    <n v="33101"/>
    <s v="Nordstrom"/>
    <x v="1"/>
    <n v="1"/>
    <x v="1"/>
    <x v="2"/>
    <s v="Female"/>
    <x v="1"/>
    <s v="Iran"/>
    <s v="Middle East"/>
    <n v="75"/>
    <n v="125"/>
    <n v="50"/>
  </r>
  <r>
    <s v="Sale"/>
    <x v="937"/>
    <x v="8"/>
    <n v="33101"/>
    <s v="Nordstrom"/>
    <x v="1"/>
    <n v="1"/>
    <x v="1"/>
    <x v="2"/>
    <s v="Female"/>
    <x v="1"/>
    <s v="Iran"/>
    <s v="Middle East"/>
    <n v="75"/>
    <n v="125"/>
    <n v="50"/>
  </r>
  <r>
    <s v="Sale"/>
    <x v="938"/>
    <x v="8"/>
    <n v="33101"/>
    <s v="Nordstrom"/>
    <x v="1"/>
    <n v="1"/>
    <x v="1"/>
    <x v="2"/>
    <s v="Female"/>
    <x v="1"/>
    <s v="Iran"/>
    <s v="Middle East"/>
    <n v="75"/>
    <n v="125"/>
    <n v="50"/>
  </r>
  <r>
    <s v="Sale"/>
    <x v="939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40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41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42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43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44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45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46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47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48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49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50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51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52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53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54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55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56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57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58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59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60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61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62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63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64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65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66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67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68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69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70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71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72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73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74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75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76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77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78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79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80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81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82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83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84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85"/>
    <x v="4"/>
    <n v="10013"/>
    <s v="Barneys New York"/>
    <x v="1"/>
    <n v="1"/>
    <x v="0"/>
    <x v="1"/>
    <s v="Female"/>
    <x v="2"/>
    <s v="Romania"/>
    <s v="Eastern Europe"/>
    <n v="350"/>
    <n v="450"/>
    <n v="100"/>
  </r>
  <r>
    <s v="Sale"/>
    <x v="986"/>
    <x v="8"/>
    <n v="33125"/>
    <s v="Ted Russell"/>
    <x v="0"/>
    <n v="1"/>
    <x v="1"/>
    <x v="2"/>
    <s v="Female"/>
    <x v="1"/>
    <s v="Iran"/>
    <s v="Middle East"/>
    <n v="75"/>
    <n v="125"/>
    <n v="50"/>
  </r>
  <r>
    <s v="Sale"/>
    <x v="987"/>
    <x v="9"/>
    <n v="33125"/>
    <s v="Carlos Lloyd"/>
    <x v="0"/>
    <n v="1"/>
    <x v="1"/>
    <x v="2"/>
    <s v="Female"/>
    <x v="1"/>
    <s v="Azerbaijan"/>
    <s v="Middle East"/>
    <n v="1200"/>
    <n v="2000"/>
    <n v="800"/>
  </r>
  <r>
    <s v="Sale"/>
    <x v="988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989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990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991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992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993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994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995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996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997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998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999"/>
    <x v="8"/>
    <n v="33125"/>
    <s v="Honey Thomas"/>
    <x v="0"/>
    <n v="1"/>
    <x v="1"/>
    <x v="2"/>
    <s v="Female"/>
    <x v="1"/>
    <s v="Iran"/>
    <s v="Middle East"/>
    <n v="75"/>
    <n v="125"/>
    <n v="50"/>
  </r>
  <r>
    <s v="Sale"/>
    <x v="1000"/>
    <x v="8"/>
    <n v="33125"/>
    <s v="Paul Reed"/>
    <x v="0"/>
    <n v="1"/>
    <x v="1"/>
    <x v="2"/>
    <s v="Female"/>
    <x v="1"/>
    <s v="Iran"/>
    <s v="Middle East"/>
    <n v="75"/>
    <n v="125"/>
    <n v="50"/>
  </r>
  <r>
    <s v="Sale"/>
    <x v="1001"/>
    <x v="8"/>
    <n v="33125"/>
    <s v="Derek Tucker"/>
    <x v="0"/>
    <n v="1"/>
    <x v="1"/>
    <x v="2"/>
    <s v="Female"/>
    <x v="1"/>
    <s v="Iran"/>
    <s v="Middle East"/>
    <n v="75"/>
    <n v="125"/>
    <n v="50"/>
  </r>
  <r>
    <s v="Sale"/>
    <x v="1002"/>
    <x v="8"/>
    <n v="33125"/>
    <s v="Blake Murphy"/>
    <x v="0"/>
    <n v="1"/>
    <x v="1"/>
    <x v="2"/>
    <s v="Female"/>
    <x v="1"/>
    <s v="Iran"/>
    <s v="Middle East"/>
    <n v="75"/>
    <n v="125"/>
    <n v="50"/>
  </r>
  <r>
    <s v="Sale"/>
    <x v="1003"/>
    <x v="8"/>
    <n v="33125"/>
    <s v="Nordstrom"/>
    <x v="1"/>
    <n v="1"/>
    <x v="1"/>
    <x v="2"/>
    <s v="Female"/>
    <x v="1"/>
    <s v="Iran"/>
    <s v="Middle East"/>
    <n v="75"/>
    <n v="125"/>
    <n v="50"/>
  </r>
  <r>
    <s v="Sale"/>
    <x v="1004"/>
    <x v="8"/>
    <n v="33125"/>
    <s v="Nordstrom"/>
    <x v="1"/>
    <n v="1"/>
    <x v="1"/>
    <x v="2"/>
    <s v="Female"/>
    <x v="1"/>
    <s v="Iran"/>
    <s v="Middle East"/>
    <n v="75"/>
    <n v="125"/>
    <n v="50"/>
  </r>
  <r>
    <s v="Sale"/>
    <x v="1005"/>
    <x v="8"/>
    <n v="33125"/>
    <s v="Nordstrom"/>
    <x v="1"/>
    <n v="1"/>
    <x v="1"/>
    <x v="2"/>
    <s v="Female"/>
    <x v="1"/>
    <s v="Iran"/>
    <s v="Middle East"/>
    <n v="75"/>
    <n v="125"/>
    <n v="50"/>
  </r>
  <r>
    <s v="Sale"/>
    <x v="1006"/>
    <x v="8"/>
    <n v="33125"/>
    <s v="Nordstrom"/>
    <x v="1"/>
    <n v="1"/>
    <x v="1"/>
    <x v="2"/>
    <s v="Female"/>
    <x v="1"/>
    <s v="Iran"/>
    <s v="Middle East"/>
    <n v="75"/>
    <n v="125"/>
    <n v="50"/>
  </r>
  <r>
    <s v="Sale"/>
    <x v="1007"/>
    <x v="8"/>
    <n v="33125"/>
    <s v="James Brooks"/>
    <x v="0"/>
    <n v="1"/>
    <x v="1"/>
    <x v="2"/>
    <s v="Female"/>
    <x v="1"/>
    <s v="Iran"/>
    <s v="Middle East"/>
    <n v="75"/>
    <n v="125"/>
    <n v="50"/>
  </r>
  <r>
    <s v="Sale"/>
    <x v="1008"/>
    <x v="8"/>
    <n v="33125"/>
    <s v="Deanna Martin"/>
    <x v="0"/>
    <n v="1"/>
    <x v="1"/>
    <x v="2"/>
    <s v="Female"/>
    <x v="1"/>
    <s v="Iran"/>
    <s v="Middle East"/>
    <n v="75"/>
    <n v="125"/>
    <n v="50"/>
  </r>
  <r>
    <s v="Sale"/>
    <x v="1009"/>
    <x v="8"/>
    <n v="33125"/>
    <s v="Alan West"/>
    <x v="0"/>
    <n v="1"/>
    <x v="1"/>
    <x v="2"/>
    <s v="Female"/>
    <x v="1"/>
    <s v="Iran"/>
    <s v="Middle East"/>
    <n v="75"/>
    <n v="125"/>
    <n v="50"/>
  </r>
  <r>
    <s v="Sale"/>
    <x v="1010"/>
    <x v="8"/>
    <n v="33125"/>
    <s v="Valeria Perkins"/>
    <x v="0"/>
    <n v="1"/>
    <x v="1"/>
    <x v="2"/>
    <s v="Female"/>
    <x v="1"/>
    <s v="Iran"/>
    <s v="Middle East"/>
    <n v="75"/>
    <n v="125"/>
    <n v="50"/>
  </r>
  <r>
    <s v="Sale"/>
    <x v="1011"/>
    <x v="8"/>
    <n v="33125"/>
    <s v="Eleanor Carter"/>
    <x v="0"/>
    <n v="1"/>
    <x v="1"/>
    <x v="2"/>
    <s v="Female"/>
    <x v="1"/>
    <s v="Iran"/>
    <s v="Middle East"/>
    <n v="75"/>
    <n v="125"/>
    <n v="50"/>
  </r>
  <r>
    <s v="Sale"/>
    <x v="1012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1013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1014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1015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1016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1017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1018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1019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1020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1021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1022"/>
    <x v="9"/>
    <n v="33125"/>
    <s v="Cherry Holmes"/>
    <x v="0"/>
    <n v="1"/>
    <x v="1"/>
    <x v="2"/>
    <s v="Female"/>
    <x v="1"/>
    <s v="Azerbaijan"/>
    <s v="Middle East"/>
    <n v="1200"/>
    <n v="2000"/>
    <n v="800"/>
  </r>
  <r>
    <s v="Sale"/>
    <x v="1023"/>
    <x v="9"/>
    <n v="33125"/>
    <s v="Amanda Morrison"/>
    <x v="0"/>
    <n v="1"/>
    <x v="1"/>
    <x v="2"/>
    <s v="Female"/>
    <x v="1"/>
    <s v="Azerbaijan"/>
    <s v="Middle East"/>
    <n v="1200"/>
    <n v="2000"/>
    <n v="800"/>
  </r>
  <r>
    <s v="Sale"/>
    <x v="1024"/>
    <x v="9"/>
    <n v="33125"/>
    <s v="Alisa Jones"/>
    <x v="0"/>
    <n v="1"/>
    <x v="1"/>
    <x v="2"/>
    <s v="Female"/>
    <x v="1"/>
    <s v="Azerbaijan"/>
    <s v="Middle East"/>
    <n v="1200"/>
    <n v="2000"/>
    <n v="800"/>
  </r>
  <r>
    <s v="Sale"/>
    <x v="1025"/>
    <x v="8"/>
    <n v="33125"/>
    <s v="Lilianna Barrett"/>
    <x v="0"/>
    <n v="1"/>
    <x v="1"/>
    <x v="2"/>
    <s v="Female"/>
    <x v="1"/>
    <s v="Iran"/>
    <s v="Middle East"/>
    <n v="75"/>
    <n v="125"/>
    <n v="50"/>
  </r>
  <r>
    <s v="Sale"/>
    <x v="1026"/>
    <x v="8"/>
    <n v="33125"/>
    <s v="Nordstrom"/>
    <x v="1"/>
    <n v="1"/>
    <x v="1"/>
    <x v="2"/>
    <s v="Female"/>
    <x v="1"/>
    <s v="Iran"/>
    <s v="Middle East"/>
    <n v="75"/>
    <n v="125"/>
    <n v="50"/>
  </r>
  <r>
    <s v="Sale"/>
    <x v="1027"/>
    <x v="8"/>
    <n v="33125"/>
    <s v="Nordstrom"/>
    <x v="1"/>
    <n v="1"/>
    <x v="1"/>
    <x v="2"/>
    <s v="Female"/>
    <x v="1"/>
    <s v="Iran"/>
    <s v="Middle East"/>
    <n v="75"/>
    <n v="125"/>
    <n v="50"/>
  </r>
  <r>
    <s v="Sale"/>
    <x v="1028"/>
    <x v="8"/>
    <n v="33125"/>
    <s v="Nordstrom"/>
    <x v="1"/>
    <n v="1"/>
    <x v="1"/>
    <x v="2"/>
    <s v="Female"/>
    <x v="1"/>
    <s v="Iran"/>
    <s v="Middle East"/>
    <n v="75"/>
    <n v="125"/>
    <n v="50"/>
  </r>
  <r>
    <s v="Sale"/>
    <x v="1029"/>
    <x v="8"/>
    <n v="33125"/>
    <s v="Deanna Johnston"/>
    <x v="0"/>
    <n v="1"/>
    <x v="1"/>
    <x v="2"/>
    <s v="Female"/>
    <x v="1"/>
    <s v="Iran"/>
    <s v="Middle East"/>
    <n v="75"/>
    <n v="125"/>
    <n v="50"/>
  </r>
  <r>
    <s v="Sale"/>
    <x v="1030"/>
    <x v="8"/>
    <n v="33125"/>
    <s v="Sydney Wright"/>
    <x v="0"/>
    <n v="1"/>
    <x v="1"/>
    <x v="2"/>
    <s v="Female"/>
    <x v="1"/>
    <s v="Iran"/>
    <s v="Middle East"/>
    <n v="75"/>
    <n v="125"/>
    <n v="50"/>
  </r>
  <r>
    <s v="Sale"/>
    <x v="1031"/>
    <x v="8"/>
    <n v="33125"/>
    <s v="Savana Holmes"/>
    <x v="0"/>
    <n v="1"/>
    <x v="1"/>
    <x v="2"/>
    <s v="Female"/>
    <x v="1"/>
    <s v="Iran"/>
    <s v="Middle East"/>
    <n v="75"/>
    <n v="125"/>
    <n v="50"/>
  </r>
  <r>
    <s v="Sale"/>
    <x v="1032"/>
    <x v="8"/>
    <n v="33125"/>
    <s v="Lana Alexander"/>
    <x v="0"/>
    <n v="1"/>
    <x v="1"/>
    <x v="2"/>
    <s v="Female"/>
    <x v="1"/>
    <s v="Iran"/>
    <s v="Middle East"/>
    <n v="75"/>
    <n v="125"/>
    <n v="50"/>
  </r>
  <r>
    <s v="Sale"/>
    <x v="1033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1034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1035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1036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1037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1038"/>
    <x v="9"/>
    <n v="33125"/>
    <s v="Neiman Marcus"/>
    <x v="1"/>
    <n v="1"/>
    <x v="1"/>
    <x v="2"/>
    <s v="Female"/>
    <x v="1"/>
    <s v="Azerbaijan"/>
    <s v="Middle East"/>
    <n v="1200"/>
    <n v="2000"/>
    <n v="800"/>
  </r>
  <r>
    <s v="Sale"/>
    <x v="1039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1040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1041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1042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1043"/>
    <x v="8"/>
    <n v="33125"/>
    <s v="Neiman Marcus"/>
    <x v="1"/>
    <n v="1"/>
    <x v="1"/>
    <x v="2"/>
    <s v="Female"/>
    <x v="1"/>
    <s v="Iran"/>
    <s v="Middle East"/>
    <n v="75"/>
    <n v="125"/>
    <n v="50"/>
  </r>
  <r>
    <s v="Sale"/>
    <x v="1044"/>
    <x v="8"/>
    <n v="33125"/>
    <s v="Fiona Hill"/>
    <x v="0"/>
    <n v="1"/>
    <x v="1"/>
    <x v="2"/>
    <s v="Female"/>
    <x v="1"/>
    <s v="Iran"/>
    <s v="Middle East"/>
    <n v="75"/>
    <n v="125"/>
    <n v="50"/>
  </r>
  <r>
    <s v="Sale"/>
    <x v="1045"/>
    <x v="8"/>
    <n v="33125"/>
    <s v="Paige Harrison"/>
    <x v="0"/>
    <n v="1"/>
    <x v="1"/>
    <x v="2"/>
    <s v="Female"/>
    <x v="1"/>
    <s v="Iran"/>
    <s v="Middle East"/>
    <n v="75"/>
    <n v="125"/>
    <n v="50"/>
  </r>
  <r>
    <s v="Sale"/>
    <x v="1046"/>
    <x v="8"/>
    <n v="33125"/>
    <s v="Adelaide Murray"/>
    <x v="0"/>
    <n v="1"/>
    <x v="1"/>
    <x v="2"/>
    <s v="Female"/>
    <x v="1"/>
    <s v="Iran"/>
    <s v="Middle East"/>
    <n v="75"/>
    <n v="125"/>
    <n v="50"/>
  </r>
  <r>
    <s v="Sale"/>
    <x v="1047"/>
    <x v="8"/>
    <n v="33125"/>
    <s v="Adrianna Gray"/>
    <x v="0"/>
    <n v="1"/>
    <x v="1"/>
    <x v="2"/>
    <s v="Female"/>
    <x v="1"/>
    <s v="Iran"/>
    <s v="Middle East"/>
    <n v="75"/>
    <n v="125"/>
    <n v="50"/>
  </r>
  <r>
    <s v="Sale"/>
    <x v="1048"/>
    <x v="8"/>
    <n v="33125"/>
    <s v="Nordstrom"/>
    <x v="1"/>
    <n v="1"/>
    <x v="1"/>
    <x v="2"/>
    <s v="Female"/>
    <x v="1"/>
    <s v="Iran"/>
    <s v="Middle East"/>
    <n v="75"/>
    <n v="125"/>
    <n v="50"/>
  </r>
  <r>
    <s v="Sale"/>
    <x v="1049"/>
    <x v="8"/>
    <n v="33125"/>
    <s v="Lily Spencer"/>
    <x v="0"/>
    <n v="1"/>
    <x v="1"/>
    <x v="2"/>
    <s v="Female"/>
    <x v="1"/>
    <s v="Iran"/>
    <s v="Middle East"/>
    <n v="75"/>
    <n v="125"/>
    <n v="50"/>
  </r>
  <r>
    <s v="Sale"/>
    <x v="1050"/>
    <x v="8"/>
    <n v="33125"/>
    <s v="Nordstrom"/>
    <x v="1"/>
    <n v="1"/>
    <x v="1"/>
    <x v="2"/>
    <s v="Female"/>
    <x v="1"/>
    <s v="Iran"/>
    <s v="Middle East"/>
    <n v="75"/>
    <n v="125"/>
    <n v="50"/>
  </r>
  <r>
    <s v="Sale"/>
    <x v="1051"/>
    <x v="8"/>
    <n v="33125"/>
    <s v="Nordstrom"/>
    <x v="1"/>
    <n v="1"/>
    <x v="1"/>
    <x v="2"/>
    <s v="Female"/>
    <x v="1"/>
    <s v="Iran"/>
    <s v="Middle East"/>
    <n v="75"/>
    <n v="125"/>
    <n v="50"/>
  </r>
  <r>
    <s v="Sale"/>
    <x v="1052"/>
    <x v="8"/>
    <n v="33125"/>
    <s v="Nordstrom"/>
    <x v="1"/>
    <n v="1"/>
    <x v="1"/>
    <x v="2"/>
    <s v="Female"/>
    <x v="1"/>
    <s v="Iran"/>
    <s v="Middle East"/>
    <n v="75"/>
    <n v="125"/>
    <n v="50"/>
  </r>
  <r>
    <s v="Sale"/>
    <x v="1053"/>
    <x v="8"/>
    <n v="33125"/>
    <s v="Rubie Harris"/>
    <x v="0"/>
    <n v="1"/>
    <x v="1"/>
    <x v="2"/>
    <s v="Female"/>
    <x v="1"/>
    <s v="Iran"/>
    <s v="Middle East"/>
    <n v="75"/>
    <n v="125"/>
    <n v="50"/>
  </r>
  <r>
    <s v="Sale"/>
    <x v="1054"/>
    <x v="8"/>
    <n v="33125"/>
    <s v="Savana Hall"/>
    <x v="0"/>
    <n v="1"/>
    <x v="1"/>
    <x v="2"/>
    <s v="Female"/>
    <x v="1"/>
    <s v="Iran"/>
    <s v="Middle East"/>
    <n v="75"/>
    <n v="125"/>
    <n v="50"/>
  </r>
  <r>
    <s v="Sale"/>
    <x v="1055"/>
    <x v="8"/>
    <n v="33125"/>
    <s v="Melanie Owens"/>
    <x v="0"/>
    <n v="1"/>
    <x v="1"/>
    <x v="2"/>
    <s v="Female"/>
    <x v="1"/>
    <s v="Iran"/>
    <s v="Middle East"/>
    <n v="75"/>
    <n v="125"/>
    <n v="50"/>
  </r>
  <r>
    <s v="Sale"/>
    <x v="1056"/>
    <x v="7"/>
    <n v="80123"/>
    <s v="Alberta Robinson"/>
    <x v="0"/>
    <n v="1"/>
    <x v="2"/>
    <x v="3"/>
    <s v="Female"/>
    <x v="0"/>
    <s v="Guatemala"/>
    <s v="Central America"/>
    <n v="25"/>
    <n v="30"/>
    <n v="5"/>
  </r>
  <r>
    <s v="Sale"/>
    <x v="1057"/>
    <x v="7"/>
    <n v="80123"/>
    <s v="Ema Mill"/>
    <x v="0"/>
    <n v="1"/>
    <x v="2"/>
    <x v="3"/>
    <s v="Female"/>
    <x v="0"/>
    <s v="Guatemala"/>
    <s v="Central America"/>
    <n v="25"/>
    <n v="30"/>
    <n v="5"/>
  </r>
  <r>
    <s v="Sale"/>
    <x v="1058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059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060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061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062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063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064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065"/>
    <x v="5"/>
    <n v="80123"/>
    <s v="Target"/>
    <x v="1"/>
    <n v="1"/>
    <x v="2"/>
    <x v="3"/>
    <s v="Female"/>
    <x v="0"/>
    <s v="Honduras"/>
    <s v="Central America"/>
    <n v="30"/>
    <n v="45"/>
    <n v="15"/>
  </r>
  <r>
    <s v="Sale"/>
    <x v="1066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067"/>
    <x v="7"/>
    <n v="80123"/>
    <s v="Lucy Andrews"/>
    <x v="0"/>
    <n v="1"/>
    <x v="2"/>
    <x v="3"/>
    <s v="Female"/>
    <x v="0"/>
    <s v="Guatemala"/>
    <s v="Central America"/>
    <n v="25"/>
    <n v="30"/>
    <n v="5"/>
  </r>
  <r>
    <s v="Sale"/>
    <x v="1068"/>
    <x v="7"/>
    <n v="80123"/>
    <s v="Heather Andrews"/>
    <x v="0"/>
    <n v="1"/>
    <x v="2"/>
    <x v="3"/>
    <s v="Female"/>
    <x v="0"/>
    <s v="Guatemala"/>
    <s v="Central America"/>
    <n v="25"/>
    <n v="30"/>
    <n v="5"/>
  </r>
  <r>
    <s v="Sale"/>
    <x v="1069"/>
    <x v="7"/>
    <n v="80123"/>
    <s v="Maya Mason"/>
    <x v="0"/>
    <n v="1"/>
    <x v="2"/>
    <x v="3"/>
    <s v="Female"/>
    <x v="0"/>
    <s v="Guatemala"/>
    <s v="Central America"/>
    <n v="25"/>
    <n v="30"/>
    <n v="5"/>
  </r>
  <r>
    <s v="Sale"/>
    <x v="1070"/>
    <x v="7"/>
    <n v="80123"/>
    <s v="Valeria Reed"/>
    <x v="0"/>
    <n v="1"/>
    <x v="2"/>
    <x v="3"/>
    <s v="Female"/>
    <x v="0"/>
    <s v="Guatemala"/>
    <s v="Central America"/>
    <n v="25"/>
    <n v="30"/>
    <n v="5"/>
  </r>
  <r>
    <s v="Sale"/>
    <x v="1071"/>
    <x v="7"/>
    <n v="80123"/>
    <s v="Ada Moore"/>
    <x v="0"/>
    <n v="1"/>
    <x v="2"/>
    <x v="3"/>
    <s v="Female"/>
    <x v="0"/>
    <s v="Guatemala"/>
    <s v="Central America"/>
    <n v="25"/>
    <n v="30"/>
    <n v="5"/>
  </r>
  <r>
    <s v="Sale"/>
    <x v="1072"/>
    <x v="7"/>
    <n v="80123"/>
    <s v="Grace Johnston"/>
    <x v="0"/>
    <n v="1"/>
    <x v="2"/>
    <x v="3"/>
    <s v="Female"/>
    <x v="0"/>
    <s v="Guatemala"/>
    <s v="Central America"/>
    <n v="25"/>
    <n v="30"/>
    <n v="5"/>
  </r>
  <r>
    <s v="Sale"/>
    <x v="1073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74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75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76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77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78"/>
    <x v="5"/>
    <n v="80123"/>
    <s v="Macys"/>
    <x v="1"/>
    <n v="1"/>
    <x v="2"/>
    <x v="3"/>
    <s v="Female"/>
    <x v="0"/>
    <s v="Honduras"/>
    <s v="Central America"/>
    <n v="30"/>
    <n v="45"/>
    <n v="15"/>
  </r>
  <r>
    <s v="Sale"/>
    <x v="1079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80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81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82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83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84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85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86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87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88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89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90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91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92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93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94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95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96"/>
    <x v="7"/>
    <n v="80123"/>
    <s v="Macys"/>
    <x v="1"/>
    <n v="1"/>
    <x v="2"/>
    <x v="3"/>
    <s v="Female"/>
    <x v="0"/>
    <s v="Guatemala"/>
    <s v="Central America"/>
    <n v="25"/>
    <n v="30"/>
    <n v="5"/>
  </r>
  <r>
    <s v="Sale"/>
    <x v="1097"/>
    <x v="7"/>
    <n v="80123"/>
    <s v="Sabrina Ryan"/>
    <x v="0"/>
    <n v="1"/>
    <x v="2"/>
    <x v="3"/>
    <s v="Female"/>
    <x v="0"/>
    <s v="Guatemala"/>
    <s v="Central America"/>
    <n v="25"/>
    <n v="30"/>
    <n v="5"/>
  </r>
  <r>
    <s v="Sale"/>
    <x v="1098"/>
    <x v="7"/>
    <n v="80123"/>
    <s v="Penelope Armstrong"/>
    <x v="0"/>
    <n v="1"/>
    <x v="2"/>
    <x v="3"/>
    <s v="Female"/>
    <x v="0"/>
    <s v="Guatemala"/>
    <s v="Central America"/>
    <n v="25"/>
    <n v="30"/>
    <n v="5"/>
  </r>
  <r>
    <s v="Sale"/>
    <x v="1099"/>
    <x v="7"/>
    <n v="80123"/>
    <s v="Maya Wright"/>
    <x v="0"/>
    <n v="1"/>
    <x v="2"/>
    <x v="3"/>
    <s v="Female"/>
    <x v="0"/>
    <s v="Guatemala"/>
    <s v="Central America"/>
    <n v="25"/>
    <n v="30"/>
    <n v="5"/>
  </r>
  <r>
    <s v="Sale"/>
    <x v="1100"/>
    <x v="7"/>
    <n v="80123"/>
    <s v="Lilianna Carter"/>
    <x v="0"/>
    <n v="1"/>
    <x v="2"/>
    <x v="3"/>
    <s v="Female"/>
    <x v="0"/>
    <s v="Guatemala"/>
    <s v="Central America"/>
    <n v="25"/>
    <n v="30"/>
    <n v="5"/>
  </r>
  <r>
    <s v="Sale"/>
    <x v="1101"/>
    <x v="7"/>
    <n v="80123"/>
    <s v="Melissa Scott"/>
    <x v="0"/>
    <n v="1"/>
    <x v="2"/>
    <x v="3"/>
    <s v="Female"/>
    <x v="0"/>
    <s v="Guatemala"/>
    <s v="Central America"/>
    <n v="25"/>
    <n v="30"/>
    <n v="5"/>
  </r>
  <r>
    <s v="Sale"/>
    <x v="1102"/>
    <x v="7"/>
    <n v="80123"/>
    <s v="Ellia Henderson"/>
    <x v="0"/>
    <n v="1"/>
    <x v="2"/>
    <x v="3"/>
    <s v="Female"/>
    <x v="0"/>
    <s v="Guatemala"/>
    <s v="Central America"/>
    <n v="25"/>
    <n v="30"/>
    <n v="5"/>
  </r>
  <r>
    <s v="Sale"/>
    <x v="1103"/>
    <x v="7"/>
    <n v="80123"/>
    <s v="Lydia Russell"/>
    <x v="0"/>
    <n v="1"/>
    <x v="2"/>
    <x v="3"/>
    <s v="Female"/>
    <x v="0"/>
    <s v="Guatemala"/>
    <s v="Central America"/>
    <n v="25"/>
    <n v="30"/>
    <n v="5"/>
  </r>
  <r>
    <s v="Sale"/>
    <x v="1104"/>
    <x v="7"/>
    <n v="80123"/>
    <s v="Alisa Kelley"/>
    <x v="0"/>
    <n v="1"/>
    <x v="2"/>
    <x v="3"/>
    <s v="Female"/>
    <x v="0"/>
    <s v="Guatemala"/>
    <s v="Central America"/>
    <n v="25"/>
    <n v="30"/>
    <n v="5"/>
  </r>
  <r>
    <s v="Sale"/>
    <x v="1105"/>
    <x v="7"/>
    <n v="80123"/>
    <s v="Michelle Barnes"/>
    <x v="0"/>
    <n v="1"/>
    <x v="2"/>
    <x v="3"/>
    <s v="Female"/>
    <x v="0"/>
    <s v="Guatemala"/>
    <s v="Central America"/>
    <n v="25"/>
    <n v="30"/>
    <n v="5"/>
  </r>
  <r>
    <s v="Sale"/>
    <x v="1106"/>
    <x v="7"/>
    <n v="80123"/>
    <s v="Miley Reed"/>
    <x v="0"/>
    <n v="1"/>
    <x v="2"/>
    <x v="3"/>
    <s v="Female"/>
    <x v="0"/>
    <s v="Guatemala"/>
    <s v="Central America"/>
    <n v="25"/>
    <n v="30"/>
    <n v="5"/>
  </r>
  <r>
    <s v="Sale"/>
    <x v="1107"/>
    <x v="7"/>
    <n v="80123"/>
    <s v="Olivia Cameron"/>
    <x v="0"/>
    <n v="1"/>
    <x v="2"/>
    <x v="3"/>
    <s v="Female"/>
    <x v="0"/>
    <s v="Guatemala"/>
    <s v="Central America"/>
    <n v="25"/>
    <n v="30"/>
    <n v="5"/>
  </r>
  <r>
    <s v="Sale"/>
    <x v="1108"/>
    <x v="7"/>
    <n v="80123"/>
    <s v="Kate Williams"/>
    <x v="0"/>
    <n v="1"/>
    <x v="2"/>
    <x v="3"/>
    <s v="Female"/>
    <x v="0"/>
    <s v="Guatemala"/>
    <s v="Central America"/>
    <n v="25"/>
    <n v="30"/>
    <n v="5"/>
  </r>
  <r>
    <s v="Sale"/>
    <x v="1109"/>
    <x v="7"/>
    <n v="80123"/>
    <s v="Naomi Adams"/>
    <x v="0"/>
    <n v="1"/>
    <x v="2"/>
    <x v="3"/>
    <s v="Female"/>
    <x v="0"/>
    <s v="Guatemala"/>
    <s v="Central America"/>
    <n v="25"/>
    <n v="30"/>
    <n v="5"/>
  </r>
  <r>
    <s v="Sale"/>
    <x v="1110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11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12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13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14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15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16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17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18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19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20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21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22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23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24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25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26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27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28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29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30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31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32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33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34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35"/>
    <x v="7"/>
    <n v="80123"/>
    <s v="Target"/>
    <x v="1"/>
    <n v="1"/>
    <x v="2"/>
    <x v="3"/>
    <s v="Female"/>
    <x v="0"/>
    <s v="Guatemala"/>
    <s v="Central America"/>
    <n v="25"/>
    <n v="30"/>
    <n v="5"/>
  </r>
  <r>
    <s v="Sale"/>
    <x v="1136"/>
    <x v="7"/>
    <n v="80123"/>
    <s v="Neiman Marcus"/>
    <x v="1"/>
    <n v="1"/>
    <x v="2"/>
    <x v="3"/>
    <s v="Female"/>
    <x v="0"/>
    <s v="Guatemala"/>
    <s v="Central America"/>
    <n v="25"/>
    <n v="30"/>
    <n v="5"/>
  </r>
  <r>
    <s v="Sale"/>
    <x v="1137"/>
    <x v="7"/>
    <n v="80123"/>
    <s v="Neiman Marcus"/>
    <x v="1"/>
    <n v="1"/>
    <x v="2"/>
    <x v="3"/>
    <s v="Female"/>
    <x v="0"/>
    <s v="Guatemala"/>
    <s v="Central America"/>
    <n v="25"/>
    <n v="30"/>
    <n v="5"/>
  </r>
  <r>
    <s v="Sale"/>
    <x v="1138"/>
    <x v="7"/>
    <n v="80123"/>
    <s v="Neiman Marcus"/>
    <x v="1"/>
    <n v="1"/>
    <x v="2"/>
    <x v="3"/>
    <s v="Female"/>
    <x v="0"/>
    <s v="Guatemala"/>
    <s v="Central America"/>
    <n v="25"/>
    <n v="30"/>
    <n v="5"/>
  </r>
  <r>
    <s v="Sale"/>
    <x v="1139"/>
    <x v="7"/>
    <n v="80123"/>
    <s v="Neiman Marcus"/>
    <x v="1"/>
    <n v="1"/>
    <x v="2"/>
    <x v="3"/>
    <s v="Female"/>
    <x v="0"/>
    <s v="Guatemala"/>
    <s v="Central America"/>
    <n v="25"/>
    <n v="30"/>
    <n v="5"/>
  </r>
  <r>
    <s v="Sale"/>
    <x v="1140"/>
    <x v="7"/>
    <n v="80123"/>
    <s v="Neiman Marcus"/>
    <x v="1"/>
    <n v="1"/>
    <x v="2"/>
    <x v="3"/>
    <s v="Female"/>
    <x v="0"/>
    <s v="Guatemala"/>
    <s v="Central America"/>
    <n v="25"/>
    <n v="30"/>
    <n v="5"/>
  </r>
  <r>
    <s v="Sale"/>
    <x v="1141"/>
    <x v="7"/>
    <n v="80123"/>
    <s v="Neiman Marcus"/>
    <x v="1"/>
    <n v="1"/>
    <x v="2"/>
    <x v="3"/>
    <s v="Female"/>
    <x v="0"/>
    <s v="Guatemala"/>
    <s v="Central America"/>
    <n v="25"/>
    <n v="30"/>
    <n v="5"/>
  </r>
  <r>
    <s v="Sale"/>
    <x v="1142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43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44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45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46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47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48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49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50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51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52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53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54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55"/>
    <x v="5"/>
    <n v="10001"/>
    <s v="Emma Farrell"/>
    <x v="0"/>
    <n v="1"/>
    <x v="1"/>
    <x v="1"/>
    <s v="Female"/>
    <x v="0"/>
    <s v="Honduras"/>
    <s v="Central America"/>
    <n v="30"/>
    <n v="45"/>
    <n v="15"/>
  </r>
  <r>
    <s v="Sale"/>
    <x v="1156"/>
    <x v="5"/>
    <n v="10001"/>
    <s v="Samantha Chapman"/>
    <x v="0"/>
    <n v="1"/>
    <x v="1"/>
    <x v="1"/>
    <s v="Female"/>
    <x v="0"/>
    <s v="Honduras"/>
    <s v="Central America"/>
    <n v="30"/>
    <n v="45"/>
    <n v="15"/>
  </r>
  <r>
    <s v="Sale"/>
    <x v="1157"/>
    <x v="5"/>
    <n v="10001"/>
    <s v="Joyce Miller"/>
    <x v="0"/>
    <n v="1"/>
    <x v="1"/>
    <x v="1"/>
    <s v="Female"/>
    <x v="0"/>
    <s v="Honduras"/>
    <s v="Central America"/>
    <n v="30"/>
    <n v="45"/>
    <n v="15"/>
  </r>
  <r>
    <s v="Sale"/>
    <x v="1158"/>
    <x v="5"/>
    <n v="10001"/>
    <s v="Connie Mitchell"/>
    <x v="0"/>
    <n v="1"/>
    <x v="1"/>
    <x v="1"/>
    <s v="Female"/>
    <x v="0"/>
    <s v="Honduras"/>
    <s v="Central America"/>
    <n v="30"/>
    <n v="45"/>
    <n v="15"/>
  </r>
  <r>
    <s v="Sale"/>
    <x v="1159"/>
    <x v="5"/>
    <n v="10001"/>
    <s v="Joyce Hill"/>
    <x v="0"/>
    <n v="1"/>
    <x v="1"/>
    <x v="1"/>
    <s v="Female"/>
    <x v="0"/>
    <s v="Honduras"/>
    <s v="Central America"/>
    <n v="30"/>
    <n v="45"/>
    <n v="15"/>
  </r>
  <r>
    <s v="Sale"/>
    <x v="1160"/>
    <x v="5"/>
    <n v="10001"/>
    <s v="Alissa Carter"/>
    <x v="0"/>
    <n v="1"/>
    <x v="1"/>
    <x v="1"/>
    <s v="Female"/>
    <x v="0"/>
    <s v="Honduras"/>
    <s v="Central America"/>
    <n v="30"/>
    <n v="45"/>
    <n v="15"/>
  </r>
  <r>
    <s v="Sale"/>
    <x v="1161"/>
    <x v="5"/>
    <n v="10001"/>
    <s v="Adelaide West"/>
    <x v="0"/>
    <n v="1"/>
    <x v="1"/>
    <x v="1"/>
    <s v="Female"/>
    <x v="0"/>
    <s v="Honduras"/>
    <s v="Central America"/>
    <n v="30"/>
    <n v="45"/>
    <n v="15"/>
  </r>
  <r>
    <s v="Sale"/>
    <x v="1162"/>
    <x v="5"/>
    <n v="10001"/>
    <s v="Gianna Murray"/>
    <x v="0"/>
    <n v="1"/>
    <x v="1"/>
    <x v="1"/>
    <s v="Female"/>
    <x v="0"/>
    <s v="Honduras"/>
    <s v="Central America"/>
    <n v="30"/>
    <n v="45"/>
    <n v="15"/>
  </r>
  <r>
    <s v="Sale"/>
    <x v="1163"/>
    <x v="5"/>
    <n v="10001"/>
    <s v="Valeria Foster"/>
    <x v="0"/>
    <n v="1"/>
    <x v="1"/>
    <x v="1"/>
    <s v="Female"/>
    <x v="0"/>
    <s v="Honduras"/>
    <s v="Central America"/>
    <n v="30"/>
    <n v="45"/>
    <n v="15"/>
  </r>
  <r>
    <s v="Sale"/>
    <x v="1164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65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66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67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68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69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70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71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72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73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74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75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76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77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178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79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80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81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82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83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84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85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86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87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88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89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90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91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92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93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94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95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96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97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98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199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00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01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02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03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04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05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06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07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08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09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10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11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12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13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14"/>
    <x v="4"/>
    <n v="10001"/>
    <s v="Barneys New York"/>
    <x v="1"/>
    <n v="1"/>
    <x v="0"/>
    <x v="1"/>
    <s v="Female"/>
    <x v="2"/>
    <s v="Romania"/>
    <s v="Eastern Europe"/>
    <n v="350"/>
    <n v="450"/>
    <n v="100"/>
  </r>
  <r>
    <s v="Sale"/>
    <x v="1215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16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17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18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19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20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21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22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23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24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25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26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27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28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29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30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31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32"/>
    <x v="4"/>
    <n v="10001"/>
    <s v="Barneys New York"/>
    <x v="1"/>
    <n v="1"/>
    <x v="1"/>
    <x v="1"/>
    <s v="Female"/>
    <x v="2"/>
    <s v="Romania"/>
    <s v="Eastern Europe"/>
    <n v="350"/>
    <n v="450"/>
    <n v="100"/>
  </r>
  <r>
    <s v="Sale"/>
    <x v="1233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34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35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36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37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38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39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40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41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42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43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44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45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46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47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48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49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50"/>
    <x v="5"/>
    <n v="10001"/>
    <s v="Connie Hawkins"/>
    <x v="0"/>
    <n v="1"/>
    <x v="1"/>
    <x v="1"/>
    <s v="Female"/>
    <x v="0"/>
    <s v="Honduras"/>
    <s v="Central America"/>
    <n v="30"/>
    <n v="45"/>
    <n v="15"/>
  </r>
  <r>
    <s v="Sale"/>
    <x v="1251"/>
    <x v="5"/>
    <n v="10001"/>
    <s v="Honey Sullivan"/>
    <x v="0"/>
    <n v="1"/>
    <x v="1"/>
    <x v="1"/>
    <s v="Female"/>
    <x v="0"/>
    <s v="Honduras"/>
    <s v="Central America"/>
    <n v="30"/>
    <n v="45"/>
    <n v="15"/>
  </r>
  <r>
    <s v="Sale"/>
    <x v="1252"/>
    <x v="5"/>
    <n v="10001"/>
    <s v="Connie Murphy"/>
    <x v="0"/>
    <n v="1"/>
    <x v="1"/>
    <x v="1"/>
    <s v="Female"/>
    <x v="0"/>
    <s v="Honduras"/>
    <s v="Central America"/>
    <n v="30"/>
    <n v="45"/>
    <n v="15"/>
  </r>
  <r>
    <s v="Sale"/>
    <x v="1253"/>
    <x v="5"/>
    <n v="10001"/>
    <s v="Myrada Sull"/>
    <x v="0"/>
    <n v="1"/>
    <x v="1"/>
    <x v="1"/>
    <s v="Female"/>
    <x v="0"/>
    <s v="Honduras"/>
    <s v="Central America"/>
    <n v="30"/>
    <n v="45"/>
    <n v="15"/>
  </r>
  <r>
    <s v="Sale"/>
    <x v="1254"/>
    <x v="5"/>
    <n v="10001"/>
    <s v="Tara Edwards"/>
    <x v="0"/>
    <n v="1"/>
    <x v="1"/>
    <x v="1"/>
    <s v="Female"/>
    <x v="0"/>
    <s v="Honduras"/>
    <s v="Central America"/>
    <n v="30"/>
    <n v="45"/>
    <n v="15"/>
  </r>
  <r>
    <s v="Sale"/>
    <x v="1255"/>
    <x v="5"/>
    <n v="10001"/>
    <s v="Cadie Crawford"/>
    <x v="0"/>
    <n v="1"/>
    <x v="1"/>
    <x v="1"/>
    <s v="Female"/>
    <x v="0"/>
    <s v="Honduras"/>
    <s v="Central America"/>
    <n v="30"/>
    <n v="45"/>
    <n v="15"/>
  </r>
  <r>
    <s v="Sale"/>
    <x v="1256"/>
    <x v="5"/>
    <n v="10001"/>
    <s v="Alina Barnes"/>
    <x v="0"/>
    <n v="1"/>
    <x v="1"/>
    <x v="1"/>
    <s v="Female"/>
    <x v="0"/>
    <s v="Honduras"/>
    <s v="Central America"/>
    <n v="30"/>
    <n v="45"/>
    <n v="15"/>
  </r>
  <r>
    <s v="Sale"/>
    <x v="1257"/>
    <x v="5"/>
    <n v="10001"/>
    <s v="Cherry Cunningham"/>
    <x v="0"/>
    <n v="1"/>
    <x v="1"/>
    <x v="1"/>
    <s v="Female"/>
    <x v="0"/>
    <s v="Honduras"/>
    <s v="Central America"/>
    <n v="30"/>
    <n v="45"/>
    <n v="15"/>
  </r>
  <r>
    <s v="Sale"/>
    <x v="1258"/>
    <x v="5"/>
    <n v="10001"/>
    <s v="Alexia Scott"/>
    <x v="0"/>
    <n v="1"/>
    <x v="1"/>
    <x v="1"/>
    <s v="Female"/>
    <x v="0"/>
    <s v="Honduras"/>
    <s v="Central America"/>
    <n v="30"/>
    <n v="45"/>
    <n v="15"/>
  </r>
  <r>
    <s v="Sale"/>
    <x v="1259"/>
    <x v="5"/>
    <n v="10001"/>
    <s v="Chloe Thompson"/>
    <x v="0"/>
    <n v="1"/>
    <x v="1"/>
    <x v="1"/>
    <s v="Female"/>
    <x v="0"/>
    <s v="Honduras"/>
    <s v="Central America"/>
    <n v="30"/>
    <n v="45"/>
    <n v="15"/>
  </r>
  <r>
    <s v="Sale"/>
    <x v="1260"/>
    <x v="5"/>
    <n v="10001"/>
    <s v="Rebecca Gray"/>
    <x v="0"/>
    <n v="1"/>
    <x v="1"/>
    <x v="1"/>
    <s v="Female"/>
    <x v="0"/>
    <s v="Honduras"/>
    <s v="Central America"/>
    <n v="30"/>
    <n v="45"/>
    <n v="15"/>
  </r>
  <r>
    <s v="Sale"/>
    <x v="1261"/>
    <x v="5"/>
    <n v="10001"/>
    <s v="Kimberly Mason"/>
    <x v="0"/>
    <n v="1"/>
    <x v="1"/>
    <x v="1"/>
    <s v="Female"/>
    <x v="0"/>
    <s v="Honduras"/>
    <s v="Central America"/>
    <n v="30"/>
    <n v="45"/>
    <n v="15"/>
  </r>
  <r>
    <s v="Sale"/>
    <x v="1262"/>
    <x v="5"/>
    <n v="10001"/>
    <s v="Hailey Morrison"/>
    <x v="0"/>
    <n v="1"/>
    <x v="1"/>
    <x v="1"/>
    <s v="Female"/>
    <x v="0"/>
    <s v="Honduras"/>
    <s v="Central America"/>
    <n v="30"/>
    <n v="45"/>
    <n v="15"/>
  </r>
  <r>
    <s v="Sale"/>
    <x v="1263"/>
    <x v="5"/>
    <n v="10001"/>
    <s v="Audrey Crawford"/>
    <x v="0"/>
    <n v="1"/>
    <x v="1"/>
    <x v="1"/>
    <s v="Female"/>
    <x v="0"/>
    <s v="Honduras"/>
    <s v="Central America"/>
    <n v="30"/>
    <n v="45"/>
    <n v="15"/>
  </r>
  <r>
    <s v="Sale"/>
    <x v="1264"/>
    <x v="5"/>
    <n v="10001"/>
    <s v="Michelle Perry"/>
    <x v="0"/>
    <n v="1"/>
    <x v="1"/>
    <x v="1"/>
    <s v="Female"/>
    <x v="0"/>
    <s v="Honduras"/>
    <s v="Central America"/>
    <n v="30"/>
    <n v="45"/>
    <n v="15"/>
  </r>
  <r>
    <s v="Sale"/>
    <x v="1265"/>
    <x v="5"/>
    <n v="10001"/>
    <s v="Brianna Harper"/>
    <x v="0"/>
    <n v="1"/>
    <x v="1"/>
    <x v="1"/>
    <s v="Female"/>
    <x v="0"/>
    <s v="Honduras"/>
    <s v="Central America"/>
    <n v="30"/>
    <n v="45"/>
    <n v="15"/>
  </r>
  <r>
    <s v="Sale"/>
    <x v="1266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67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68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69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70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71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72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73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74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75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76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77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78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79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80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81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82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83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84"/>
    <x v="5"/>
    <n v="10001"/>
    <s v="Lucy Montgomery"/>
    <x v="0"/>
    <n v="1"/>
    <x v="1"/>
    <x v="1"/>
    <s v="Female"/>
    <x v="0"/>
    <s v="Honduras"/>
    <s v="Central America"/>
    <n v="30"/>
    <n v="45"/>
    <n v="15"/>
  </r>
  <r>
    <s v="Sale"/>
    <x v="1285"/>
    <x v="5"/>
    <n v="10001"/>
    <s v="Mary Lloyd"/>
    <x v="0"/>
    <n v="1"/>
    <x v="1"/>
    <x v="1"/>
    <s v="Female"/>
    <x v="0"/>
    <s v="Honduras"/>
    <s v="Central America"/>
    <n v="30"/>
    <n v="45"/>
    <n v="15"/>
  </r>
  <r>
    <s v="Sale"/>
    <x v="1286"/>
    <x v="5"/>
    <n v="10001"/>
    <s v="Savana Farrell"/>
    <x v="0"/>
    <n v="1"/>
    <x v="1"/>
    <x v="1"/>
    <s v="Female"/>
    <x v="0"/>
    <s v="Honduras"/>
    <s v="Central America"/>
    <n v="30"/>
    <n v="45"/>
    <n v="15"/>
  </r>
  <r>
    <s v="Sale"/>
    <x v="1287"/>
    <x v="5"/>
    <n v="10001"/>
    <s v="Arianna Davis"/>
    <x v="0"/>
    <n v="1"/>
    <x v="1"/>
    <x v="1"/>
    <s v="Female"/>
    <x v="0"/>
    <s v="Honduras"/>
    <s v="Central America"/>
    <n v="30"/>
    <n v="45"/>
    <n v="15"/>
  </r>
  <r>
    <s v="Sale"/>
    <x v="1288"/>
    <x v="5"/>
    <n v="10001"/>
    <s v="Tess Harper"/>
    <x v="0"/>
    <n v="1"/>
    <x v="1"/>
    <x v="1"/>
    <s v="Female"/>
    <x v="0"/>
    <s v="Honduras"/>
    <s v="Central America"/>
    <n v="30"/>
    <n v="45"/>
    <n v="15"/>
  </r>
  <r>
    <s v="Sale"/>
    <x v="1289"/>
    <x v="5"/>
    <n v="10001"/>
    <s v="Natalie Jones"/>
    <x v="0"/>
    <n v="1"/>
    <x v="1"/>
    <x v="1"/>
    <s v="Female"/>
    <x v="0"/>
    <s v="Honduras"/>
    <s v="Central America"/>
    <n v="30"/>
    <n v="45"/>
    <n v="15"/>
  </r>
  <r>
    <s v="Sale"/>
    <x v="1290"/>
    <x v="5"/>
    <n v="10001"/>
    <s v="Naomi Spencer"/>
    <x v="0"/>
    <n v="1"/>
    <x v="1"/>
    <x v="1"/>
    <s v="Female"/>
    <x v="0"/>
    <s v="Honduras"/>
    <s v="Central America"/>
    <n v="30"/>
    <n v="45"/>
    <n v="15"/>
  </r>
  <r>
    <s v="Sale"/>
    <x v="1291"/>
    <x v="5"/>
    <n v="10001"/>
    <s v="Florrie Riley"/>
    <x v="0"/>
    <n v="1"/>
    <x v="1"/>
    <x v="1"/>
    <s v="Female"/>
    <x v="0"/>
    <s v="Honduras"/>
    <s v="Central America"/>
    <n v="30"/>
    <n v="45"/>
    <n v="15"/>
  </r>
  <r>
    <s v="Sale"/>
    <x v="1292"/>
    <x v="5"/>
    <n v="10001"/>
    <s v="Darcy Lloyd"/>
    <x v="0"/>
    <n v="1"/>
    <x v="1"/>
    <x v="1"/>
    <s v="Female"/>
    <x v="0"/>
    <s v="Honduras"/>
    <s v="Central America"/>
    <n v="30"/>
    <n v="45"/>
    <n v="15"/>
  </r>
  <r>
    <s v="Sale"/>
    <x v="1293"/>
    <x v="5"/>
    <n v="10001"/>
    <s v="Darcy Rogers"/>
    <x v="0"/>
    <n v="1"/>
    <x v="1"/>
    <x v="1"/>
    <s v="Female"/>
    <x v="0"/>
    <s v="Honduras"/>
    <s v="Central America"/>
    <n v="30"/>
    <n v="45"/>
    <n v="15"/>
  </r>
  <r>
    <s v="Sale"/>
    <x v="1294"/>
    <x v="5"/>
    <n v="10001"/>
    <s v="Darcy Roberts"/>
    <x v="0"/>
    <n v="1"/>
    <x v="1"/>
    <x v="1"/>
    <s v="Female"/>
    <x v="0"/>
    <s v="Honduras"/>
    <s v="Central America"/>
    <n v="30"/>
    <n v="45"/>
    <n v="15"/>
  </r>
  <r>
    <s v="Sale"/>
    <x v="1295"/>
    <x v="5"/>
    <n v="10001"/>
    <s v="Charlotte Russell"/>
    <x v="0"/>
    <n v="1"/>
    <x v="1"/>
    <x v="1"/>
    <s v="Female"/>
    <x v="0"/>
    <s v="Honduras"/>
    <s v="Central America"/>
    <n v="30"/>
    <n v="45"/>
    <n v="15"/>
  </r>
  <r>
    <s v="Sale"/>
    <x v="1296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97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98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299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00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01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02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03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04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05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06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07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08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09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10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11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12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13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14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15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16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17"/>
    <x v="5"/>
    <n v="10001"/>
    <s v="JCPenney"/>
    <x v="1"/>
    <n v="1"/>
    <x v="1"/>
    <x v="1"/>
    <s v="Female"/>
    <x v="0"/>
    <s v="Honduras"/>
    <s v="Central America"/>
    <n v="30"/>
    <n v="45"/>
    <n v="15"/>
  </r>
  <r>
    <s v="Sale"/>
    <x v="1318"/>
    <x v="5"/>
    <n v="10001"/>
    <s v="Maddie Parker"/>
    <x v="0"/>
    <n v="1"/>
    <x v="1"/>
    <x v="1"/>
    <s v="Female"/>
    <x v="0"/>
    <s v="Honduras"/>
    <s v="Central America"/>
    <n v="30"/>
    <n v="45"/>
    <n v="15"/>
  </r>
  <r>
    <s v="Sale"/>
    <x v="1319"/>
    <x v="5"/>
    <n v="10001"/>
    <s v="Lilianna Ellis"/>
    <x v="0"/>
    <n v="1"/>
    <x v="1"/>
    <x v="1"/>
    <s v="Female"/>
    <x v="0"/>
    <s v="Honduras"/>
    <s v="Central America"/>
    <n v="30"/>
    <n v="45"/>
    <n v="15"/>
  </r>
  <r>
    <s v="Sale"/>
    <x v="1320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21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22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23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24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25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26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27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28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29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30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31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32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33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34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35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36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37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38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39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40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41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42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43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44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45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46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47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48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49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50"/>
    <x v="5"/>
    <n v="10001"/>
    <s v="Miley Walker"/>
    <x v="0"/>
    <n v="1"/>
    <x v="1"/>
    <x v="1"/>
    <s v="Female"/>
    <x v="0"/>
    <s v="Honduras"/>
    <s v="Central America"/>
    <n v="30"/>
    <n v="45"/>
    <n v="15"/>
  </r>
  <r>
    <s v="Sale"/>
    <x v="1351"/>
    <x v="5"/>
    <n v="10001"/>
    <s v="Madaline Parker"/>
    <x v="0"/>
    <n v="1"/>
    <x v="1"/>
    <x v="1"/>
    <s v="Female"/>
    <x v="0"/>
    <s v="Honduras"/>
    <s v="Central America"/>
    <n v="30"/>
    <n v="45"/>
    <n v="15"/>
  </r>
  <r>
    <s v="Sale"/>
    <x v="1352"/>
    <x v="5"/>
    <n v="10001"/>
    <s v="April Andrews"/>
    <x v="0"/>
    <n v="1"/>
    <x v="1"/>
    <x v="1"/>
    <s v="Female"/>
    <x v="0"/>
    <s v="Honduras"/>
    <s v="Central America"/>
    <n v="30"/>
    <n v="45"/>
    <n v="15"/>
  </r>
  <r>
    <s v="Sale"/>
    <x v="1353"/>
    <x v="5"/>
    <n v="10001"/>
    <s v="Savana Payne"/>
    <x v="0"/>
    <n v="1"/>
    <x v="1"/>
    <x v="1"/>
    <s v="Female"/>
    <x v="0"/>
    <s v="Honduras"/>
    <s v="Central America"/>
    <n v="30"/>
    <n v="45"/>
    <n v="15"/>
  </r>
  <r>
    <s v="Sale"/>
    <x v="1354"/>
    <x v="5"/>
    <n v="10001"/>
    <s v="Rebecca Jones"/>
    <x v="0"/>
    <n v="1"/>
    <x v="1"/>
    <x v="1"/>
    <s v="Female"/>
    <x v="0"/>
    <s v="Honduras"/>
    <s v="Central America"/>
    <n v="30"/>
    <n v="45"/>
    <n v="15"/>
  </r>
  <r>
    <s v="Sale"/>
    <x v="1355"/>
    <x v="5"/>
    <n v="10001"/>
    <s v="Myra Morris"/>
    <x v="0"/>
    <n v="1"/>
    <x v="1"/>
    <x v="1"/>
    <s v="Female"/>
    <x v="0"/>
    <s v="Honduras"/>
    <s v="Central America"/>
    <n v="30"/>
    <n v="45"/>
    <n v="15"/>
  </r>
  <r>
    <s v="Sale"/>
    <x v="1356"/>
    <x v="5"/>
    <n v="10001"/>
    <s v="Violet Russell"/>
    <x v="0"/>
    <n v="1"/>
    <x v="1"/>
    <x v="1"/>
    <s v="Female"/>
    <x v="0"/>
    <s v="Honduras"/>
    <s v="Central America"/>
    <n v="30"/>
    <n v="45"/>
    <n v="15"/>
  </r>
  <r>
    <s v="Sale"/>
    <x v="1357"/>
    <x v="5"/>
    <n v="10001"/>
    <s v="Sabrina Harrison"/>
    <x v="0"/>
    <n v="1"/>
    <x v="1"/>
    <x v="1"/>
    <s v="Female"/>
    <x v="0"/>
    <s v="Honduras"/>
    <s v="Central America"/>
    <n v="30"/>
    <n v="45"/>
    <n v="15"/>
  </r>
  <r>
    <s v="Sale"/>
    <x v="1358"/>
    <x v="5"/>
    <n v="10001"/>
    <s v="Alberta Smith"/>
    <x v="0"/>
    <n v="1"/>
    <x v="1"/>
    <x v="1"/>
    <s v="Female"/>
    <x v="0"/>
    <s v="Honduras"/>
    <s v="Central America"/>
    <n v="30"/>
    <n v="45"/>
    <n v="15"/>
  </r>
  <r>
    <s v="Sale"/>
    <x v="1359"/>
    <x v="5"/>
    <n v="10001"/>
    <s v="Evelyn Watson"/>
    <x v="0"/>
    <n v="1"/>
    <x v="1"/>
    <x v="1"/>
    <s v="Female"/>
    <x v="0"/>
    <s v="Honduras"/>
    <s v="Central America"/>
    <n v="30"/>
    <n v="45"/>
    <n v="15"/>
  </r>
  <r>
    <s v="Sale"/>
    <x v="1360"/>
    <x v="5"/>
    <n v="10001"/>
    <s v="Alina Gibson"/>
    <x v="0"/>
    <n v="1"/>
    <x v="1"/>
    <x v="1"/>
    <s v="Female"/>
    <x v="0"/>
    <s v="Honduras"/>
    <s v="Central America"/>
    <n v="30"/>
    <n v="45"/>
    <n v="15"/>
  </r>
  <r>
    <s v="Sale"/>
    <x v="1361"/>
    <x v="5"/>
    <n v="10001"/>
    <s v="Rebecca Ferguson"/>
    <x v="0"/>
    <n v="1"/>
    <x v="1"/>
    <x v="1"/>
    <s v="Female"/>
    <x v="0"/>
    <s v="Honduras"/>
    <s v="Central America"/>
    <n v="30"/>
    <n v="45"/>
    <n v="15"/>
  </r>
  <r>
    <s v="Sale"/>
    <x v="1362"/>
    <x v="5"/>
    <n v="10001"/>
    <s v="Rubie Payne"/>
    <x v="0"/>
    <n v="1"/>
    <x v="1"/>
    <x v="1"/>
    <s v="Female"/>
    <x v="0"/>
    <s v="Honduras"/>
    <s v="Central America"/>
    <n v="30"/>
    <n v="45"/>
    <n v="15"/>
  </r>
  <r>
    <s v="Sale"/>
    <x v="1363"/>
    <x v="5"/>
    <n v="10001"/>
    <s v="Carina Harrison"/>
    <x v="0"/>
    <n v="1"/>
    <x v="1"/>
    <x v="1"/>
    <s v="Female"/>
    <x v="0"/>
    <s v="Honduras"/>
    <s v="Central America"/>
    <n v="30"/>
    <n v="45"/>
    <n v="15"/>
  </r>
  <r>
    <s v="Sale"/>
    <x v="1364"/>
    <x v="5"/>
    <n v="10001"/>
    <s v="Alisa Holmes"/>
    <x v="0"/>
    <n v="1"/>
    <x v="1"/>
    <x v="1"/>
    <s v="Female"/>
    <x v="0"/>
    <s v="Honduras"/>
    <s v="Central America"/>
    <n v="30"/>
    <n v="45"/>
    <n v="15"/>
  </r>
  <r>
    <s v="Sale"/>
    <x v="1365"/>
    <x v="5"/>
    <n v="10001"/>
    <s v="Isabella Walker"/>
    <x v="0"/>
    <n v="1"/>
    <x v="1"/>
    <x v="1"/>
    <s v="Female"/>
    <x v="0"/>
    <s v="Honduras"/>
    <s v="Central America"/>
    <n v="30"/>
    <n v="45"/>
    <n v="15"/>
  </r>
  <r>
    <s v="Sale"/>
    <x v="1366"/>
    <x v="5"/>
    <n v="10001"/>
    <s v="Jasmine Richards"/>
    <x v="0"/>
    <n v="1"/>
    <x v="1"/>
    <x v="1"/>
    <s v="Female"/>
    <x v="0"/>
    <s v="Honduras"/>
    <s v="Central America"/>
    <n v="30"/>
    <n v="45"/>
    <n v="15"/>
  </r>
  <r>
    <s v="Sale"/>
    <x v="1367"/>
    <x v="5"/>
    <n v="10001"/>
    <s v="Myra Evans"/>
    <x v="0"/>
    <n v="1"/>
    <x v="1"/>
    <x v="1"/>
    <s v="Female"/>
    <x v="0"/>
    <s v="Honduras"/>
    <s v="Central America"/>
    <n v="30"/>
    <n v="45"/>
    <n v="15"/>
  </r>
  <r>
    <s v="Sale"/>
    <x v="1368"/>
    <x v="5"/>
    <n v="10001"/>
    <s v="Abigail Ross"/>
    <x v="0"/>
    <n v="1"/>
    <x v="1"/>
    <x v="1"/>
    <s v="Female"/>
    <x v="0"/>
    <s v="Honduras"/>
    <s v="Central America"/>
    <n v="30"/>
    <n v="45"/>
    <n v="15"/>
  </r>
  <r>
    <s v="Sale"/>
    <x v="1369"/>
    <x v="5"/>
    <n v="10001"/>
    <s v="Deanna Davis"/>
    <x v="0"/>
    <n v="1"/>
    <x v="1"/>
    <x v="1"/>
    <s v="Female"/>
    <x v="0"/>
    <s v="Honduras"/>
    <s v="Central America"/>
    <n v="30"/>
    <n v="45"/>
    <n v="15"/>
  </r>
  <r>
    <s v="Sale"/>
    <x v="1370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71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72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73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74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75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76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77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78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79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80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81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82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83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84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85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86"/>
    <x v="5"/>
    <n v="10001"/>
    <s v="Macys"/>
    <x v="1"/>
    <n v="1"/>
    <x v="1"/>
    <x v="1"/>
    <s v="Female"/>
    <x v="0"/>
    <s v="Honduras"/>
    <s v="Central America"/>
    <n v="30"/>
    <n v="45"/>
    <n v="15"/>
  </r>
  <r>
    <s v="Sale"/>
    <x v="1387"/>
    <x v="7"/>
    <n v="80014"/>
    <s v="Vanessa Lloyd"/>
    <x v="0"/>
    <n v="1"/>
    <x v="2"/>
    <x v="3"/>
    <s v="Female"/>
    <x v="0"/>
    <s v="Guatemala"/>
    <s v="Central America"/>
    <n v="25"/>
    <n v="30"/>
    <n v="5"/>
  </r>
  <r>
    <s v="Sale"/>
    <x v="1388"/>
    <x v="7"/>
    <n v="80014"/>
    <s v="Joyce Hunt"/>
    <x v="0"/>
    <n v="1"/>
    <x v="2"/>
    <x v="3"/>
    <s v="Female"/>
    <x v="0"/>
    <s v="Guatemala"/>
    <s v="Central America"/>
    <n v="25"/>
    <n v="30"/>
    <n v="5"/>
  </r>
  <r>
    <s v="Sale"/>
    <x v="1389"/>
    <x v="7"/>
    <n v="80014"/>
    <s v="Violet Wells"/>
    <x v="0"/>
    <n v="1"/>
    <x v="2"/>
    <x v="3"/>
    <s v="Female"/>
    <x v="0"/>
    <s v="Guatemala"/>
    <s v="Central America"/>
    <n v="25"/>
    <n v="30"/>
    <n v="5"/>
  </r>
  <r>
    <s v="Sale"/>
    <x v="1390"/>
    <x v="7"/>
    <n v="80014"/>
    <s v="Maddie Phillips"/>
    <x v="0"/>
    <n v="1"/>
    <x v="2"/>
    <x v="3"/>
    <s v="Female"/>
    <x v="0"/>
    <s v="Guatemala"/>
    <s v="Central America"/>
    <n v="25"/>
    <n v="30"/>
    <n v="5"/>
  </r>
  <r>
    <s v="Sale"/>
    <x v="1391"/>
    <x v="7"/>
    <n v="80014"/>
    <s v="Myra Nelson"/>
    <x v="0"/>
    <n v="1"/>
    <x v="2"/>
    <x v="3"/>
    <s v="Female"/>
    <x v="0"/>
    <s v="Guatemala"/>
    <s v="Central America"/>
    <n v="25"/>
    <n v="30"/>
    <n v="5"/>
  </r>
  <r>
    <s v="Sale"/>
    <x v="1392"/>
    <x v="7"/>
    <n v="80014"/>
    <s v="Emily Hill"/>
    <x v="0"/>
    <n v="1"/>
    <x v="2"/>
    <x v="3"/>
    <s v="Female"/>
    <x v="0"/>
    <s v="Guatemala"/>
    <s v="Central America"/>
    <n v="25"/>
    <n v="30"/>
    <n v="5"/>
  </r>
  <r>
    <s v="Sale"/>
    <x v="1393"/>
    <x v="7"/>
    <n v="80014"/>
    <s v="Fiona West"/>
    <x v="0"/>
    <n v="1"/>
    <x v="2"/>
    <x v="3"/>
    <s v="Female"/>
    <x v="0"/>
    <s v="Guatemala"/>
    <s v="Central America"/>
    <n v="25"/>
    <n v="30"/>
    <n v="5"/>
  </r>
  <r>
    <s v="Sale"/>
    <x v="1394"/>
    <x v="7"/>
    <n v="80014"/>
    <s v="Connie Allen"/>
    <x v="0"/>
    <n v="1"/>
    <x v="2"/>
    <x v="3"/>
    <s v="Female"/>
    <x v="0"/>
    <s v="Guatemala"/>
    <s v="Central America"/>
    <n v="25"/>
    <n v="30"/>
    <n v="5"/>
  </r>
  <r>
    <s v="Sale"/>
    <x v="1395"/>
    <x v="7"/>
    <n v="80014"/>
    <s v="Adelaide Crawford"/>
    <x v="0"/>
    <n v="1"/>
    <x v="2"/>
    <x v="3"/>
    <s v="Female"/>
    <x v="0"/>
    <s v="Guatemala"/>
    <s v="Central America"/>
    <n v="25"/>
    <n v="30"/>
    <n v="5"/>
  </r>
  <r>
    <s v="Sale"/>
    <x v="1396"/>
    <x v="7"/>
    <n v="80014"/>
    <s v="Samantha Allen"/>
    <x v="0"/>
    <n v="1"/>
    <x v="2"/>
    <x v="3"/>
    <s v="Female"/>
    <x v="0"/>
    <s v="Guatemala"/>
    <s v="Central America"/>
    <n v="25"/>
    <n v="30"/>
    <n v="5"/>
  </r>
  <r>
    <s v="Sale"/>
    <x v="1397"/>
    <x v="7"/>
    <n v="80014"/>
    <s v="Myra Morgan"/>
    <x v="0"/>
    <n v="1"/>
    <x v="2"/>
    <x v="3"/>
    <s v="Female"/>
    <x v="0"/>
    <s v="Guatemala"/>
    <s v="Central America"/>
    <n v="25"/>
    <n v="30"/>
    <n v="5"/>
  </r>
  <r>
    <s v="Sale"/>
    <x v="1398"/>
    <x v="7"/>
    <n v="80014"/>
    <s v="Deanna Sullivan"/>
    <x v="0"/>
    <n v="1"/>
    <x v="2"/>
    <x v="3"/>
    <s v="Female"/>
    <x v="0"/>
    <s v="Guatemala"/>
    <s v="Central America"/>
    <n v="25"/>
    <n v="30"/>
    <n v="5"/>
  </r>
  <r>
    <s v="Sale"/>
    <x v="1399"/>
    <x v="7"/>
    <n v="80014"/>
    <s v="Audrey Cameron"/>
    <x v="0"/>
    <n v="1"/>
    <x v="2"/>
    <x v="3"/>
    <s v="Female"/>
    <x v="0"/>
    <s v="Guatemala"/>
    <s v="Central America"/>
    <n v="25"/>
    <n v="30"/>
    <n v="5"/>
  </r>
  <r>
    <s v="Sale"/>
    <x v="1400"/>
    <x v="7"/>
    <n v="80014"/>
    <s v="Catherine Ferguson"/>
    <x v="0"/>
    <n v="1"/>
    <x v="2"/>
    <x v="3"/>
    <s v="Female"/>
    <x v="0"/>
    <s v="Guatemala"/>
    <s v="Central America"/>
    <n v="25"/>
    <n v="30"/>
    <n v="5"/>
  </r>
  <r>
    <s v="Sale"/>
    <x v="1401"/>
    <x v="7"/>
    <n v="80014"/>
    <s v="Adele Armstrong"/>
    <x v="0"/>
    <n v="1"/>
    <x v="2"/>
    <x v="3"/>
    <s v="Female"/>
    <x v="0"/>
    <s v="Guatemala"/>
    <s v="Central America"/>
    <n v="25"/>
    <n v="30"/>
    <n v="5"/>
  </r>
  <r>
    <s v="Sale"/>
    <x v="1402"/>
    <x v="7"/>
    <n v="80014"/>
    <s v="Miranda Thompson"/>
    <x v="0"/>
    <n v="1"/>
    <x v="2"/>
    <x v="3"/>
    <s v="Female"/>
    <x v="0"/>
    <s v="Guatemala"/>
    <s v="Central America"/>
    <n v="25"/>
    <n v="30"/>
    <n v="5"/>
  </r>
  <r>
    <s v="Sale"/>
    <x v="1403"/>
    <x v="7"/>
    <n v="80014"/>
    <s v="Myra Sullivan"/>
    <x v="0"/>
    <n v="1"/>
    <x v="2"/>
    <x v="3"/>
    <s v="Female"/>
    <x v="0"/>
    <s v="Guatemala"/>
    <s v="Central America"/>
    <n v="25"/>
    <n v="30"/>
    <n v="5"/>
  </r>
  <r>
    <s v="Sale"/>
    <x v="1404"/>
    <x v="7"/>
    <n v="80014"/>
    <s v="Carina Gibson"/>
    <x v="0"/>
    <n v="1"/>
    <x v="2"/>
    <x v="3"/>
    <s v="Female"/>
    <x v="0"/>
    <s v="Guatemala"/>
    <s v="Central America"/>
    <n v="25"/>
    <n v="30"/>
    <n v="5"/>
  </r>
  <r>
    <s v="Sale"/>
    <x v="1405"/>
    <x v="7"/>
    <n v="80014"/>
    <s v="Maddie Montgomery"/>
    <x v="0"/>
    <n v="1"/>
    <x v="2"/>
    <x v="3"/>
    <s v="Female"/>
    <x v="0"/>
    <s v="Guatemala"/>
    <s v="Central America"/>
    <n v="25"/>
    <n v="30"/>
    <n v="5"/>
  </r>
  <r>
    <s v="Sale"/>
    <x v="1406"/>
    <x v="7"/>
    <n v="80014"/>
    <s v="Lydia Turner"/>
    <x v="0"/>
    <n v="1"/>
    <x v="2"/>
    <x v="3"/>
    <s v="Female"/>
    <x v="0"/>
    <s v="Guatemala"/>
    <s v="Central America"/>
    <n v="25"/>
    <n v="30"/>
    <n v="5"/>
  </r>
  <r>
    <s v="Sale"/>
    <x v="1407"/>
    <x v="7"/>
    <n v="80014"/>
    <s v="Agata Hawkins"/>
    <x v="0"/>
    <n v="1"/>
    <x v="2"/>
    <x v="3"/>
    <s v="Female"/>
    <x v="0"/>
    <s v="Guatemala"/>
    <s v="Central America"/>
    <n v="25"/>
    <n v="30"/>
    <n v="5"/>
  </r>
  <r>
    <s v="Sale"/>
    <x v="1408"/>
    <x v="7"/>
    <n v="80014"/>
    <s v="Paige Holmes"/>
    <x v="0"/>
    <n v="1"/>
    <x v="2"/>
    <x v="3"/>
    <s v="Female"/>
    <x v="0"/>
    <s v="Guatemala"/>
    <s v="Central America"/>
    <n v="25"/>
    <n v="30"/>
    <n v="5"/>
  </r>
  <r>
    <s v="Sale"/>
    <x v="1409"/>
    <x v="7"/>
    <n v="80014"/>
    <s v="Brooke Spencer"/>
    <x v="0"/>
    <n v="1"/>
    <x v="2"/>
    <x v="3"/>
    <s v="Female"/>
    <x v="0"/>
    <s v="Guatemala"/>
    <s v="Central America"/>
    <n v="25"/>
    <n v="30"/>
    <n v="5"/>
  </r>
  <r>
    <s v="Sale"/>
    <x v="1410"/>
    <x v="7"/>
    <n v="80014"/>
    <s v="Grace Hill"/>
    <x v="0"/>
    <n v="1"/>
    <x v="2"/>
    <x v="3"/>
    <s v="Female"/>
    <x v="0"/>
    <s v="Guatemala"/>
    <s v="Central America"/>
    <n v="25"/>
    <n v="30"/>
    <n v="5"/>
  </r>
  <r>
    <s v="Sale"/>
    <x v="1411"/>
    <x v="7"/>
    <n v="80014"/>
    <s v="Lydia Ferguson"/>
    <x v="0"/>
    <n v="1"/>
    <x v="2"/>
    <x v="3"/>
    <s v="Female"/>
    <x v="0"/>
    <s v="Guatemala"/>
    <s v="Central America"/>
    <n v="25"/>
    <n v="30"/>
    <n v="5"/>
  </r>
  <r>
    <s v="Sale"/>
    <x v="1412"/>
    <x v="7"/>
    <n v="80014"/>
    <s v="Briony Warren"/>
    <x v="0"/>
    <n v="1"/>
    <x v="2"/>
    <x v="3"/>
    <s v="Female"/>
    <x v="0"/>
    <s v="Guatemala"/>
    <s v="Central America"/>
    <n v="25"/>
    <n v="30"/>
    <n v="5"/>
  </r>
  <r>
    <s v="Sale"/>
    <x v="1413"/>
    <x v="7"/>
    <n v="80014"/>
    <s v="Joyce Ross"/>
    <x v="0"/>
    <n v="1"/>
    <x v="2"/>
    <x v="3"/>
    <s v="Female"/>
    <x v="0"/>
    <s v="Guatemala"/>
    <s v="Central America"/>
    <n v="25"/>
    <n v="30"/>
    <n v="5"/>
  </r>
  <r>
    <s v="Sale"/>
    <x v="1414"/>
    <x v="7"/>
    <n v="80014"/>
    <s v="Aida Montgomery"/>
    <x v="0"/>
    <n v="1"/>
    <x v="2"/>
    <x v="3"/>
    <s v="Female"/>
    <x v="0"/>
    <s v="Guatemala"/>
    <s v="Central America"/>
    <n v="25"/>
    <n v="30"/>
    <n v="5"/>
  </r>
  <r>
    <s v="Sale"/>
    <x v="1415"/>
    <x v="7"/>
    <n v="80014"/>
    <s v="Ellia Foster"/>
    <x v="0"/>
    <n v="1"/>
    <x v="2"/>
    <x v="3"/>
    <s v="Female"/>
    <x v="0"/>
    <s v="Guatemala"/>
    <s v="Central America"/>
    <n v="25"/>
    <n v="30"/>
    <n v="5"/>
  </r>
  <r>
    <s v="Sale"/>
    <x v="1416"/>
    <x v="7"/>
    <n v="80014"/>
    <s v="Connie Gray"/>
    <x v="0"/>
    <n v="1"/>
    <x v="2"/>
    <x v="3"/>
    <s v="Female"/>
    <x v="0"/>
    <s v="Guatemala"/>
    <s v="Central America"/>
    <n v="25"/>
    <n v="30"/>
    <n v="5"/>
  </r>
  <r>
    <s v="Sale"/>
    <x v="1417"/>
    <x v="7"/>
    <n v="80014"/>
    <s v="Nicole Jones"/>
    <x v="0"/>
    <n v="1"/>
    <x v="2"/>
    <x v="3"/>
    <s v="Female"/>
    <x v="0"/>
    <s v="Guatemala"/>
    <s v="Central America"/>
    <n v="25"/>
    <n v="30"/>
    <n v="5"/>
  </r>
  <r>
    <s v="Sale"/>
    <x v="1418"/>
    <x v="7"/>
    <n v="80014"/>
    <s v="Abigail Hawkins"/>
    <x v="0"/>
    <n v="1"/>
    <x v="2"/>
    <x v="3"/>
    <s v="Female"/>
    <x v="0"/>
    <s v="Guatemala"/>
    <s v="Central America"/>
    <n v="25"/>
    <n v="30"/>
    <n v="5"/>
  </r>
  <r>
    <s v="Sale"/>
    <x v="1419"/>
    <x v="7"/>
    <n v="80014"/>
    <s v="Belinda Hamilton"/>
    <x v="0"/>
    <n v="1"/>
    <x v="2"/>
    <x v="3"/>
    <s v="Female"/>
    <x v="0"/>
    <s v="Guatemala"/>
    <s v="Central America"/>
    <n v="25"/>
    <n v="30"/>
    <n v="5"/>
  </r>
  <r>
    <s v="Sale"/>
    <x v="1420"/>
    <x v="7"/>
    <n v="80014"/>
    <s v="April Chapman"/>
    <x v="0"/>
    <n v="1"/>
    <x v="2"/>
    <x v="3"/>
    <s v="Female"/>
    <x v="0"/>
    <s v="Guatemala"/>
    <s v="Central America"/>
    <n v="25"/>
    <n v="30"/>
    <n v="5"/>
  </r>
  <r>
    <s v="Sale"/>
    <x v="1421"/>
    <x v="7"/>
    <n v="80014"/>
    <s v="Melissa Anderson"/>
    <x v="0"/>
    <n v="1"/>
    <x v="2"/>
    <x v="3"/>
    <s v="Female"/>
    <x v="0"/>
    <s v="Guatemala"/>
    <s v="Central America"/>
    <n v="25"/>
    <n v="30"/>
    <n v="5"/>
  </r>
  <r>
    <s v="Sale"/>
    <x v="1422"/>
    <x v="7"/>
    <n v="80014"/>
    <s v="Stella Brown"/>
    <x v="0"/>
    <n v="1"/>
    <x v="2"/>
    <x v="3"/>
    <s v="Female"/>
    <x v="0"/>
    <s v="Guatemala"/>
    <s v="Central America"/>
    <n v="25"/>
    <n v="30"/>
    <n v="5"/>
  </r>
  <r>
    <s v="Sale"/>
    <x v="1423"/>
    <x v="7"/>
    <n v="80014"/>
    <s v="Aida Spencer"/>
    <x v="0"/>
    <n v="1"/>
    <x v="2"/>
    <x v="3"/>
    <s v="Female"/>
    <x v="0"/>
    <s v="Guatemala"/>
    <s v="Central America"/>
    <n v="25"/>
    <n v="30"/>
    <n v="5"/>
  </r>
  <r>
    <s v="Sale"/>
    <x v="1424"/>
    <x v="7"/>
    <n v="80014"/>
    <s v="Naomi Morgan"/>
    <x v="0"/>
    <n v="1"/>
    <x v="2"/>
    <x v="3"/>
    <s v="Female"/>
    <x v="0"/>
    <s v="Guatemala"/>
    <s v="Central America"/>
    <n v="25"/>
    <n v="30"/>
    <n v="5"/>
  </r>
  <r>
    <s v="Sale"/>
    <x v="1425"/>
    <x v="7"/>
    <n v="80014"/>
    <s v="Chloe Miller"/>
    <x v="0"/>
    <n v="1"/>
    <x v="2"/>
    <x v="3"/>
    <s v="Female"/>
    <x v="0"/>
    <s v="Guatemala"/>
    <s v="Central America"/>
    <n v="25"/>
    <n v="30"/>
    <n v="5"/>
  </r>
  <r>
    <s v="Sale"/>
    <x v="1426"/>
    <x v="7"/>
    <n v="80014"/>
    <s v="Lily Douglas"/>
    <x v="0"/>
    <n v="1"/>
    <x v="2"/>
    <x v="3"/>
    <s v="Female"/>
    <x v="0"/>
    <s v="Guatemala"/>
    <s v="Central America"/>
    <n v="25"/>
    <n v="30"/>
    <n v="5"/>
  </r>
  <r>
    <s v="Sale"/>
    <x v="1427"/>
    <x v="7"/>
    <n v="80014"/>
    <s v="Lydia Wright"/>
    <x v="0"/>
    <n v="1"/>
    <x v="2"/>
    <x v="3"/>
    <s v="Female"/>
    <x v="0"/>
    <s v="Guatemala"/>
    <s v="Central America"/>
    <n v="25"/>
    <n v="30"/>
    <n v="5"/>
  </r>
  <r>
    <s v="Sale"/>
    <x v="1428"/>
    <x v="7"/>
    <n v="80014"/>
    <s v="Kirsten Alexander"/>
    <x v="0"/>
    <n v="1"/>
    <x v="2"/>
    <x v="3"/>
    <s v="Female"/>
    <x v="0"/>
    <s v="Guatemala"/>
    <s v="Central America"/>
    <n v="25"/>
    <n v="30"/>
    <n v="5"/>
  </r>
  <r>
    <s v="Sale"/>
    <x v="1429"/>
    <x v="7"/>
    <n v="80014"/>
    <s v="Penelope Miller"/>
    <x v="0"/>
    <n v="1"/>
    <x v="2"/>
    <x v="3"/>
    <s v="Female"/>
    <x v="0"/>
    <s v="Guatemala"/>
    <s v="Central America"/>
    <n v="25"/>
    <n v="30"/>
    <n v="5"/>
  </r>
  <r>
    <s v="Sale"/>
    <x v="1430"/>
    <x v="7"/>
    <n v="80014"/>
    <s v="Sydney Henderson"/>
    <x v="0"/>
    <n v="1"/>
    <x v="2"/>
    <x v="3"/>
    <s v="Female"/>
    <x v="0"/>
    <s v="Guatemala"/>
    <s v="Central America"/>
    <n v="25"/>
    <n v="30"/>
    <n v="5"/>
  </r>
  <r>
    <s v="Sale"/>
    <x v="1431"/>
    <x v="7"/>
    <n v="80014"/>
    <s v="Belinda Spencer"/>
    <x v="0"/>
    <n v="1"/>
    <x v="2"/>
    <x v="3"/>
    <s v="Female"/>
    <x v="0"/>
    <s v="Guatemala"/>
    <s v="Central America"/>
    <n v="25"/>
    <n v="30"/>
    <n v="5"/>
  </r>
  <r>
    <s v="Sale"/>
    <x v="1432"/>
    <x v="7"/>
    <n v="80014"/>
    <s v="Isabella Ryan"/>
    <x v="0"/>
    <n v="1"/>
    <x v="2"/>
    <x v="3"/>
    <s v="Female"/>
    <x v="0"/>
    <s v="Guatemala"/>
    <s v="Central America"/>
    <n v="25"/>
    <n v="30"/>
    <n v="5"/>
  </r>
  <r>
    <s v="Sale"/>
    <x v="1433"/>
    <x v="7"/>
    <n v="80014"/>
    <s v="Rebecca Kelley"/>
    <x v="0"/>
    <n v="1"/>
    <x v="2"/>
    <x v="3"/>
    <s v="Female"/>
    <x v="0"/>
    <s v="Guatemala"/>
    <s v="Central America"/>
    <n v="25"/>
    <n v="30"/>
    <n v="5"/>
  </r>
  <r>
    <s v="Sale"/>
    <x v="1434"/>
    <x v="7"/>
    <n v="80014"/>
    <s v="Cherry Dixon"/>
    <x v="0"/>
    <n v="1"/>
    <x v="2"/>
    <x v="3"/>
    <s v="Female"/>
    <x v="0"/>
    <s v="Guatemala"/>
    <s v="Central America"/>
    <n v="25"/>
    <n v="30"/>
    <n v="5"/>
  </r>
  <r>
    <s v="Sale"/>
    <x v="1435"/>
    <x v="7"/>
    <n v="80014"/>
    <s v="Sofia Douglas"/>
    <x v="0"/>
    <n v="1"/>
    <x v="2"/>
    <x v="3"/>
    <s v="Female"/>
    <x v="0"/>
    <s v="Guatemala"/>
    <s v="Central America"/>
    <n v="25"/>
    <n v="30"/>
    <n v="5"/>
  </r>
  <r>
    <s v="Sale"/>
    <x v="1436"/>
    <x v="7"/>
    <n v="80014"/>
    <s v="Kimberly Morrison"/>
    <x v="0"/>
    <n v="1"/>
    <x v="2"/>
    <x v="3"/>
    <s v="Female"/>
    <x v="0"/>
    <s v="Guatemala"/>
    <s v="Central America"/>
    <n v="25"/>
    <n v="30"/>
    <n v="5"/>
  </r>
  <r>
    <s v="Sale"/>
    <x v="1437"/>
    <x v="7"/>
    <n v="80014"/>
    <s v="Jenna Cameron"/>
    <x v="0"/>
    <n v="1"/>
    <x v="2"/>
    <x v="3"/>
    <s v="Female"/>
    <x v="0"/>
    <s v="Guatemala"/>
    <s v="Central America"/>
    <n v="25"/>
    <n v="30"/>
    <n v="5"/>
  </r>
  <r>
    <s v="Sale"/>
    <x v="1438"/>
    <x v="7"/>
    <n v="80014"/>
    <s v="Alissa Richardson"/>
    <x v="0"/>
    <n v="1"/>
    <x v="2"/>
    <x v="3"/>
    <s v="Female"/>
    <x v="0"/>
    <s v="Guatemala"/>
    <s v="Central America"/>
    <n v="25"/>
    <n v="30"/>
    <n v="5"/>
  </r>
  <r>
    <s v="Sale"/>
    <x v="1439"/>
    <x v="7"/>
    <n v="80014"/>
    <s v="Amelia Martin"/>
    <x v="0"/>
    <n v="1"/>
    <x v="2"/>
    <x v="3"/>
    <s v="Female"/>
    <x v="0"/>
    <s v="Guatemala"/>
    <s v="Central America"/>
    <n v="25"/>
    <n v="30"/>
    <n v="5"/>
  </r>
  <r>
    <s v="Sale"/>
    <x v="1440"/>
    <x v="7"/>
    <n v="80014"/>
    <s v="Naomi Ryan"/>
    <x v="0"/>
    <n v="1"/>
    <x v="2"/>
    <x v="3"/>
    <s v="Female"/>
    <x v="0"/>
    <s v="Guatemala"/>
    <s v="Central America"/>
    <n v="25"/>
    <n v="30"/>
    <n v="5"/>
  </r>
  <r>
    <s v="Sale"/>
    <x v="1441"/>
    <x v="7"/>
    <n v="80014"/>
    <s v="Sofia Johnston"/>
    <x v="0"/>
    <n v="1"/>
    <x v="2"/>
    <x v="3"/>
    <s v="Female"/>
    <x v="0"/>
    <s v="Guatemala"/>
    <s v="Central America"/>
    <n v="25"/>
    <n v="30"/>
    <n v="5"/>
  </r>
  <r>
    <s v="Sale"/>
    <x v="1442"/>
    <x v="7"/>
    <n v="80014"/>
    <s v="Maddie Richardson"/>
    <x v="0"/>
    <n v="1"/>
    <x v="2"/>
    <x v="3"/>
    <s v="Female"/>
    <x v="0"/>
    <s v="Guatemala"/>
    <s v="Central America"/>
    <n v="25"/>
    <n v="30"/>
    <n v="5"/>
  </r>
  <r>
    <s v="Sale"/>
    <x v="1443"/>
    <x v="7"/>
    <n v="80014"/>
    <s v="Maya Davis"/>
    <x v="0"/>
    <n v="1"/>
    <x v="2"/>
    <x v="3"/>
    <s v="Female"/>
    <x v="0"/>
    <s v="Guatemala"/>
    <s v="Central America"/>
    <n v="25"/>
    <n v="30"/>
    <n v="5"/>
  </r>
  <r>
    <s v="Sale"/>
    <x v="1444"/>
    <x v="7"/>
    <n v="80014"/>
    <s v="Ellia Edwards"/>
    <x v="0"/>
    <n v="1"/>
    <x v="2"/>
    <x v="3"/>
    <s v="Female"/>
    <x v="0"/>
    <s v="Guatemala"/>
    <s v="Central America"/>
    <n v="25"/>
    <n v="30"/>
    <n v="5"/>
  </r>
  <r>
    <s v="Sale"/>
    <x v="1445"/>
    <x v="7"/>
    <n v="80014"/>
    <s v="Grace Johnson"/>
    <x v="0"/>
    <n v="1"/>
    <x v="2"/>
    <x v="3"/>
    <s v="Female"/>
    <x v="0"/>
    <s v="Guatemala"/>
    <s v="Central America"/>
    <n v="25"/>
    <n v="30"/>
    <n v="5"/>
  </r>
  <r>
    <s v="Sale"/>
    <x v="1446"/>
    <x v="7"/>
    <n v="80014"/>
    <s v="Isabella Owens"/>
    <x v="0"/>
    <n v="1"/>
    <x v="0"/>
    <x v="3"/>
    <s v="Female"/>
    <x v="0"/>
    <s v="Guatemala"/>
    <s v="Central America"/>
    <n v="25"/>
    <n v="30"/>
    <n v="5"/>
  </r>
  <r>
    <s v="Sale"/>
    <x v="1447"/>
    <x v="7"/>
    <n v="80014"/>
    <s v="Daisy Payne"/>
    <x v="0"/>
    <n v="1"/>
    <x v="0"/>
    <x v="3"/>
    <s v="Female"/>
    <x v="0"/>
    <s v="Guatemala"/>
    <s v="Central America"/>
    <n v="25"/>
    <n v="30"/>
    <n v="5"/>
  </r>
  <r>
    <s v="Sale"/>
    <x v="1448"/>
    <x v="7"/>
    <n v="80014"/>
    <s v="Evelyn Morris"/>
    <x v="0"/>
    <n v="1"/>
    <x v="0"/>
    <x v="3"/>
    <s v="Female"/>
    <x v="0"/>
    <s v="Guatemala"/>
    <s v="Central America"/>
    <n v="25"/>
    <n v="30"/>
    <n v="5"/>
  </r>
  <r>
    <s v="Sale"/>
    <x v="1449"/>
    <x v="7"/>
    <n v="80014"/>
    <s v="Annabella Cunningham"/>
    <x v="0"/>
    <n v="1"/>
    <x v="0"/>
    <x v="3"/>
    <s v="Female"/>
    <x v="0"/>
    <s v="Guatemala"/>
    <s v="Central America"/>
    <n v="25"/>
    <n v="30"/>
    <n v="5"/>
  </r>
  <r>
    <s v="Sale"/>
    <x v="1450"/>
    <x v="7"/>
    <n v="80014"/>
    <s v="Alexia Stevens"/>
    <x v="0"/>
    <n v="1"/>
    <x v="0"/>
    <x v="3"/>
    <s v="Female"/>
    <x v="0"/>
    <s v="Guatemala"/>
    <s v="Central America"/>
    <n v="25"/>
    <n v="30"/>
    <n v="5"/>
  </r>
  <r>
    <s v="Sale"/>
    <x v="1451"/>
    <x v="7"/>
    <n v="80014"/>
    <s v="Kirsten Murphy"/>
    <x v="0"/>
    <n v="1"/>
    <x v="2"/>
    <x v="3"/>
    <s v="Female"/>
    <x v="0"/>
    <s v="Guatemala"/>
    <s v="Central America"/>
    <n v="25"/>
    <n v="30"/>
    <n v="5"/>
  </r>
  <r>
    <s v="Sale"/>
    <x v="1452"/>
    <x v="7"/>
    <n v="80014"/>
    <s v="Sarah Evans"/>
    <x v="0"/>
    <n v="1"/>
    <x v="2"/>
    <x v="3"/>
    <s v="Female"/>
    <x v="0"/>
    <s v="Guatemala"/>
    <s v="Central America"/>
    <n v="25"/>
    <n v="30"/>
    <n v="5"/>
  </r>
  <r>
    <s v="Sale"/>
    <x v="1453"/>
    <x v="7"/>
    <n v="80014"/>
    <s v="Cadie Kelly"/>
    <x v="0"/>
    <n v="1"/>
    <x v="2"/>
    <x v="3"/>
    <s v="Female"/>
    <x v="0"/>
    <s v="Guatemala"/>
    <s v="Central America"/>
    <n v="25"/>
    <n v="30"/>
    <n v="5"/>
  </r>
  <r>
    <s v="Sale"/>
    <x v="1454"/>
    <x v="7"/>
    <n v="80014"/>
    <s v="Honey Mason"/>
    <x v="0"/>
    <n v="1"/>
    <x v="2"/>
    <x v="3"/>
    <s v="Female"/>
    <x v="0"/>
    <s v="Guatemala"/>
    <s v="Central America"/>
    <n v="25"/>
    <n v="30"/>
    <n v="5"/>
  </r>
  <r>
    <s v="Sale"/>
    <x v="1455"/>
    <x v="7"/>
    <n v="80014"/>
    <s v="Kelsey Farrell"/>
    <x v="0"/>
    <n v="1"/>
    <x v="2"/>
    <x v="3"/>
    <s v="Female"/>
    <x v="0"/>
    <s v="Guatemala"/>
    <s v="Central America"/>
    <n v="25"/>
    <n v="30"/>
    <n v="5"/>
  </r>
  <r>
    <s v="Sale"/>
    <x v="1456"/>
    <x v="7"/>
    <n v="80014"/>
    <s v="Vivian Scott"/>
    <x v="0"/>
    <n v="1"/>
    <x v="2"/>
    <x v="3"/>
    <s v="Female"/>
    <x v="0"/>
    <s v="Guatemala"/>
    <s v="Central America"/>
    <n v="25"/>
    <n v="30"/>
    <n v="5"/>
  </r>
  <r>
    <s v="Sale"/>
    <x v="1457"/>
    <x v="7"/>
    <n v="80014"/>
    <s v="Jenna Armstrong"/>
    <x v="0"/>
    <n v="1"/>
    <x v="2"/>
    <x v="3"/>
    <s v="Female"/>
    <x v="0"/>
    <s v="Guatemala"/>
    <s v="Central America"/>
    <n v="25"/>
    <n v="30"/>
    <n v="5"/>
  </r>
  <r>
    <s v="Sale"/>
    <x v="1458"/>
    <x v="7"/>
    <n v="80014"/>
    <s v="Anna Hall"/>
    <x v="0"/>
    <n v="1"/>
    <x v="2"/>
    <x v="3"/>
    <s v="Female"/>
    <x v="0"/>
    <s v="Guatemala"/>
    <s v="Central America"/>
    <n v="25"/>
    <n v="30"/>
    <n v="5"/>
  </r>
  <r>
    <s v="Sale"/>
    <x v="1459"/>
    <x v="7"/>
    <n v="80014"/>
    <s v="Joyce Harrison"/>
    <x v="0"/>
    <n v="1"/>
    <x v="2"/>
    <x v="3"/>
    <s v="Female"/>
    <x v="0"/>
    <s v="Guatemala"/>
    <s v="Central America"/>
    <n v="25"/>
    <n v="30"/>
    <n v="5"/>
  </r>
  <r>
    <s v="Sale"/>
    <x v="1460"/>
    <x v="7"/>
    <n v="80014"/>
    <s v="Hailey Craig"/>
    <x v="0"/>
    <n v="1"/>
    <x v="2"/>
    <x v="3"/>
    <s v="Female"/>
    <x v="0"/>
    <s v="Guatemala"/>
    <s v="Central America"/>
    <n v="25"/>
    <n v="30"/>
    <n v="5"/>
  </r>
  <r>
    <s v="Sale"/>
    <x v="1461"/>
    <x v="7"/>
    <n v="80014"/>
    <s v="Mary Robinson"/>
    <x v="0"/>
    <n v="1"/>
    <x v="2"/>
    <x v="3"/>
    <s v="Female"/>
    <x v="0"/>
    <s v="Guatemala"/>
    <s v="Central America"/>
    <n v="25"/>
    <n v="30"/>
    <n v="5"/>
  </r>
  <r>
    <s v="Sale"/>
    <x v="1462"/>
    <x v="7"/>
    <n v="80014"/>
    <s v="Sarah Gray"/>
    <x v="0"/>
    <n v="1"/>
    <x v="2"/>
    <x v="3"/>
    <s v="Female"/>
    <x v="0"/>
    <s v="Guatemala"/>
    <s v="Central America"/>
    <n v="25"/>
    <n v="30"/>
    <n v="5"/>
  </r>
  <r>
    <s v="Sale"/>
    <x v="1463"/>
    <x v="7"/>
    <n v="80014"/>
    <s v="Eleanor Warren"/>
    <x v="0"/>
    <n v="1"/>
    <x v="2"/>
    <x v="3"/>
    <s v="Female"/>
    <x v="0"/>
    <s v="Guatemala"/>
    <s v="Central America"/>
    <n v="25"/>
    <n v="30"/>
    <n v="5"/>
  </r>
  <r>
    <s v="Sale"/>
    <x v="1464"/>
    <x v="7"/>
    <n v="80014"/>
    <s v="Emma Williams"/>
    <x v="0"/>
    <n v="1"/>
    <x v="2"/>
    <x v="3"/>
    <s v="Female"/>
    <x v="0"/>
    <s v="Guatemala"/>
    <s v="Central America"/>
    <n v="25"/>
    <n v="30"/>
    <n v="5"/>
  </r>
  <r>
    <s v="Sale"/>
    <x v="1465"/>
    <x v="7"/>
    <n v="80014"/>
    <s v="Charlotte Turner"/>
    <x v="0"/>
    <n v="1"/>
    <x v="2"/>
    <x v="3"/>
    <s v="Female"/>
    <x v="0"/>
    <s v="Guatemala"/>
    <s v="Central America"/>
    <n v="25"/>
    <n v="30"/>
    <n v="5"/>
  </r>
  <r>
    <s v="Sale"/>
    <x v="1466"/>
    <x v="7"/>
    <n v="80014"/>
    <s v="Ellia Myers"/>
    <x v="0"/>
    <n v="1"/>
    <x v="2"/>
    <x v="3"/>
    <s v="Female"/>
    <x v="0"/>
    <s v="Guatemala"/>
    <s v="Central America"/>
    <n v="25"/>
    <n v="30"/>
    <n v="5"/>
  </r>
  <r>
    <s v="Sale"/>
    <x v="1467"/>
    <x v="7"/>
    <n v="80014"/>
    <s v="Daisy Gray"/>
    <x v="0"/>
    <n v="1"/>
    <x v="2"/>
    <x v="3"/>
    <s v="Female"/>
    <x v="0"/>
    <s v="Guatemala"/>
    <s v="Central America"/>
    <n v="25"/>
    <n v="30"/>
    <n v="5"/>
  </r>
  <r>
    <s v="Sale"/>
    <x v="1468"/>
    <x v="7"/>
    <n v="80014"/>
    <s v="Grace Morgan"/>
    <x v="0"/>
    <n v="1"/>
    <x v="2"/>
    <x v="3"/>
    <s v="Female"/>
    <x v="0"/>
    <s v="Guatemala"/>
    <s v="Central America"/>
    <n v="25"/>
    <n v="30"/>
    <n v="5"/>
  </r>
  <r>
    <s v="Sale"/>
    <x v="1469"/>
    <x v="7"/>
    <n v="80014"/>
    <s v="Sienna Wells"/>
    <x v="0"/>
    <n v="1"/>
    <x v="2"/>
    <x v="3"/>
    <s v="Female"/>
    <x v="0"/>
    <s v="Guatemala"/>
    <s v="Central America"/>
    <n v="25"/>
    <n v="30"/>
    <n v="5"/>
  </r>
  <r>
    <s v="Sale"/>
    <x v="1470"/>
    <x v="7"/>
    <n v="80014"/>
    <s v="Annabella Payne"/>
    <x v="0"/>
    <n v="1"/>
    <x v="2"/>
    <x v="3"/>
    <s v="Female"/>
    <x v="0"/>
    <s v="Guatemala"/>
    <s v="Central America"/>
    <n v="25"/>
    <n v="30"/>
    <n v="5"/>
  </r>
  <r>
    <s v="Sale"/>
    <x v="1471"/>
    <x v="7"/>
    <n v="80014"/>
    <s v="Anna Harris"/>
    <x v="0"/>
    <n v="1"/>
    <x v="2"/>
    <x v="3"/>
    <s v="Female"/>
    <x v="0"/>
    <s v="Guatemala"/>
    <s v="Central America"/>
    <n v="25"/>
    <n v="30"/>
    <n v="5"/>
  </r>
  <r>
    <s v="Sale"/>
    <x v="1472"/>
    <x v="7"/>
    <n v="80014"/>
    <s v="Abigail Hamilton"/>
    <x v="0"/>
    <n v="1"/>
    <x v="2"/>
    <x v="3"/>
    <s v="Female"/>
    <x v="0"/>
    <s v="Guatemala"/>
    <s v="Central America"/>
    <n v="25"/>
    <n v="30"/>
    <n v="5"/>
  </r>
  <r>
    <s v="Sale"/>
    <x v="1473"/>
    <x v="7"/>
    <n v="80014"/>
    <s v="Abigail Murray"/>
    <x v="0"/>
    <n v="1"/>
    <x v="2"/>
    <x v="3"/>
    <s v="Female"/>
    <x v="0"/>
    <s v="Guatemala"/>
    <s v="Central America"/>
    <n v="25"/>
    <n v="30"/>
    <n v="5"/>
  </r>
  <r>
    <s v="Sale"/>
    <x v="1474"/>
    <x v="7"/>
    <n v="80014"/>
    <s v="Hail Fost"/>
    <x v="0"/>
    <n v="1"/>
    <x v="2"/>
    <x v="3"/>
    <s v="Female"/>
    <x v="0"/>
    <s v="Guatemala"/>
    <s v="Central America"/>
    <n v="25"/>
    <n v="30"/>
    <n v="5"/>
  </r>
  <r>
    <s v="Sale"/>
    <x v="1475"/>
    <x v="7"/>
    <n v="80014"/>
    <s v="Camila Rogers"/>
    <x v="0"/>
    <n v="1"/>
    <x v="2"/>
    <x v="3"/>
    <s v="Female"/>
    <x v="0"/>
    <s v="Guatemala"/>
    <s v="Central America"/>
    <n v="25"/>
    <n v="30"/>
    <n v="5"/>
  </r>
  <r>
    <s v="Sale"/>
    <x v="1476"/>
    <x v="7"/>
    <n v="80014"/>
    <s v="Lucia Kelley"/>
    <x v="0"/>
    <n v="1"/>
    <x v="2"/>
    <x v="3"/>
    <s v="Female"/>
    <x v="0"/>
    <s v="Guatemala"/>
    <s v="Central America"/>
    <n v="25"/>
    <n v="30"/>
    <n v="5"/>
  </r>
  <r>
    <s v="Sale"/>
    <x v="1477"/>
    <x v="7"/>
    <n v="80014"/>
    <s v="Gianna Montgomery"/>
    <x v="0"/>
    <n v="1"/>
    <x v="2"/>
    <x v="3"/>
    <s v="Female"/>
    <x v="0"/>
    <s v="Guatemala"/>
    <s v="Central America"/>
    <n v="25"/>
    <n v="30"/>
    <n v="5"/>
  </r>
  <r>
    <s v="Sale"/>
    <x v="1478"/>
    <x v="7"/>
    <n v="80014"/>
    <s v="Chelsea Brown"/>
    <x v="0"/>
    <n v="1"/>
    <x v="2"/>
    <x v="3"/>
    <s v="Female"/>
    <x v="0"/>
    <s v="Guatemala"/>
    <s v="Central America"/>
    <n v="25"/>
    <n v="30"/>
    <n v="5"/>
  </r>
  <r>
    <s v="Sale"/>
    <x v="1479"/>
    <x v="7"/>
    <n v="80014"/>
    <s v="Lucia Harris"/>
    <x v="0"/>
    <n v="1"/>
    <x v="2"/>
    <x v="3"/>
    <s v="Female"/>
    <x v="0"/>
    <s v="Guatemala"/>
    <s v="Central America"/>
    <n v="25"/>
    <n v="30"/>
    <n v="5"/>
  </r>
  <r>
    <s v="Sale"/>
    <x v="1480"/>
    <x v="7"/>
    <n v="80014"/>
    <s v="April Kelley"/>
    <x v="0"/>
    <n v="1"/>
    <x v="2"/>
    <x v="3"/>
    <s v="Female"/>
    <x v="0"/>
    <s v="Guatemala"/>
    <s v="Central America"/>
    <n v="25"/>
    <n v="30"/>
    <n v="5"/>
  </r>
  <r>
    <s v="Sale"/>
    <x v="1481"/>
    <x v="7"/>
    <n v="80014"/>
    <s v="Aida Chapman"/>
    <x v="0"/>
    <n v="1"/>
    <x v="2"/>
    <x v="3"/>
    <s v="Female"/>
    <x v="0"/>
    <s v="Guatemala"/>
    <s v="Central America"/>
    <n v="25"/>
    <n v="30"/>
    <n v="5"/>
  </r>
  <r>
    <s v="Sale"/>
    <x v="1482"/>
    <x v="7"/>
    <n v="80014"/>
    <s v="Michelle Adams"/>
    <x v="0"/>
    <n v="1"/>
    <x v="2"/>
    <x v="3"/>
    <s v="Female"/>
    <x v="0"/>
    <s v="Guatemala"/>
    <s v="Central America"/>
    <n v="25"/>
    <n v="30"/>
    <n v="5"/>
  </r>
  <r>
    <s v="Sale"/>
    <x v="1483"/>
    <x v="7"/>
    <n v="80014"/>
    <s v="Savana Lloyd"/>
    <x v="0"/>
    <n v="1"/>
    <x v="2"/>
    <x v="3"/>
    <s v="Female"/>
    <x v="0"/>
    <s v="Guatemala"/>
    <s v="Central America"/>
    <n v="25"/>
    <n v="30"/>
    <n v="5"/>
  </r>
  <r>
    <s v="Sale"/>
    <x v="1484"/>
    <x v="7"/>
    <n v="80014"/>
    <s v="Miley Perry"/>
    <x v="0"/>
    <n v="1"/>
    <x v="2"/>
    <x v="3"/>
    <s v="Female"/>
    <x v="0"/>
    <s v="Guatemala"/>
    <s v="Central America"/>
    <n v="25"/>
    <n v="30"/>
    <n v="5"/>
  </r>
  <r>
    <s v="Sale"/>
    <x v="1485"/>
    <x v="7"/>
    <n v="80014"/>
    <s v="Belinda Johnson"/>
    <x v="0"/>
    <n v="1"/>
    <x v="2"/>
    <x v="3"/>
    <s v="Female"/>
    <x v="0"/>
    <s v="Guatemala"/>
    <s v="Central America"/>
    <n v="25"/>
    <n v="30"/>
    <n v="5"/>
  </r>
  <r>
    <s v="Sale"/>
    <x v="1486"/>
    <x v="7"/>
    <n v="80014"/>
    <s v="Ada Martin"/>
    <x v="0"/>
    <n v="1"/>
    <x v="2"/>
    <x v="3"/>
    <s v="Female"/>
    <x v="0"/>
    <s v="Guatemala"/>
    <s v="Central America"/>
    <n v="25"/>
    <n v="30"/>
    <n v="5"/>
  </r>
  <r>
    <s v="Sale"/>
    <x v="1487"/>
    <x v="7"/>
    <n v="80014"/>
    <s v="Kirsten Carroll"/>
    <x v="0"/>
    <n v="1"/>
    <x v="2"/>
    <x v="3"/>
    <s v="Female"/>
    <x v="0"/>
    <s v="Guatemala"/>
    <s v="Central America"/>
    <n v="25"/>
    <n v="30"/>
    <n v="5"/>
  </r>
  <r>
    <s v="Sale"/>
    <x v="1488"/>
    <x v="7"/>
    <n v="80014"/>
    <s v="Elise Ellis"/>
    <x v="0"/>
    <n v="1"/>
    <x v="2"/>
    <x v="3"/>
    <s v="Female"/>
    <x v="0"/>
    <s v="Guatemala"/>
    <s v="Central America"/>
    <n v="25"/>
    <n v="30"/>
    <n v="5"/>
  </r>
  <r>
    <s v="Sale"/>
    <x v="1489"/>
    <x v="7"/>
    <n v="80014"/>
    <s v="Lilianna Baker"/>
    <x v="0"/>
    <n v="1"/>
    <x v="2"/>
    <x v="3"/>
    <s v="Female"/>
    <x v="0"/>
    <s v="Guatemala"/>
    <s v="Central America"/>
    <n v="25"/>
    <n v="30"/>
    <n v="5"/>
  </r>
  <r>
    <s v="Sale"/>
    <x v="1490"/>
    <x v="7"/>
    <n v="80014"/>
    <s v="Kimberly Jones"/>
    <x v="0"/>
    <n v="1"/>
    <x v="2"/>
    <x v="3"/>
    <s v="Female"/>
    <x v="0"/>
    <s v="Guatemala"/>
    <s v="Central America"/>
    <n v="25"/>
    <n v="30"/>
    <n v="5"/>
  </r>
  <r>
    <s v="Sale"/>
    <x v="1491"/>
    <x v="7"/>
    <n v="80014"/>
    <s v="Heather Harper"/>
    <x v="0"/>
    <n v="1"/>
    <x v="2"/>
    <x v="3"/>
    <s v="Female"/>
    <x v="0"/>
    <s v="Guatemala"/>
    <s v="Central America"/>
    <n v="25"/>
    <n v="30"/>
    <n v="5"/>
  </r>
  <r>
    <s v="Sale"/>
    <x v="1492"/>
    <x v="7"/>
    <n v="80014"/>
    <s v="Melanie Grant"/>
    <x v="0"/>
    <n v="1"/>
    <x v="2"/>
    <x v="3"/>
    <s v="Female"/>
    <x v="0"/>
    <s v="Guatemala"/>
    <s v="Central America"/>
    <n v="25"/>
    <n v="30"/>
    <n v="5"/>
  </r>
  <r>
    <s v="Sale"/>
    <x v="1493"/>
    <x v="7"/>
    <n v="80014"/>
    <s v="Julia Ryan"/>
    <x v="0"/>
    <n v="1"/>
    <x v="2"/>
    <x v="3"/>
    <s v="Female"/>
    <x v="0"/>
    <s v="Guatemala"/>
    <s v="Central America"/>
    <n v="25"/>
    <n v="30"/>
    <n v="5"/>
  </r>
  <r>
    <s v="Sale"/>
    <x v="1494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495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496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497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498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499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500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501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502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503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504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505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506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507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508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509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510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511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512"/>
    <x v="7"/>
    <n v="80014"/>
    <s v="Target"/>
    <x v="1"/>
    <n v="1"/>
    <x v="2"/>
    <x v="3"/>
    <s v="Female"/>
    <x v="0"/>
    <s v="Guatemala"/>
    <s v="Central America"/>
    <n v="25"/>
    <n v="30"/>
    <n v="5"/>
  </r>
  <r>
    <s v="Sale"/>
    <x v="1513"/>
    <x v="6"/>
    <n v="90021"/>
    <s v="Bloomingdales"/>
    <x v="1"/>
    <n v="1"/>
    <x v="0"/>
    <x v="0"/>
    <s v="Female"/>
    <x v="1"/>
    <s v="Afghanistan"/>
    <s v="Middle East"/>
    <n v="150"/>
    <n v="75"/>
    <n v="-75"/>
  </r>
  <r>
    <s v="Sale"/>
    <x v="1514"/>
    <x v="6"/>
    <n v="90021"/>
    <s v="Bloomingdales"/>
    <x v="1"/>
    <n v="1"/>
    <x v="0"/>
    <x v="0"/>
    <s v="Female"/>
    <x v="1"/>
    <s v="Afghanistan"/>
    <s v="Middle East"/>
    <n v="150"/>
    <n v="75"/>
    <n v="-75"/>
  </r>
  <r>
    <s v="Sale"/>
    <x v="1515"/>
    <x v="6"/>
    <n v="90021"/>
    <s v="Bloomingdales"/>
    <x v="1"/>
    <n v="1"/>
    <x v="0"/>
    <x v="0"/>
    <s v="Female"/>
    <x v="1"/>
    <s v="Afghanistan"/>
    <s v="Middle East"/>
    <n v="150"/>
    <n v="75"/>
    <n v="-75"/>
  </r>
  <r>
    <s v="Sale"/>
    <x v="1516"/>
    <x v="6"/>
    <n v="90021"/>
    <s v="Bloomingdales"/>
    <x v="1"/>
    <n v="1"/>
    <x v="2"/>
    <x v="0"/>
    <s v="Female"/>
    <x v="1"/>
    <s v="Afghanistan"/>
    <s v="Middle East"/>
    <n v="150"/>
    <n v="75"/>
    <n v="-75"/>
  </r>
  <r>
    <s v="Sale"/>
    <x v="1517"/>
    <x v="6"/>
    <n v="90021"/>
    <s v="Bloomingdales"/>
    <x v="1"/>
    <n v="1"/>
    <x v="0"/>
    <x v="0"/>
    <s v="Female"/>
    <x v="1"/>
    <s v="Afghanistan"/>
    <s v="Middle East"/>
    <n v="150"/>
    <n v="75"/>
    <n v="-75"/>
  </r>
  <r>
    <s v="Sale"/>
    <x v="1518"/>
    <x v="6"/>
    <n v="90021"/>
    <s v="Bloomingdales"/>
    <x v="1"/>
    <n v="1"/>
    <x v="0"/>
    <x v="0"/>
    <s v="Female"/>
    <x v="1"/>
    <s v="Afghanistan"/>
    <s v="Middle East"/>
    <n v="150"/>
    <n v="75"/>
    <n v="-75"/>
  </r>
  <r>
    <s v="Sale"/>
    <x v="1519"/>
    <x v="6"/>
    <n v="90021"/>
    <s v="Bloomingdales"/>
    <x v="1"/>
    <n v="1"/>
    <x v="0"/>
    <x v="0"/>
    <s v="Female"/>
    <x v="1"/>
    <s v="Afghanistan"/>
    <s v="Middle East"/>
    <n v="150"/>
    <n v="75"/>
    <n v="-75"/>
  </r>
  <r>
    <s v="Sale"/>
    <x v="1520"/>
    <x v="6"/>
    <n v="90021"/>
    <s v="Bloomingdales"/>
    <x v="1"/>
    <n v="1"/>
    <x v="2"/>
    <x v="0"/>
    <s v="Female"/>
    <x v="1"/>
    <s v="Afghanistan"/>
    <s v="Middle East"/>
    <n v="150"/>
    <n v="75"/>
    <n v="-75"/>
  </r>
  <r>
    <s v="Sale"/>
    <x v="1521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22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23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24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25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26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27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28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29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30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31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32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33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34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35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36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37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38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39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40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41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42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43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44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45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46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47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48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49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50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51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52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53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54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55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56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57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58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59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60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61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62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63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64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65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66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67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68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69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70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71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72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73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74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75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76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77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78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79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80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81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82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83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84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85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86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87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88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89"/>
    <x v="5"/>
    <n v="10013"/>
    <s v="Macys"/>
    <x v="1"/>
    <n v="1"/>
    <x v="1"/>
    <x v="1"/>
    <s v="Female"/>
    <x v="0"/>
    <s v="Honduras"/>
    <s v="Central America"/>
    <n v="30"/>
    <n v="45"/>
    <n v="15"/>
  </r>
  <r>
    <s v="Sale"/>
    <x v="1590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1591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1592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593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594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595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596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597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598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599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600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601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602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603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604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605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606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607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608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609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610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611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612"/>
    <x v="7"/>
    <n v="80208"/>
    <s v="Macys"/>
    <x v="1"/>
    <n v="1"/>
    <x v="2"/>
    <x v="3"/>
    <s v="Female"/>
    <x v="0"/>
    <s v="Guatemala"/>
    <s v="Central America"/>
    <n v="25"/>
    <n v="30"/>
    <n v="5"/>
  </r>
  <r>
    <s v="Sale"/>
    <x v="1613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1614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1615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1616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1617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1618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1619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1620"/>
    <x v="7"/>
    <n v="80208"/>
    <s v="Target"/>
    <x v="1"/>
    <n v="1"/>
    <x v="2"/>
    <x v="3"/>
    <s v="Female"/>
    <x v="0"/>
    <s v="Guatemala"/>
    <s v="Central America"/>
    <n v="25"/>
    <n v="30"/>
    <n v="5"/>
  </r>
  <r>
    <s v="Sale"/>
    <x v="1621"/>
    <x v="7"/>
    <n v="80208"/>
    <s v="Target"/>
    <x v="1"/>
    <n v="1"/>
    <x v="1"/>
    <x v="3"/>
    <s v="Female"/>
    <x v="0"/>
    <s v="Guatemala"/>
    <s v="Central America"/>
    <n v="25"/>
    <n v="30"/>
    <n v="5"/>
  </r>
  <r>
    <s v="Sale"/>
    <x v="1622"/>
    <x v="7"/>
    <n v="80208"/>
    <s v="Target"/>
    <x v="1"/>
    <n v="1"/>
    <x v="1"/>
    <x v="3"/>
    <s v="Female"/>
    <x v="0"/>
    <s v="Guatemala"/>
    <s v="Central America"/>
    <n v="25"/>
    <n v="30"/>
    <n v="5"/>
  </r>
  <r>
    <s v="Sale"/>
    <x v="1623"/>
    <x v="7"/>
    <n v="80208"/>
    <s v="Target"/>
    <x v="1"/>
    <n v="1"/>
    <x v="1"/>
    <x v="3"/>
    <s v="Female"/>
    <x v="0"/>
    <s v="Guatemala"/>
    <s v="Central America"/>
    <n v="25"/>
    <n v="30"/>
    <n v="5"/>
  </r>
  <r>
    <s v="Sale"/>
    <x v="1624"/>
    <x v="7"/>
    <n v="80208"/>
    <s v="Target"/>
    <x v="1"/>
    <n v="1"/>
    <x v="1"/>
    <x v="3"/>
    <s v="Female"/>
    <x v="0"/>
    <s v="Guatemala"/>
    <s v="Central America"/>
    <n v="25"/>
    <n v="30"/>
    <n v="5"/>
  </r>
  <r>
    <s v="Sale"/>
    <x v="1625"/>
    <x v="7"/>
    <n v="80208"/>
    <s v="Target"/>
    <x v="1"/>
    <n v="1"/>
    <x v="1"/>
    <x v="3"/>
    <s v="Female"/>
    <x v="0"/>
    <s v="Guatemala"/>
    <s v="Central America"/>
    <n v="25"/>
    <n v="30"/>
    <n v="5"/>
  </r>
  <r>
    <s v="Sale"/>
    <x v="1626"/>
    <x v="7"/>
    <n v="80208"/>
    <s v="Target"/>
    <x v="1"/>
    <n v="1"/>
    <x v="1"/>
    <x v="3"/>
    <s v="Female"/>
    <x v="0"/>
    <s v="Guatemala"/>
    <s v="Central America"/>
    <n v="25"/>
    <n v="30"/>
    <n v="5"/>
  </r>
  <r>
    <s v="Sale"/>
    <x v="1627"/>
    <x v="7"/>
    <n v="80208"/>
    <s v="Target"/>
    <x v="1"/>
    <n v="1"/>
    <x v="1"/>
    <x v="3"/>
    <s v="Female"/>
    <x v="0"/>
    <s v="Guatemala"/>
    <s v="Central America"/>
    <n v="25"/>
    <n v="30"/>
    <n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28">
  <r>
    <s v="Sale"/>
    <x v="0"/>
    <s v="Light Linen Shirt"/>
    <n v="90001"/>
    <s v="Thomas Wells"/>
    <s v="Online Individual"/>
    <n v="1"/>
    <s v="FEB"/>
    <x v="0"/>
    <s v="Male"/>
    <x v="0"/>
    <s v="Ethiopia"/>
    <s v="Africa"/>
    <n v="10"/>
    <n v="20"/>
    <n v="10"/>
    <x v="0"/>
    <x v="0"/>
    <x v="0"/>
    <x v="0"/>
  </r>
  <r>
    <s v="Sale"/>
    <x v="1"/>
    <s v="Light Linen Shirt"/>
    <n v="10001"/>
    <s v="Alexander Davis"/>
    <s v="Online Individual"/>
    <n v="1"/>
    <s v="MAR"/>
    <x v="1"/>
    <s v="Male"/>
    <x v="0"/>
    <s v="Ethiopia"/>
    <s v="Africa"/>
    <n v="10"/>
    <n v="20"/>
    <n v="10"/>
    <x v="1"/>
    <x v="0"/>
    <x v="1"/>
    <x v="0"/>
  </r>
  <r>
    <s v="Sale"/>
    <x v="2"/>
    <s v="Professional Collar Shirt"/>
    <n v="10001"/>
    <s v="Elian Grant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3"/>
    <s v="Navy Blue Dapper Suit"/>
    <n v="10001"/>
    <s v="Nicholas Harris"/>
    <s v="Online Individual"/>
    <n v="1"/>
    <s v="MAR"/>
    <x v="1"/>
    <s v="Male"/>
    <x v="1"/>
    <s v="Afghanistan"/>
    <s v="Middle East"/>
    <n v="450"/>
    <n v="550"/>
    <n v="100"/>
    <x v="1"/>
    <x v="0"/>
    <x v="1"/>
    <x v="0"/>
  </r>
  <r>
    <s v="Sale"/>
    <x v="4"/>
    <s v="Professional Collar Shirt"/>
    <n v="10001"/>
    <s v="Michael Roberts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5"/>
    <s v="Navy Blue Dapper Suit"/>
    <n v="10001"/>
    <s v="James Smith"/>
    <s v="Online Individual"/>
    <n v="1"/>
    <s v="MAR"/>
    <x v="1"/>
    <s v="Male"/>
    <x v="1"/>
    <s v="Afghanistan"/>
    <s v="Middle East"/>
    <n v="450"/>
    <n v="550"/>
    <n v="100"/>
    <x v="1"/>
    <x v="0"/>
    <x v="1"/>
    <x v="0"/>
  </r>
  <r>
    <s v="Sale"/>
    <x v="6"/>
    <s v="Professional Collar Shirt"/>
    <n v="10001"/>
    <s v="Ted Ellis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7"/>
    <s v="Professional Collar Shirt"/>
    <n v="10001"/>
    <s v="Daniel Bennett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8"/>
    <s v="Navy Blue Dapper Suit"/>
    <n v="10001"/>
    <s v="Frederick Moore"/>
    <s v="Online Individual"/>
    <n v="1"/>
    <s v="MAR"/>
    <x v="1"/>
    <s v="Male"/>
    <x v="1"/>
    <s v="Afghanistan"/>
    <s v="Middle East"/>
    <n v="450"/>
    <n v="550"/>
    <n v="100"/>
    <x v="1"/>
    <x v="0"/>
    <x v="1"/>
    <x v="0"/>
  </r>
  <r>
    <s v="Sale"/>
    <x v="9"/>
    <s v="Navy Blue Dapper Suit"/>
    <n v="10001"/>
    <s v="Macys"/>
    <s v="Retail Buyer"/>
    <n v="1"/>
    <s v="MAR"/>
    <x v="1"/>
    <s v="Male"/>
    <x v="1"/>
    <s v="Afghanistan"/>
    <s v="Middle East"/>
    <n v="450"/>
    <n v="550"/>
    <n v="100"/>
    <x v="1"/>
    <x v="0"/>
    <x v="1"/>
    <x v="0"/>
  </r>
  <r>
    <s v="Sale"/>
    <x v="10"/>
    <s v="Navy Blue Dapper Suit"/>
    <n v="10001"/>
    <s v="SAKS Fifth Avenue"/>
    <s v="Retail Buyer"/>
    <n v="1"/>
    <s v="JAN"/>
    <x v="1"/>
    <s v="Male"/>
    <x v="1"/>
    <s v="Afghanistan"/>
    <s v="Middle East"/>
    <n v="450"/>
    <n v="550"/>
    <n v="100"/>
    <x v="1"/>
    <x v="0"/>
    <x v="1"/>
    <x v="0"/>
  </r>
  <r>
    <s v="Sale"/>
    <x v="11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2"/>
    <s v="Professional Collar Shirt"/>
    <n v="10001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3"/>
    <s v="Susy Winter Coat"/>
    <n v="10001"/>
    <s v="Macys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14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5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6"/>
    <s v="Susy Winter Coat"/>
    <n v="10001"/>
    <s v="Macys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17"/>
    <s v="Susy Winter Coat"/>
    <n v="10001"/>
    <s v="Macys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18"/>
    <s v="Susy Winter Coat"/>
    <n v="10001"/>
    <s v="Macys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19"/>
    <s v="Susy Winter Coat"/>
    <n v="10001"/>
    <s v="Macys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20"/>
    <s v="Professional Collar Shirt"/>
    <n v="10001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21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22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23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24"/>
    <s v="Navy Blue Dapper Suit"/>
    <n v="10013"/>
    <s v="SAKS Fifth Avenue"/>
    <s v="Retail Buyer"/>
    <n v="1"/>
    <s v="JAN"/>
    <x v="1"/>
    <s v="Male"/>
    <x v="1"/>
    <s v="Afghanistan"/>
    <s v="Middle East"/>
    <n v="450"/>
    <n v="550"/>
    <n v="100"/>
    <x v="1"/>
    <x v="0"/>
    <x v="1"/>
    <x v="0"/>
  </r>
  <r>
    <s v="Sale"/>
    <x v="25"/>
    <s v="Professional Collar Shirt"/>
    <n v="10013"/>
    <s v="Macys"/>
    <s v="Retail Buyer"/>
    <n v="1"/>
    <s v="JAN"/>
    <x v="1"/>
    <s v="Male"/>
    <x v="0"/>
    <s v="Kenya"/>
    <s v="Africa"/>
    <n v="15"/>
    <n v="30"/>
    <n v="15"/>
    <x v="1"/>
    <x v="0"/>
    <x v="1"/>
    <x v="0"/>
  </r>
  <r>
    <s v="Sale"/>
    <x v="26"/>
    <s v="Professional Collar Shirt"/>
    <n v="10013"/>
    <s v="Macys"/>
    <s v="Retail Buyer"/>
    <n v="1"/>
    <s v="FEB"/>
    <x v="1"/>
    <s v="Male"/>
    <x v="0"/>
    <s v="Kenya"/>
    <s v="Africa"/>
    <n v="15"/>
    <n v="30"/>
    <n v="15"/>
    <x v="1"/>
    <x v="0"/>
    <x v="1"/>
    <x v="0"/>
  </r>
  <r>
    <s v="Sale"/>
    <x v="27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28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29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30"/>
    <s v="Wool Blue Jacket"/>
    <n v="10022"/>
    <s v="Macys"/>
    <s v="Retail Buyer"/>
    <n v="1"/>
    <s v="FEB"/>
    <x v="1"/>
    <s v="Male"/>
    <x v="2"/>
    <s v="Moldova"/>
    <s v="Eastern Europe"/>
    <n v="475"/>
    <n v="600"/>
    <n v="125"/>
    <x v="1"/>
    <x v="1"/>
    <x v="1"/>
    <x v="0"/>
  </r>
  <r>
    <s v="Sale"/>
    <x v="31"/>
    <s v="Light Linen Shirt"/>
    <n v="10022"/>
    <s v="Macys"/>
    <s v="Retail Buyer"/>
    <n v="1"/>
    <s v="MAR"/>
    <x v="1"/>
    <s v="Male"/>
    <x v="0"/>
    <s v="Ethiopia"/>
    <s v="Africa"/>
    <n v="10"/>
    <n v="20"/>
    <n v="10"/>
    <x v="1"/>
    <x v="0"/>
    <x v="1"/>
    <x v="0"/>
  </r>
  <r>
    <s v="Sale"/>
    <x v="32"/>
    <s v="Professional Collar Shirt"/>
    <n v="10022"/>
    <s v="Macys"/>
    <s v="Retail Buyer"/>
    <n v="1"/>
    <s v="FEB"/>
    <x v="1"/>
    <s v="Male"/>
    <x v="0"/>
    <s v="Kenya"/>
    <s v="Africa"/>
    <n v="15"/>
    <n v="30"/>
    <n v="15"/>
    <x v="1"/>
    <x v="0"/>
    <x v="1"/>
    <x v="0"/>
  </r>
  <r>
    <s v="Sale"/>
    <x v="33"/>
    <s v="Wool Blue Jacket"/>
    <n v="10022"/>
    <s v="Macys"/>
    <s v="Retail Buyer"/>
    <n v="1"/>
    <s v="FEB"/>
    <x v="1"/>
    <s v="Male"/>
    <x v="2"/>
    <s v="Moldova"/>
    <s v="Eastern Europe"/>
    <n v="475"/>
    <n v="600"/>
    <n v="125"/>
    <x v="1"/>
    <x v="1"/>
    <x v="1"/>
    <x v="0"/>
  </r>
  <r>
    <s v="Sale"/>
    <x v="34"/>
    <s v="Professional Collar Shirt"/>
    <n v="10022"/>
    <s v="Arthur Owens"/>
    <s v="Online Individual"/>
    <n v="1"/>
    <s v="FEB"/>
    <x v="1"/>
    <s v="Male"/>
    <x v="0"/>
    <s v="Kenya"/>
    <s v="Africa"/>
    <n v="15"/>
    <n v="30"/>
    <n v="15"/>
    <x v="1"/>
    <x v="0"/>
    <x v="1"/>
    <x v="0"/>
  </r>
  <r>
    <s v="Sale"/>
    <x v="35"/>
    <s v="Wool Blue Jacket"/>
    <n v="10022"/>
    <s v="Roland Murray"/>
    <s v="Online Individual"/>
    <n v="1"/>
    <s v="FEB"/>
    <x v="1"/>
    <s v="Male"/>
    <x v="2"/>
    <s v="Moldova"/>
    <s v="Eastern Europe"/>
    <n v="475"/>
    <n v="600"/>
    <n v="125"/>
    <x v="1"/>
    <x v="1"/>
    <x v="1"/>
    <x v="0"/>
  </r>
  <r>
    <s v="Sale"/>
    <x v="36"/>
    <s v="Navy Blue Dapper Suit"/>
    <n v="10022"/>
    <s v="Reid Spencer"/>
    <s v="Online Individual"/>
    <n v="1"/>
    <s v="FEB"/>
    <x v="1"/>
    <s v="Male"/>
    <x v="1"/>
    <s v="Afghanistan"/>
    <s v="Middle East"/>
    <n v="450"/>
    <n v="550"/>
    <n v="100"/>
    <x v="1"/>
    <x v="0"/>
    <x v="1"/>
    <x v="0"/>
  </r>
  <r>
    <s v="Sale"/>
    <x v="37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38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39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40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41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42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43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44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45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46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47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48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49"/>
    <s v="Navy Blue Dapper Suit"/>
    <n v="10022"/>
    <s v="SAKS Fifth Avenue"/>
    <s v="Retail Buyer"/>
    <n v="1"/>
    <s v="JAN"/>
    <x v="1"/>
    <s v="Male"/>
    <x v="1"/>
    <s v="Afghanistan"/>
    <s v="Middle East"/>
    <n v="450"/>
    <n v="550"/>
    <n v="100"/>
    <x v="1"/>
    <x v="0"/>
    <x v="1"/>
    <x v="0"/>
  </r>
  <r>
    <s v="Sale"/>
    <x v="50"/>
    <s v="Wool Blue Jacket"/>
    <n v="10022"/>
    <s v="Rafael Ross"/>
    <s v="Online Individual"/>
    <n v="1"/>
    <s v="FEB"/>
    <x v="1"/>
    <s v="Male"/>
    <x v="2"/>
    <s v="Moldova"/>
    <s v="Eastern Europe"/>
    <n v="475"/>
    <n v="600"/>
    <n v="125"/>
    <x v="1"/>
    <x v="1"/>
    <x v="1"/>
    <x v="0"/>
  </r>
  <r>
    <s v="Sale"/>
    <x v="51"/>
    <s v="Wool Blue Jacket"/>
    <n v="10022"/>
    <s v="Aldus Moore"/>
    <s v="Online Individual"/>
    <n v="1"/>
    <s v="FEB"/>
    <x v="1"/>
    <s v="Male"/>
    <x v="2"/>
    <s v="Moldova"/>
    <s v="Eastern Europe"/>
    <n v="475"/>
    <n v="600"/>
    <n v="125"/>
    <x v="1"/>
    <x v="1"/>
    <x v="1"/>
    <x v="0"/>
  </r>
  <r>
    <s v="Sale"/>
    <x v="52"/>
    <s v="Professional Collar Shirt"/>
    <n v="10022"/>
    <s v="Ashton Crawford"/>
    <s v="Online Individual"/>
    <n v="1"/>
    <s v="FEB"/>
    <x v="1"/>
    <s v="Male"/>
    <x v="0"/>
    <s v="Kenya"/>
    <s v="Africa"/>
    <n v="15"/>
    <n v="30"/>
    <n v="15"/>
    <x v="1"/>
    <x v="0"/>
    <x v="1"/>
    <x v="0"/>
  </r>
  <r>
    <s v="Sale"/>
    <x v="53"/>
    <s v="Professional Collar Shirt"/>
    <n v="90005"/>
    <s v="Patrick Ryan"/>
    <s v="Online Individual"/>
    <n v="1"/>
    <s v="MAR"/>
    <x v="0"/>
    <s v="Male"/>
    <x v="0"/>
    <s v="Kenya"/>
    <s v="Africa"/>
    <n v="15"/>
    <n v="30"/>
    <n v="15"/>
    <x v="0"/>
    <x v="0"/>
    <x v="0"/>
    <x v="0"/>
  </r>
  <r>
    <s v="Sale"/>
    <x v="54"/>
    <s v="Professional Collar Shirt"/>
    <n v="33101"/>
    <s v="Derek Morgan"/>
    <s v="Online Individual"/>
    <n v="1"/>
    <s v="MAR"/>
    <x v="2"/>
    <s v="Male"/>
    <x v="0"/>
    <s v="Kenya"/>
    <s v="Africa"/>
    <n v="15"/>
    <n v="30"/>
    <n v="15"/>
    <x v="1"/>
    <x v="0"/>
    <x v="1"/>
    <x v="0"/>
  </r>
  <r>
    <s v="Sale"/>
    <x v="55"/>
    <s v="Professional Collar Shirt"/>
    <n v="33101"/>
    <s v="Kohls"/>
    <s v="Retail Buyer"/>
    <n v="1"/>
    <s v="JAN"/>
    <x v="2"/>
    <s v="Male"/>
    <x v="0"/>
    <s v="Kenya"/>
    <s v="Africa"/>
    <n v="15"/>
    <n v="30"/>
    <n v="15"/>
    <x v="1"/>
    <x v="0"/>
    <x v="1"/>
    <x v="0"/>
  </r>
  <r>
    <s v="Sale"/>
    <x v="56"/>
    <s v="Navy Blue Dapper Suit"/>
    <n v="33125"/>
    <s v="Neiman Marcus"/>
    <s v="Retail Buyer"/>
    <n v="1"/>
    <s v="MAR"/>
    <x v="2"/>
    <s v="Male"/>
    <x v="1"/>
    <s v="Afghanistan"/>
    <s v="Middle East"/>
    <n v="450"/>
    <n v="550"/>
    <n v="100"/>
    <x v="1"/>
    <x v="0"/>
    <x v="1"/>
    <x v="0"/>
  </r>
  <r>
    <s v="Sale"/>
    <x v="57"/>
    <s v="Navy Blue Dapper Suit"/>
    <n v="33125"/>
    <s v="Neiman Marcus"/>
    <s v="Retail Buyer"/>
    <n v="1"/>
    <s v="MAR"/>
    <x v="2"/>
    <s v="Male"/>
    <x v="1"/>
    <s v="Afghanistan"/>
    <s v="Middle East"/>
    <n v="450"/>
    <n v="550"/>
    <n v="100"/>
    <x v="1"/>
    <x v="0"/>
    <x v="1"/>
    <x v="0"/>
  </r>
  <r>
    <s v="Sale"/>
    <x v="58"/>
    <s v="Navy Blue Dapper Suit"/>
    <n v="33125"/>
    <s v="Neiman Marcus"/>
    <s v="Retail Buyer"/>
    <n v="1"/>
    <s v="MAR"/>
    <x v="2"/>
    <s v="Male"/>
    <x v="1"/>
    <s v="Afghanistan"/>
    <s v="Middle East"/>
    <n v="450"/>
    <n v="550"/>
    <n v="100"/>
    <x v="1"/>
    <x v="0"/>
    <x v="1"/>
    <x v="0"/>
  </r>
  <r>
    <s v="Sale"/>
    <x v="59"/>
    <s v="Navy Blue Dapper Suit"/>
    <n v="33125"/>
    <s v="Neiman Marcus"/>
    <s v="Retail Buyer"/>
    <n v="1"/>
    <s v="MAR"/>
    <x v="2"/>
    <s v="Male"/>
    <x v="1"/>
    <s v="Afghanistan"/>
    <s v="Middle East"/>
    <n v="450"/>
    <n v="550"/>
    <n v="100"/>
    <x v="1"/>
    <x v="0"/>
    <x v="1"/>
    <x v="0"/>
  </r>
  <r>
    <s v="Sale"/>
    <x v="60"/>
    <s v="Light Linen Shirt"/>
    <n v="33125"/>
    <s v="Kohls"/>
    <s v="Retail Buyer"/>
    <n v="1"/>
    <s v="MAR"/>
    <x v="2"/>
    <s v="Male"/>
    <x v="0"/>
    <s v="Ethiopia"/>
    <s v="Africa"/>
    <n v="10"/>
    <n v="20"/>
    <n v="10"/>
    <x v="1"/>
    <x v="0"/>
    <x v="1"/>
    <x v="0"/>
  </r>
  <r>
    <s v="Sale"/>
    <x v="61"/>
    <s v="Light Linen Shirt"/>
    <n v="33125"/>
    <s v="Alexander Casey"/>
    <s v="Online Individual"/>
    <n v="1"/>
    <s v="MAR"/>
    <x v="2"/>
    <s v="Male"/>
    <x v="0"/>
    <s v="Ethiopia"/>
    <s v="Africa"/>
    <n v="10"/>
    <n v="20"/>
    <n v="10"/>
    <x v="1"/>
    <x v="0"/>
    <x v="1"/>
    <x v="0"/>
  </r>
  <r>
    <s v="Sale"/>
    <x v="62"/>
    <s v="Navy Blue Dapper Suit"/>
    <n v="33125"/>
    <s v="Neiman Marcus"/>
    <s v="Retail Buyer"/>
    <n v="1"/>
    <s v="MAR"/>
    <x v="2"/>
    <s v="Male"/>
    <x v="1"/>
    <s v="Afghanistan"/>
    <s v="Middle East"/>
    <n v="450"/>
    <n v="550"/>
    <n v="100"/>
    <x v="1"/>
    <x v="0"/>
    <x v="1"/>
    <x v="0"/>
  </r>
  <r>
    <s v="Sale"/>
    <x v="63"/>
    <s v="Navy Blue Dapper Suit"/>
    <n v="33125"/>
    <s v="Neiman Marcus"/>
    <s v="Retail Buyer"/>
    <n v="1"/>
    <s v="MAR"/>
    <x v="2"/>
    <s v="Male"/>
    <x v="1"/>
    <s v="Afghanistan"/>
    <s v="Middle East"/>
    <n v="450"/>
    <n v="550"/>
    <n v="100"/>
    <x v="1"/>
    <x v="0"/>
    <x v="1"/>
    <x v="0"/>
  </r>
  <r>
    <s v="Sale"/>
    <x v="64"/>
    <s v="Navy Blue Dapper Suit"/>
    <n v="33125"/>
    <s v="Neiman Marcus"/>
    <s v="Retail Buyer"/>
    <n v="1"/>
    <s v="MAR"/>
    <x v="2"/>
    <s v="Male"/>
    <x v="1"/>
    <s v="Afghanistan"/>
    <s v="Middle East"/>
    <n v="450"/>
    <n v="550"/>
    <n v="100"/>
    <x v="1"/>
    <x v="0"/>
    <x v="1"/>
    <x v="0"/>
  </r>
  <r>
    <s v="Sale"/>
    <x v="65"/>
    <s v="Navy Blue Dapper Suit"/>
    <n v="33125"/>
    <s v="Neiman Marcus"/>
    <s v="Retail Buyer"/>
    <n v="1"/>
    <s v="MAR"/>
    <x v="2"/>
    <s v="Male"/>
    <x v="1"/>
    <s v="Afghanistan"/>
    <s v="Middle East"/>
    <n v="450"/>
    <n v="550"/>
    <n v="100"/>
    <x v="1"/>
    <x v="0"/>
    <x v="1"/>
    <x v="0"/>
  </r>
  <r>
    <s v="Sale"/>
    <x v="66"/>
    <s v="Navy Blue Dapper Suit"/>
    <n v="33125"/>
    <s v="Neiman Marcus"/>
    <s v="Retail Buyer"/>
    <n v="1"/>
    <s v="MAR"/>
    <x v="2"/>
    <s v="Male"/>
    <x v="1"/>
    <s v="Afghanistan"/>
    <s v="Middle East"/>
    <n v="450"/>
    <n v="550"/>
    <n v="100"/>
    <x v="1"/>
    <x v="0"/>
    <x v="1"/>
    <x v="0"/>
  </r>
  <r>
    <s v="Sale"/>
    <x v="67"/>
    <s v="Navy Blue Dapper Suit"/>
    <n v="33125"/>
    <s v="Neiman Marcus"/>
    <s v="Retail Buyer"/>
    <n v="1"/>
    <s v="MAR"/>
    <x v="2"/>
    <s v="Male"/>
    <x v="1"/>
    <s v="Afghanistan"/>
    <s v="Middle East"/>
    <n v="450"/>
    <n v="550"/>
    <n v="100"/>
    <x v="1"/>
    <x v="0"/>
    <x v="1"/>
    <x v="0"/>
  </r>
  <r>
    <s v="Sale"/>
    <x v="68"/>
    <s v="Navy Blue Dapper Suit"/>
    <n v="33125"/>
    <s v="Neiman Marcus"/>
    <s v="Retail Buyer"/>
    <n v="1"/>
    <s v="JAN"/>
    <x v="2"/>
    <s v="Male"/>
    <x v="1"/>
    <s v="Afghanistan"/>
    <s v="Middle East"/>
    <n v="450"/>
    <n v="550"/>
    <n v="100"/>
    <x v="1"/>
    <x v="0"/>
    <x v="1"/>
    <x v="0"/>
  </r>
  <r>
    <s v="Sale"/>
    <x v="69"/>
    <s v="Navy Blue Dapper Suit"/>
    <n v="33125"/>
    <s v="Neiman Marcus"/>
    <s v="Retail Buyer"/>
    <n v="1"/>
    <s v="JAN"/>
    <x v="2"/>
    <s v="Male"/>
    <x v="1"/>
    <s v="Afghanistan"/>
    <s v="Middle East"/>
    <n v="450"/>
    <n v="550"/>
    <n v="100"/>
    <x v="1"/>
    <x v="0"/>
    <x v="1"/>
    <x v="0"/>
  </r>
  <r>
    <s v="Sale"/>
    <x v="70"/>
    <s v="Navy Blue Dapper Suit"/>
    <n v="33125"/>
    <s v="Neiman Marcus"/>
    <s v="Retail Buyer"/>
    <n v="1"/>
    <s v="JAN"/>
    <x v="2"/>
    <s v="Male"/>
    <x v="1"/>
    <s v="Afghanistan"/>
    <s v="Middle East"/>
    <n v="450"/>
    <n v="550"/>
    <n v="100"/>
    <x v="1"/>
    <x v="0"/>
    <x v="1"/>
    <x v="0"/>
  </r>
  <r>
    <s v="Sale"/>
    <x v="71"/>
    <s v="Light Linen Shirt"/>
    <n v="33125"/>
    <s v="Kohls"/>
    <s v="Retail Buyer"/>
    <n v="1"/>
    <s v="JAN"/>
    <x v="2"/>
    <s v="Male"/>
    <x v="0"/>
    <s v="Ethiopia"/>
    <s v="Africa"/>
    <n v="10"/>
    <n v="20"/>
    <n v="10"/>
    <x v="1"/>
    <x v="0"/>
    <x v="1"/>
    <x v="0"/>
  </r>
  <r>
    <s v="Sale"/>
    <x v="72"/>
    <s v="Light Linen Shirt"/>
    <n v="33125"/>
    <s v="Arthur Watson"/>
    <s v="Online Individual"/>
    <n v="1"/>
    <s v="JAN"/>
    <x v="2"/>
    <s v="Male"/>
    <x v="0"/>
    <s v="Ethiopia"/>
    <s v="Africa"/>
    <n v="10"/>
    <n v="20"/>
    <n v="10"/>
    <x v="1"/>
    <x v="0"/>
    <x v="1"/>
    <x v="0"/>
  </r>
  <r>
    <s v="Sale"/>
    <x v="73"/>
    <s v="Navy Blue Dapper Suit"/>
    <n v="33159"/>
    <s v="Neiman Marcus"/>
    <s v="Retail Buyer"/>
    <n v="1"/>
    <s v="JAN"/>
    <x v="2"/>
    <s v="Male"/>
    <x v="1"/>
    <s v="Afghanistan"/>
    <s v="Middle East"/>
    <n v="450"/>
    <n v="550"/>
    <n v="100"/>
    <x v="1"/>
    <x v="0"/>
    <x v="1"/>
    <x v="0"/>
  </r>
  <r>
    <s v="Sale"/>
    <x v="74"/>
    <s v="Navy Blue Dapper Suit"/>
    <n v="33159"/>
    <s v="Alexander Hill"/>
    <s v="Online Individual"/>
    <n v="1"/>
    <s v="JAN"/>
    <x v="2"/>
    <s v="Male"/>
    <x v="1"/>
    <s v="Afghanistan"/>
    <s v="Middle East"/>
    <n v="450"/>
    <n v="550"/>
    <n v="100"/>
    <x v="1"/>
    <x v="0"/>
    <x v="1"/>
    <x v="0"/>
  </r>
  <r>
    <s v="Sale"/>
    <x v="75"/>
    <s v="Navy Blue Dapper Suit"/>
    <n v="33159"/>
    <s v="Jack Bailey"/>
    <s v="Online Individual"/>
    <n v="1"/>
    <s v="JAN"/>
    <x v="2"/>
    <s v="Male"/>
    <x v="1"/>
    <s v="Afghanistan"/>
    <s v="Middle East"/>
    <n v="450"/>
    <n v="550"/>
    <n v="100"/>
    <x v="1"/>
    <x v="0"/>
    <x v="1"/>
    <x v="0"/>
  </r>
  <r>
    <s v="Sale"/>
    <x v="76"/>
    <s v="Navy Blue Dapper Suit"/>
    <n v="33159"/>
    <s v="Arny Turn"/>
    <s v="Online Individual"/>
    <n v="1"/>
    <s v="JAN"/>
    <x v="2"/>
    <s v="Male"/>
    <x v="1"/>
    <s v="Afghanistan"/>
    <s v="Middle East"/>
    <n v="450"/>
    <n v="550"/>
    <n v="100"/>
    <x v="1"/>
    <x v="0"/>
    <x v="1"/>
    <x v="0"/>
  </r>
  <r>
    <s v="Sale"/>
    <x v="77"/>
    <s v="Light Linen Shirt"/>
    <n v="33159"/>
    <s v="Haris Douglas"/>
    <s v="Online Individual"/>
    <n v="1"/>
    <s v="JAN"/>
    <x v="2"/>
    <s v="Male"/>
    <x v="0"/>
    <s v="Ethiopia"/>
    <s v="Africa"/>
    <n v="10"/>
    <n v="20"/>
    <n v="10"/>
    <x v="1"/>
    <x v="0"/>
    <x v="1"/>
    <x v="0"/>
  </r>
  <r>
    <s v="Sale"/>
    <x v="78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79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80"/>
    <s v="Navy Blue Dapper Suit"/>
    <n v="10001"/>
    <s v="Albert Roberts"/>
    <s v="Online Individual"/>
    <n v="1"/>
    <s v="FEB"/>
    <x v="1"/>
    <s v="Male"/>
    <x v="1"/>
    <s v="Afghanistan"/>
    <s v="Middle East"/>
    <n v="450"/>
    <n v="550"/>
    <n v="100"/>
    <x v="1"/>
    <x v="0"/>
    <x v="1"/>
    <x v="0"/>
  </r>
  <r>
    <s v="Sale"/>
    <x v="81"/>
    <s v="Professional Collar Shirt"/>
    <n v="10001"/>
    <s v="Victor Gibson"/>
    <s v="Online Individual"/>
    <n v="1"/>
    <s v="FEB"/>
    <x v="1"/>
    <s v="Male"/>
    <x v="0"/>
    <s v="Kenya"/>
    <s v="Africa"/>
    <n v="15"/>
    <n v="30"/>
    <n v="15"/>
    <x v="1"/>
    <x v="0"/>
    <x v="1"/>
    <x v="0"/>
  </r>
  <r>
    <s v="Sale"/>
    <x v="82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83"/>
    <s v="Wool Blue Jacket"/>
    <n v="10001"/>
    <s v="Rafael Richardson"/>
    <s v="Online Individual"/>
    <n v="1"/>
    <s v="FEB"/>
    <x v="1"/>
    <s v="Male"/>
    <x v="2"/>
    <s v="Moldova"/>
    <s v="Eastern Europe"/>
    <n v="475"/>
    <n v="600"/>
    <n v="125"/>
    <x v="1"/>
    <x v="1"/>
    <x v="1"/>
    <x v="0"/>
  </r>
  <r>
    <s v="Sale"/>
    <x v="84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85"/>
    <s v="Professional Collar Shirt"/>
    <n v="10001"/>
    <s v="Adison Kelley"/>
    <s v="Online Individual"/>
    <n v="1"/>
    <s v="FEB"/>
    <x v="1"/>
    <s v="Male"/>
    <x v="0"/>
    <s v="Kenya"/>
    <s v="Africa"/>
    <n v="15"/>
    <n v="30"/>
    <n v="15"/>
    <x v="1"/>
    <x v="0"/>
    <x v="1"/>
    <x v="0"/>
  </r>
  <r>
    <s v="Sale"/>
    <x v="86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87"/>
    <s v="Professional Collar Shirt"/>
    <n v="10001"/>
    <s v="James Casey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88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89"/>
    <s v="Professional Collar Shirt"/>
    <n v="10001"/>
    <s v="Eric Payne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90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91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92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93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94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95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96"/>
    <s v="Professional Collar Shirt"/>
    <n v="10001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97"/>
    <s v="Professional Collar Shirt"/>
    <n v="10001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98"/>
    <s v="Navy Blue Dapper Suit"/>
    <n v="10001"/>
    <s v="Macys"/>
    <s v="Retail Buyer"/>
    <n v="1"/>
    <s v="MAR"/>
    <x v="1"/>
    <s v="Male"/>
    <x v="1"/>
    <s v="Afghanistan"/>
    <s v="Middle East"/>
    <n v="450"/>
    <n v="550"/>
    <n v="100"/>
    <x v="1"/>
    <x v="0"/>
    <x v="1"/>
    <x v="0"/>
  </r>
  <r>
    <s v="Sale"/>
    <x v="99"/>
    <s v="Professional Collar Shirt"/>
    <n v="10001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00"/>
    <s v="Professional Collar Shirt"/>
    <n v="10001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01"/>
    <s v="Navy Blue Dapper Suit"/>
    <n v="10001"/>
    <s v="Macys"/>
    <s v="Retail Buyer"/>
    <n v="1"/>
    <s v="MAR"/>
    <x v="1"/>
    <s v="Male"/>
    <x v="1"/>
    <s v="Afghanistan"/>
    <s v="Middle East"/>
    <n v="450"/>
    <n v="550"/>
    <n v="100"/>
    <x v="1"/>
    <x v="0"/>
    <x v="1"/>
    <x v="0"/>
  </r>
  <r>
    <s v="Sale"/>
    <x v="102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03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04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05"/>
    <s v="Wool Blue Jacket"/>
    <n v="10001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06"/>
    <s v="Professional Collar Shirt"/>
    <n v="10001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07"/>
    <s v="Navy Blue Dapper Suit"/>
    <n v="10022"/>
    <s v="Macys"/>
    <s v="Retail Buyer"/>
    <n v="1"/>
    <s v="MAR"/>
    <x v="1"/>
    <s v="Male"/>
    <x v="1"/>
    <s v="Afghanistan"/>
    <s v="Middle East"/>
    <n v="450"/>
    <n v="550"/>
    <n v="100"/>
    <x v="1"/>
    <x v="0"/>
    <x v="1"/>
    <x v="0"/>
  </r>
  <r>
    <s v="Sale"/>
    <x v="108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09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10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11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12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13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14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15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16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17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18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19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20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21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22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23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24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25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26"/>
    <s v="Professional Collar Shirt"/>
    <n v="10022"/>
    <s v="Patrick Stevens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27"/>
    <s v="Professional Collar Shirt"/>
    <n v="10022"/>
    <s v="Ryan Stevens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28"/>
    <s v="Professional Collar Shirt"/>
    <n v="10022"/>
    <s v="Tony Ferguson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29"/>
    <s v="Professional Collar Shirt"/>
    <n v="10022"/>
    <s v="Bruce Henderson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30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31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32"/>
    <s v="Wool Blue Jacket"/>
    <n v="10022"/>
    <s v="Barneys New York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133"/>
    <s v="Light Linen Shirt"/>
    <n v="90005"/>
    <s v="Arthur Johnston"/>
    <s v="Online Individual"/>
    <n v="1"/>
    <s v="FEB"/>
    <x v="0"/>
    <s v="Male"/>
    <x v="0"/>
    <s v="Ethiopia"/>
    <s v="Africa"/>
    <n v="10"/>
    <n v="20"/>
    <n v="10"/>
    <x v="0"/>
    <x v="0"/>
    <x v="0"/>
    <x v="0"/>
  </r>
  <r>
    <s v="Sale"/>
    <x v="134"/>
    <s v="Professional Collar Shirt"/>
    <n v="10022"/>
    <s v="Andrew Henderson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35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36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37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38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39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40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41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42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43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44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45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46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47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48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49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50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51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52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53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54"/>
    <s v="Professional Collar Shirt"/>
    <n v="10022"/>
    <s v="Oscar Howard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55"/>
    <s v="Professional Collar Shirt"/>
    <n v="10022"/>
    <s v="James Watson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56"/>
    <s v="Professional Collar Shirt"/>
    <n v="10022"/>
    <s v="Sam Warren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57"/>
    <s v="Professional Collar Shirt"/>
    <n v="10022"/>
    <s v="Dainton Smith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58"/>
    <s v="Professional Collar Shirt"/>
    <n v="10022"/>
    <s v="Alfred Cole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59"/>
    <s v="Professional Collar Shirt"/>
    <n v="10022"/>
    <s v="Ryan Campbell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60"/>
    <s v="Professional Collar Shirt"/>
    <n v="10022"/>
    <s v="Luke Ryan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61"/>
    <s v="Professional Collar Shirt"/>
    <n v="10022"/>
    <s v="Oliver Hall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62"/>
    <s v="Professional Collar Shirt"/>
    <n v="10022"/>
    <s v="William Richards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63"/>
    <s v="Professional Collar Shirt"/>
    <n v="10022"/>
    <s v="James Harper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64"/>
    <s v="Professional Collar Shirt"/>
    <n v="10022"/>
    <s v="Patrick Mason"/>
    <s v="Online Individual"/>
    <n v="1"/>
    <s v="MAR"/>
    <x v="1"/>
    <s v="Male"/>
    <x v="0"/>
    <s v="Kenya"/>
    <s v="Africa"/>
    <n v="15"/>
    <n v="30"/>
    <n v="15"/>
    <x v="1"/>
    <x v="0"/>
    <x v="1"/>
    <x v="0"/>
  </r>
  <r>
    <s v="Sale"/>
    <x v="165"/>
    <s v="Professional Collar Shirt"/>
    <n v="10022"/>
    <s v="Macys"/>
    <s v="Retail Buyer"/>
    <n v="1"/>
    <s v="MAR"/>
    <x v="1"/>
    <s v="Male"/>
    <x v="0"/>
    <s v="Kenya"/>
    <s v="Africa"/>
    <n v="15"/>
    <n v="30"/>
    <n v="15"/>
    <x v="1"/>
    <x v="0"/>
    <x v="1"/>
    <x v="0"/>
  </r>
  <r>
    <s v="Sale"/>
    <x v="166"/>
    <s v="Professional Collar Shirt"/>
    <n v="33101"/>
    <s v="Kohls"/>
    <s v="Retail Buyer"/>
    <n v="1"/>
    <s v="FEB"/>
    <x v="2"/>
    <s v="Male"/>
    <x v="0"/>
    <s v="Kenya"/>
    <s v="Africa"/>
    <n v="15"/>
    <n v="30"/>
    <n v="15"/>
    <x v="1"/>
    <x v="0"/>
    <x v="1"/>
    <x v="0"/>
  </r>
  <r>
    <s v="Sale"/>
    <x v="167"/>
    <s v="Light Linen Shirt"/>
    <n v="80123"/>
    <s v="Oliver Roger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68"/>
    <s v="Light Linen Shirt"/>
    <n v="80123"/>
    <s v="Preston Park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69"/>
    <s v="Light Linen Shirt"/>
    <n v="80123"/>
    <s v="Carl Cole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70"/>
    <s v="Light Linen Shirt"/>
    <n v="80123"/>
    <s v="Clark Johnst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71"/>
    <s v="Light Linen Shirt"/>
    <n v="80123"/>
    <s v="David Hunt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72"/>
    <s v="Light Linen Shirt"/>
    <n v="80123"/>
    <s v="David Ros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73"/>
    <s v="Light Linen Shirt"/>
    <n v="80123"/>
    <s v="James John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74"/>
    <s v="Light Linen Shirt"/>
    <n v="80123"/>
    <s v="Sawyer Hawkin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75"/>
    <s v="Light Linen Shirt"/>
    <n v="80123"/>
    <s v="Spike Walk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76"/>
    <s v="Light Linen Shirt"/>
    <n v="80123"/>
    <s v="Stuart Warre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77"/>
    <s v="Susy Winter Coat"/>
    <n v="80123"/>
    <s v="Daryl Ross"/>
    <s v="Online Individual"/>
    <n v="1"/>
    <s v="JAN"/>
    <x v="3"/>
    <s v="Female"/>
    <x v="2"/>
    <s v="Romania"/>
    <s v="Eastern Europe"/>
    <n v="350"/>
    <n v="450"/>
    <n v="100"/>
    <x v="0"/>
    <x v="1"/>
    <x v="1"/>
    <x v="0"/>
  </r>
  <r>
    <s v="Sale"/>
    <x v="178"/>
    <s v="Light Linen Shirt"/>
    <n v="80123"/>
    <s v="Oliver Alle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79"/>
    <s v="Light Linen Shirt"/>
    <n v="80123"/>
    <s v="David Montgomery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80"/>
    <s v="Light Linen Shirt"/>
    <n v="80123"/>
    <s v="Abraham Carroll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81"/>
    <s v="Susy Winter Coat"/>
    <n v="80123"/>
    <s v="Walter Cameron"/>
    <s v="Online Individual"/>
    <n v="1"/>
    <s v="JAN"/>
    <x v="3"/>
    <s v="Female"/>
    <x v="2"/>
    <s v="Romania"/>
    <s v="Eastern Europe"/>
    <n v="350"/>
    <n v="450"/>
    <n v="100"/>
    <x v="0"/>
    <x v="1"/>
    <x v="1"/>
    <x v="0"/>
  </r>
  <r>
    <s v="Sale"/>
    <x v="182"/>
    <s v="Light Linen Shirt"/>
    <n v="80123"/>
    <s v="Spike Robert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83"/>
    <s v="Light Linen Shirt"/>
    <n v="80123"/>
    <s v="Garry Ros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84"/>
    <s v="Light Linen Shirt"/>
    <n v="80123"/>
    <s v="Alfred Johnst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85"/>
    <s v="Light Linen Shirt"/>
    <n v="80123"/>
    <s v="Jack Elli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86"/>
    <s v="Light Linen Shirt"/>
    <n v="80123"/>
    <s v="Arnold Morri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87"/>
    <s v="Light Linen Shirt"/>
    <n v="80123"/>
    <s v="Alexander Stewart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88"/>
    <s v="Light Linen Shirt"/>
    <n v="80123"/>
    <s v="Marcus Casey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89"/>
    <s v="Light Linen Shirt"/>
    <n v="80123"/>
    <s v="Sawyer Chapma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90"/>
    <s v="Light Linen Shirt"/>
    <n v="80123"/>
    <s v="Jordan Camer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91"/>
    <s v="Light Linen Shirt"/>
    <n v="80123"/>
    <s v="Maximilian Hawkin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92"/>
    <s v="Light Linen Shirt"/>
    <n v="80123"/>
    <s v="Eric Park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93"/>
    <s v="Light Linen Shirt"/>
    <n v="80123"/>
    <s v="Daryl Park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94"/>
    <s v="Light Linen Shirt"/>
    <n v="80123"/>
    <s v="Elian Carroll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95"/>
    <s v="Light Linen Shirt"/>
    <n v="80123"/>
    <s v="Ted Hunt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96"/>
    <s v="Light Linen Shirt"/>
    <n v="80123"/>
    <s v="Ryan Roger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97"/>
    <s v="Susy Winter Coat"/>
    <n v="80123"/>
    <s v="Carlos Hamilton"/>
    <s v="Online Individual"/>
    <n v="1"/>
    <s v="JAN"/>
    <x v="3"/>
    <s v="Female"/>
    <x v="2"/>
    <s v="Romania"/>
    <s v="Eastern Europe"/>
    <n v="350"/>
    <n v="450"/>
    <n v="100"/>
    <x v="0"/>
    <x v="1"/>
    <x v="1"/>
    <x v="0"/>
  </r>
  <r>
    <s v="Sale"/>
    <x v="198"/>
    <s v="Light Linen Shirt"/>
    <n v="80123"/>
    <s v="Martin William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199"/>
    <s v="Light Linen Shirt"/>
    <n v="80123"/>
    <s v="Paul Adam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00"/>
    <s v="Light Linen Shirt"/>
    <n v="80123"/>
    <s v="Alexander Elli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01"/>
    <s v="Light Linen Shirt"/>
    <n v="80123"/>
    <s v="Clark Turn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02"/>
    <s v="Light Linen Shirt"/>
    <n v="80123"/>
    <s v="Alfred Harp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03"/>
    <s v="Light Linen Shirt"/>
    <n v="80123"/>
    <s v="Thomas Ander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04"/>
    <s v="Light Linen Shirt"/>
    <n v="80123"/>
    <s v="Aston Hill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05"/>
    <s v="Light Linen Shirt"/>
    <n v="80123"/>
    <s v="Blake Lloyd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06"/>
    <s v="Light Linen Shirt"/>
    <n v="80123"/>
    <s v="Ashton Camer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07"/>
    <s v="Light Linen Shirt"/>
    <n v="80123"/>
    <s v="Stuart John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08"/>
    <s v="Light Linen Shirt"/>
    <n v="80123"/>
    <s v="John Ander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09"/>
    <s v="Light Linen Shirt"/>
    <n v="80123"/>
    <s v="Brad Bennett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10"/>
    <s v="Wool Blue Jacket"/>
    <n v="80123"/>
    <s v="Albert Alexander"/>
    <s v="Online Individual"/>
    <n v="1"/>
    <s v="JAN"/>
    <x v="3"/>
    <s v="Male"/>
    <x v="2"/>
    <s v="Moldova"/>
    <s v="Eastern Europe"/>
    <n v="475"/>
    <n v="600"/>
    <n v="125"/>
    <x v="0"/>
    <x v="1"/>
    <x v="1"/>
    <x v="0"/>
  </r>
  <r>
    <s v="Sale"/>
    <x v="211"/>
    <s v="Light Linen Shirt"/>
    <n v="80123"/>
    <s v="Garry Smith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12"/>
    <s v="Light Linen Shirt"/>
    <n v="80123"/>
    <s v="Adam Perkin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13"/>
    <s v="Light Linen Shirt"/>
    <n v="80123"/>
    <s v="Dexter Wright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14"/>
    <s v="Light Linen Shirt"/>
    <n v="80123"/>
    <s v="Jack Howard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15"/>
    <s v="Light Linen Shirt"/>
    <n v="80123"/>
    <s v="Adrian Evan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16"/>
    <s v="Light Linen Shirt"/>
    <n v="80123"/>
    <s v="Tony Adam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17"/>
    <s v="Light Linen Shirt"/>
    <n v="80123"/>
    <s v="Max Coop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18"/>
    <s v="Light Linen Shirt"/>
    <n v="80123"/>
    <s v="Dominik Myer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19"/>
    <s v="Light Linen Shirt"/>
    <n v="80123"/>
    <s v="James Well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20"/>
    <s v="Light Linen Shirt"/>
    <n v="80123"/>
    <s v="Andrew Fost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21"/>
    <s v="Light Linen Shirt"/>
    <n v="80123"/>
    <s v="Antony Barne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22"/>
    <s v="Light Linen Shirt"/>
    <n v="80123"/>
    <s v="Fenton Phillip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23"/>
    <s v="Light Linen Shirt"/>
    <n v="80123"/>
    <s v="Aiden Coop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24"/>
    <s v="Light Linen Shirt"/>
    <n v="80123"/>
    <s v="Aiden Ander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25"/>
    <s v="Light Linen Shirt"/>
    <n v="80123"/>
    <s v="Lenny Fost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26"/>
    <s v="Light Linen Shirt"/>
    <n v="80123"/>
    <s v="Steven Steven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27"/>
    <s v="Wool Blue Jacket"/>
    <n v="80123"/>
    <s v="George Ferguson"/>
    <s v="Online Individual"/>
    <n v="1"/>
    <s v="JAN"/>
    <x v="3"/>
    <s v="Male"/>
    <x v="2"/>
    <s v="Moldova"/>
    <s v="Eastern Europe"/>
    <n v="475"/>
    <n v="600"/>
    <n v="125"/>
    <x v="0"/>
    <x v="1"/>
    <x v="1"/>
    <x v="0"/>
  </r>
  <r>
    <s v="Sale"/>
    <x v="228"/>
    <s v="Light Linen Shirt"/>
    <n v="80123"/>
    <s v="Edgar Warre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29"/>
    <s v="Light Linen Shirt"/>
    <n v="80123"/>
    <s v="Vincent Fergu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30"/>
    <s v="Light Linen Shirt"/>
    <n v="80123"/>
    <s v="Daniel Roger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31"/>
    <s v="Light Linen Shirt"/>
    <n v="80123"/>
    <s v="Oliver Owen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32"/>
    <s v="Light Linen Shirt"/>
    <n v="80123"/>
    <s v="Carl Hender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33"/>
    <s v="Light Linen Shirt"/>
    <n v="80123"/>
    <s v="Luke Cole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34"/>
    <s v="Light Linen Shirt"/>
    <n v="80123"/>
    <s v="Adam Chapma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35"/>
    <s v="Light Linen Shirt"/>
    <n v="80123"/>
    <s v="Vincent Steven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36"/>
    <s v="Light Linen Shirt"/>
    <n v="80123"/>
    <s v="Fenton Tuck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37"/>
    <s v="Light Linen Shirt"/>
    <n v="80123"/>
    <s v="Freddie Thoma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38"/>
    <s v="Light Linen Shirt"/>
    <n v="80123"/>
    <s v="Dainton Steven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39"/>
    <s v="Wool Blue Jacket"/>
    <n v="80123"/>
    <s v="Jared Jones"/>
    <s v="Online Individual"/>
    <n v="1"/>
    <s v="JAN"/>
    <x v="3"/>
    <s v="Male"/>
    <x v="2"/>
    <s v="Moldova"/>
    <s v="Eastern Europe"/>
    <n v="475"/>
    <n v="600"/>
    <n v="125"/>
    <x v="0"/>
    <x v="1"/>
    <x v="1"/>
    <x v="0"/>
  </r>
  <r>
    <s v="Sale"/>
    <x v="240"/>
    <s v="Light Linen Shirt"/>
    <n v="80123"/>
    <s v="Max Phillip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41"/>
    <s v="Light Linen Shirt"/>
    <n v="80123"/>
    <s v="Brad Ander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42"/>
    <s v="Light Linen Shirt"/>
    <n v="80123"/>
    <s v="Oscar Wil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43"/>
    <s v="Light Linen Shirt"/>
    <n v="80123"/>
    <s v="Ryan Johnst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44"/>
    <s v="Light Linen Shirt"/>
    <n v="80123"/>
    <s v="Henry Barne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45"/>
    <s v="Light Linen Shirt"/>
    <n v="80123"/>
    <s v="Martin Harri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46"/>
    <s v="Light Linen Shirt"/>
    <n v="80123"/>
    <s v="Arnold Turn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47"/>
    <s v="Professional Collar Shirt"/>
    <n v="80123"/>
    <s v="Dale Spencer"/>
    <s v="Online Individual"/>
    <n v="1"/>
    <s v="JAN"/>
    <x v="3"/>
    <s v="Male"/>
    <x v="0"/>
    <s v="Kenya"/>
    <s v="Africa"/>
    <n v="15"/>
    <n v="30"/>
    <n v="15"/>
    <x v="0"/>
    <x v="0"/>
    <x v="0"/>
    <x v="0"/>
  </r>
  <r>
    <s v="Sale"/>
    <x v="248"/>
    <s v="Light Linen Shirt"/>
    <n v="80123"/>
    <s v="Adison Morri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49"/>
    <s v="Light Linen Shirt"/>
    <n v="80123"/>
    <s v="Walter Morri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50"/>
    <s v="Light Linen Shirt"/>
    <n v="80123"/>
    <s v="Haris Hall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51"/>
    <s v="Wool Blue Jacket"/>
    <n v="80123"/>
    <s v="Lyndon Cameron"/>
    <s v="Online Individual"/>
    <n v="1"/>
    <s v="JAN"/>
    <x v="3"/>
    <s v="Male"/>
    <x v="2"/>
    <s v="Moldova"/>
    <s v="Eastern Europe"/>
    <n v="475"/>
    <n v="600"/>
    <n v="125"/>
    <x v="0"/>
    <x v="1"/>
    <x v="1"/>
    <x v="0"/>
  </r>
  <r>
    <s v="Sale"/>
    <x v="252"/>
    <s v="Professional Collar Shirt"/>
    <n v="80123"/>
    <s v="John Jones"/>
    <s v="Online Individual"/>
    <n v="1"/>
    <s v="JAN"/>
    <x v="3"/>
    <s v="Male"/>
    <x v="0"/>
    <s v="Kenya"/>
    <s v="Africa"/>
    <n v="15"/>
    <n v="30"/>
    <n v="15"/>
    <x v="0"/>
    <x v="0"/>
    <x v="0"/>
    <x v="0"/>
  </r>
  <r>
    <s v="Sale"/>
    <x v="253"/>
    <s v="Light Linen Shirt"/>
    <n v="80123"/>
    <s v="Patrick Tuck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54"/>
    <s v="Light Linen Shirt"/>
    <n v="80123"/>
    <s v="Robert Rya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55"/>
    <s v="Light Linen Shirt"/>
    <n v="80123"/>
    <s v="Justin Crawford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56"/>
    <s v="Professional Collar Shirt"/>
    <n v="80123"/>
    <s v="Garry Martin"/>
    <s v="Online Individual"/>
    <n v="1"/>
    <s v="JAN"/>
    <x v="3"/>
    <s v="Male"/>
    <x v="0"/>
    <s v="Kenya"/>
    <s v="Africa"/>
    <n v="15"/>
    <n v="30"/>
    <n v="15"/>
    <x v="0"/>
    <x v="0"/>
    <x v="0"/>
    <x v="0"/>
  </r>
  <r>
    <s v="Sale"/>
    <x v="257"/>
    <s v="Light Linen Shirt"/>
    <n v="80123"/>
    <s v="Alfred Marti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58"/>
    <s v="Light Linen Shirt"/>
    <n v="80123"/>
    <s v="Andrew Murray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59"/>
    <s v="Light Linen Shirt"/>
    <n v="80123"/>
    <s v="Richard Cart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60"/>
    <s v="Wool Blue Jacket"/>
    <n v="80123"/>
    <s v="Daryl Cole"/>
    <s v="Online Individual"/>
    <n v="1"/>
    <s v="JAN"/>
    <x v="3"/>
    <s v="Male"/>
    <x v="2"/>
    <s v="Moldova"/>
    <s v="Eastern Europe"/>
    <n v="475"/>
    <n v="600"/>
    <n v="125"/>
    <x v="0"/>
    <x v="1"/>
    <x v="1"/>
    <x v="0"/>
  </r>
  <r>
    <s v="Sale"/>
    <x v="261"/>
    <s v="Light Linen Shirt"/>
    <n v="80123"/>
    <s v="Arthur Robin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62"/>
    <s v="Light Linen Shirt"/>
    <n v="80123"/>
    <s v="Ted Myer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63"/>
    <s v="Light Linen Shirt"/>
    <n v="80123"/>
    <s v="Victor Smith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64"/>
    <s v="Light Linen Shirt"/>
    <n v="80123"/>
    <s v="John Smith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65"/>
    <s v="Wool Blue Jacket"/>
    <n v="80123"/>
    <s v="Alexander Warren"/>
    <s v="Online Individual"/>
    <n v="1"/>
    <s v="JAN"/>
    <x v="3"/>
    <s v="Male"/>
    <x v="2"/>
    <s v="Moldova"/>
    <s v="Eastern Europe"/>
    <n v="475"/>
    <n v="600"/>
    <n v="125"/>
    <x v="0"/>
    <x v="1"/>
    <x v="1"/>
    <x v="0"/>
  </r>
  <r>
    <s v="Sale"/>
    <x v="266"/>
    <s v="Light Linen Shirt"/>
    <n v="80123"/>
    <s v="Adrian Thomp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67"/>
    <s v="Light Linen Shirt"/>
    <n v="80123"/>
    <s v="Andrew Wat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68"/>
    <s v="Light Linen Shirt"/>
    <n v="80123"/>
    <s v="Charlie Harp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69"/>
    <s v="Professional Collar Shirt"/>
    <n v="80123"/>
    <s v="Aiden Moore"/>
    <s v="Online Individual"/>
    <n v="1"/>
    <s v="MAR"/>
    <x v="3"/>
    <s v="Male"/>
    <x v="0"/>
    <s v="Kenya"/>
    <s v="Africa"/>
    <n v="15"/>
    <n v="30"/>
    <n v="15"/>
    <x v="0"/>
    <x v="0"/>
    <x v="0"/>
    <x v="0"/>
  </r>
  <r>
    <s v="Sale"/>
    <x v="270"/>
    <s v="Light Linen Shirt"/>
    <n v="80123"/>
    <s v="Luke Bennett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71"/>
    <s v="Professional Collar Shirt"/>
    <n v="80123"/>
    <s v="Haris Thompson"/>
    <s v="Online Individual"/>
    <n v="1"/>
    <s v="MAR"/>
    <x v="3"/>
    <s v="Male"/>
    <x v="0"/>
    <s v="Kenya"/>
    <s v="Africa"/>
    <n v="15"/>
    <n v="30"/>
    <n v="15"/>
    <x v="0"/>
    <x v="0"/>
    <x v="0"/>
    <x v="0"/>
  </r>
  <r>
    <s v="Sale"/>
    <x v="272"/>
    <s v="Light Linen Shirt"/>
    <n v="80123"/>
    <s v="Mike Alle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73"/>
    <s v="Professional Collar Shirt"/>
    <n v="80123"/>
    <s v="Martin Murray"/>
    <s v="Online Individual"/>
    <n v="1"/>
    <s v="MAR"/>
    <x v="3"/>
    <s v="Male"/>
    <x v="0"/>
    <s v="Kenya"/>
    <s v="Africa"/>
    <n v="15"/>
    <n v="30"/>
    <n v="15"/>
    <x v="0"/>
    <x v="0"/>
    <x v="0"/>
    <x v="0"/>
  </r>
  <r>
    <s v="Sale"/>
    <x v="274"/>
    <s v="Light Linen Shirt"/>
    <n v="80123"/>
    <s v="Dainton Morga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75"/>
    <s v="Light Linen Shirt"/>
    <n v="80123"/>
    <s v="Mike Reed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76"/>
    <s v="Light Linen Shirt"/>
    <n v="80123"/>
    <s v="Dexter Stewart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77"/>
    <s v="Light Linen Shirt"/>
    <n v="80123"/>
    <s v="James Sulliva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78"/>
    <s v="Light Linen Shirt"/>
    <n v="80123"/>
    <s v="John William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79"/>
    <s v="Light Linen Shirt"/>
    <n v="80123"/>
    <s v="Edwin Lloyd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80"/>
    <s v="Light Linen Shirt"/>
    <n v="80123"/>
    <s v="Julian Lloyd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81"/>
    <s v="Light Linen Shirt"/>
    <n v="80123"/>
    <s v="Eddy Harri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82"/>
    <s v="Light Linen Shirt"/>
    <n v="80123"/>
    <s v="Stuart Nel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83"/>
    <s v="Light Linen Shirt"/>
    <n v="80123"/>
    <s v="Patrick Turner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84"/>
    <s v="Light Linen Shirt"/>
    <n v="80123"/>
    <s v="Dexter Perkins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85"/>
    <s v="Wool Blue Jacket"/>
    <n v="80123"/>
    <s v="Abraham Turner"/>
    <s v="Online Individual"/>
    <n v="1"/>
    <s v="FEB"/>
    <x v="3"/>
    <s v="Male"/>
    <x v="2"/>
    <s v="Moldova"/>
    <s v="Eastern Europe"/>
    <n v="475"/>
    <n v="600"/>
    <n v="125"/>
    <x v="0"/>
    <x v="1"/>
    <x v="1"/>
    <x v="0"/>
  </r>
  <r>
    <s v="Sale"/>
    <x v="286"/>
    <s v="Light Linen Shirt"/>
    <n v="10022"/>
    <s v="Macys"/>
    <s v="Retail Buyer"/>
    <n v="1"/>
    <s v="MAR"/>
    <x v="1"/>
    <s v="Male"/>
    <x v="0"/>
    <s v="Ethiopia"/>
    <s v="Africa"/>
    <n v="10"/>
    <n v="20"/>
    <n v="10"/>
    <x v="1"/>
    <x v="0"/>
    <x v="1"/>
    <x v="0"/>
  </r>
  <r>
    <s v="Sale"/>
    <x v="287"/>
    <s v="Light Linen Shirt"/>
    <n v="80123"/>
    <s v="Ryan Murphy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88"/>
    <s v="Light Linen Shirt"/>
    <n v="80123"/>
    <s v="Eric Morri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89"/>
    <s v="Wool Blue Jacket"/>
    <n v="80123"/>
    <s v="Martin Henderson"/>
    <s v="Online Individual"/>
    <n v="1"/>
    <s v="FEB"/>
    <x v="3"/>
    <s v="Male"/>
    <x v="2"/>
    <s v="Moldova"/>
    <s v="Eastern Europe"/>
    <n v="475"/>
    <n v="600"/>
    <n v="125"/>
    <x v="0"/>
    <x v="1"/>
    <x v="1"/>
    <x v="0"/>
  </r>
  <r>
    <s v="Sale"/>
    <x v="290"/>
    <s v="Light Linen Shirt"/>
    <n v="80123"/>
    <s v="Carlos Murray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91"/>
    <s v="Light Linen Shirt"/>
    <n v="80123"/>
    <s v="Daniel Henderso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92"/>
    <s v="Wool Blue Jacket"/>
    <n v="80123"/>
    <s v="Steven Brooks"/>
    <s v="Online Individual"/>
    <n v="1"/>
    <s v="FEB"/>
    <x v="3"/>
    <s v="Male"/>
    <x v="2"/>
    <s v="Moldova"/>
    <s v="Eastern Europe"/>
    <n v="475"/>
    <n v="600"/>
    <n v="125"/>
    <x v="0"/>
    <x v="1"/>
    <x v="1"/>
    <x v="0"/>
  </r>
  <r>
    <s v="Sale"/>
    <x v="293"/>
    <s v="Light Linen Shirt"/>
    <n v="80123"/>
    <s v="Julian Kelly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94"/>
    <s v="Wool Blue Jacket"/>
    <n v="80123"/>
    <s v="Harold Jones"/>
    <s v="Online Individual"/>
    <n v="1"/>
    <s v="FEB"/>
    <x v="3"/>
    <s v="Male"/>
    <x v="2"/>
    <s v="Moldova"/>
    <s v="Eastern Europe"/>
    <n v="475"/>
    <n v="600"/>
    <n v="125"/>
    <x v="0"/>
    <x v="1"/>
    <x v="1"/>
    <x v="0"/>
  </r>
  <r>
    <s v="Sale"/>
    <x v="295"/>
    <s v="Light Linen Shirt"/>
    <n v="80123"/>
    <s v="Eric Warren"/>
    <s v="Online Individual"/>
    <n v="1"/>
    <s v="JAN"/>
    <x v="3"/>
    <s v="Male"/>
    <x v="0"/>
    <s v="Ethiopia"/>
    <s v="Africa"/>
    <n v="10"/>
    <n v="20"/>
    <n v="10"/>
    <x v="0"/>
    <x v="0"/>
    <x v="0"/>
    <x v="0"/>
  </r>
  <r>
    <s v="Sale"/>
    <x v="296"/>
    <s v="Light Linen Shirt"/>
    <n v="80123"/>
    <s v="Target"/>
    <s v="Retail Buyer"/>
    <n v="1"/>
    <s v="JAN"/>
    <x v="3"/>
    <s v="Male"/>
    <x v="0"/>
    <s v="Ethiopia"/>
    <s v="Africa"/>
    <n v="10"/>
    <n v="20"/>
    <n v="10"/>
    <x v="0"/>
    <x v="0"/>
    <x v="0"/>
    <x v="0"/>
  </r>
  <r>
    <s v="Sale"/>
    <x v="297"/>
    <s v="Light Linen Shirt"/>
    <n v="80123"/>
    <s v="Target"/>
    <s v="Retail Buyer"/>
    <n v="1"/>
    <s v="JAN"/>
    <x v="3"/>
    <s v="Male"/>
    <x v="0"/>
    <s v="Ethiopia"/>
    <s v="Africa"/>
    <n v="10"/>
    <n v="20"/>
    <n v="10"/>
    <x v="0"/>
    <x v="0"/>
    <x v="0"/>
    <x v="0"/>
  </r>
  <r>
    <s v="Sale"/>
    <x v="298"/>
    <s v="Light Linen Shirt"/>
    <n v="80123"/>
    <s v="Target"/>
    <s v="Retail Buyer"/>
    <n v="1"/>
    <s v="JAN"/>
    <x v="3"/>
    <s v="Male"/>
    <x v="0"/>
    <s v="Ethiopia"/>
    <s v="Africa"/>
    <n v="10"/>
    <n v="20"/>
    <n v="10"/>
    <x v="0"/>
    <x v="0"/>
    <x v="0"/>
    <x v="0"/>
  </r>
  <r>
    <s v="Sale"/>
    <x v="299"/>
    <s v="Light Linen Shirt"/>
    <n v="80123"/>
    <s v="Target"/>
    <s v="Retail Buyer"/>
    <n v="1"/>
    <s v="JAN"/>
    <x v="3"/>
    <s v="Male"/>
    <x v="0"/>
    <s v="Ethiopia"/>
    <s v="Africa"/>
    <n v="10"/>
    <n v="20"/>
    <n v="10"/>
    <x v="0"/>
    <x v="0"/>
    <x v="0"/>
    <x v="0"/>
  </r>
  <r>
    <s v="Sale"/>
    <x v="300"/>
    <s v="Light Linen Shirt"/>
    <n v="10022"/>
    <s v="Macys"/>
    <s v="Retail Buyer"/>
    <n v="1"/>
    <s v="MAR"/>
    <x v="1"/>
    <s v="Male"/>
    <x v="0"/>
    <s v="Ethiopia"/>
    <s v="Africa"/>
    <n v="10"/>
    <n v="20"/>
    <n v="10"/>
    <x v="1"/>
    <x v="0"/>
    <x v="1"/>
    <x v="0"/>
  </r>
  <r>
    <s v="Sale"/>
    <x v="301"/>
    <s v="Light Linen Shirt"/>
    <n v="10022"/>
    <s v="Macys"/>
    <s v="Retail Buyer"/>
    <n v="1"/>
    <s v="MAR"/>
    <x v="1"/>
    <s v="Male"/>
    <x v="0"/>
    <s v="Ethiopia"/>
    <s v="Africa"/>
    <n v="10"/>
    <n v="20"/>
    <n v="10"/>
    <x v="1"/>
    <x v="0"/>
    <x v="1"/>
    <x v="0"/>
  </r>
  <r>
    <s v="Sale"/>
    <x v="302"/>
    <s v="Light Linen Shirt"/>
    <n v="10022"/>
    <s v="Macys"/>
    <s v="Retail Buyer"/>
    <n v="1"/>
    <s v="MAR"/>
    <x v="1"/>
    <s v="Male"/>
    <x v="0"/>
    <s v="Ethiopia"/>
    <s v="Africa"/>
    <n v="10"/>
    <n v="20"/>
    <n v="10"/>
    <x v="1"/>
    <x v="0"/>
    <x v="1"/>
    <x v="0"/>
  </r>
  <r>
    <s v="Sale"/>
    <x v="303"/>
    <s v="Light Linen Shirt"/>
    <n v="10022"/>
    <s v="Macys"/>
    <s v="Retail Buyer"/>
    <n v="1"/>
    <s v="MAR"/>
    <x v="1"/>
    <s v="Male"/>
    <x v="0"/>
    <s v="Ethiopia"/>
    <s v="Africa"/>
    <n v="10"/>
    <n v="20"/>
    <n v="10"/>
    <x v="1"/>
    <x v="0"/>
    <x v="1"/>
    <x v="0"/>
  </r>
  <r>
    <s v="Sale"/>
    <x v="304"/>
    <s v="Red Poplin Summer Dress"/>
    <n v="90001"/>
    <s v="Cadie Alexander"/>
    <s v="Online Individual"/>
    <n v="1"/>
    <s v="MAR"/>
    <x v="0"/>
    <s v="Female"/>
    <x v="0"/>
    <s v="Honduras"/>
    <s v="Central America"/>
    <n v="30"/>
    <n v="45"/>
    <n v="15"/>
    <x v="0"/>
    <x v="0"/>
    <x v="0"/>
    <x v="0"/>
  </r>
  <r>
    <s v="Sale"/>
    <x v="305"/>
    <s v="Red Poplin Summer Dress"/>
    <n v="90001"/>
    <s v="Jasmine Wilson"/>
    <s v="Online Individual"/>
    <n v="1"/>
    <s v="MAR"/>
    <x v="0"/>
    <s v="Female"/>
    <x v="0"/>
    <s v="Honduras"/>
    <s v="Central America"/>
    <n v="30"/>
    <n v="45"/>
    <n v="15"/>
    <x v="0"/>
    <x v="0"/>
    <x v="0"/>
    <x v="0"/>
  </r>
  <r>
    <s v="Sale"/>
    <x v="306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07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08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09"/>
    <s v="Wool Blue Jacket"/>
    <n v="10001"/>
    <s v="Macys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310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11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12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13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14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15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16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17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18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19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20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21"/>
    <s v="Wool Blue Jacket"/>
    <n v="10001"/>
    <s v="Macys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322"/>
    <s v="Wool Blue Jacket"/>
    <n v="10001"/>
    <s v="Macys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323"/>
    <s v="Wool Blue Jacket"/>
    <n v="10001"/>
    <s v="Macys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324"/>
    <s v="Wool Blue Jacket"/>
    <n v="10001"/>
    <s v="Macys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325"/>
    <s v="Wool Blue Jacket"/>
    <n v="10001"/>
    <s v="Macys"/>
    <s v="Retail Buyer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326"/>
    <s v="Wool Blue Jacket"/>
    <n v="10001"/>
    <s v="Sienna Sullivan"/>
    <s v="Online Individual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327"/>
    <s v="Wool Blue Jacket"/>
    <n v="10001"/>
    <s v="Hailey Foster"/>
    <s v="Online Individual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328"/>
    <s v="Wool Blue Jacket"/>
    <n v="10001"/>
    <s v="Violet Tucker"/>
    <s v="Online Individual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329"/>
    <s v="Wool Blue Jacket"/>
    <n v="10001"/>
    <s v="Sienna Davis"/>
    <s v="Online Individual"/>
    <n v="1"/>
    <s v="JAN"/>
    <x v="1"/>
    <s v="Male"/>
    <x v="2"/>
    <s v="Moldova"/>
    <s v="Eastern Europe"/>
    <n v="475"/>
    <n v="600"/>
    <n v="125"/>
    <x v="1"/>
    <x v="1"/>
    <x v="1"/>
    <x v="0"/>
  </r>
  <r>
    <s v="Sale"/>
    <x v="330"/>
    <s v="Susy Winter Coat"/>
    <n v="10001"/>
    <s v="Lucy Jones"/>
    <s v="Online Individual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31"/>
    <s v="Red Poplin Summer Dress"/>
    <n v="10001"/>
    <s v="Amanda Coop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32"/>
    <s v="Red Poplin Summer Dress"/>
    <n v="10001"/>
    <s v="Honey Walk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33"/>
    <s v="Susy Winter Coat"/>
    <n v="10001"/>
    <s v="Briony Williams"/>
    <s v="Online Individual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34"/>
    <s v="Susy Winter Coat"/>
    <n v="10001"/>
    <s v="Miranda Rogers"/>
    <s v="Online Individual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35"/>
    <s v="Susy Winter Coat"/>
    <n v="10001"/>
    <s v="Macys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36"/>
    <s v="Susy Winter Coat"/>
    <n v="10001"/>
    <s v="Macys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37"/>
    <s v="Susy Winter Coat"/>
    <n v="10001"/>
    <s v="Macys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38"/>
    <s v="Susy Winter Coat"/>
    <n v="10001"/>
    <s v="Macys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39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40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41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42"/>
    <s v="Red Poplin Summer Dress"/>
    <n v="10001"/>
    <s v="Macys"/>
    <s v="Retail Buyer"/>
    <n v="1"/>
    <s v="FEB"/>
    <x v="1"/>
    <s v="Female"/>
    <x v="0"/>
    <s v="Honduras"/>
    <s v="Central America"/>
    <n v="30"/>
    <n v="45"/>
    <n v="15"/>
    <x v="1"/>
    <x v="0"/>
    <x v="1"/>
    <x v="0"/>
  </r>
  <r>
    <s v="Sale"/>
    <x v="343"/>
    <s v="Susy Winter Coat"/>
    <n v="10001"/>
    <s v="Macys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344"/>
    <s v="Susy Winter Coat"/>
    <n v="10001"/>
    <s v="Macys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345"/>
    <s v="Black Crepe Business Jacket"/>
    <n v="10001"/>
    <s v="Macys"/>
    <s v="Retail Buyer"/>
    <n v="1"/>
    <s v="FEB"/>
    <x v="1"/>
    <s v="Female"/>
    <x v="1"/>
    <s v="Afghanistan"/>
    <s v="Middle East"/>
    <n v="150"/>
    <n v="75"/>
    <n v="-75"/>
    <x v="1"/>
    <x v="0"/>
    <x v="1"/>
    <x v="1"/>
  </r>
  <r>
    <s v="Sale"/>
    <x v="346"/>
    <s v="Susy Winter Coat"/>
    <n v="10001"/>
    <s v="Macys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347"/>
    <s v="Red Poplin Summer Dress"/>
    <n v="10001"/>
    <s v="Macys"/>
    <s v="Retail Buyer"/>
    <n v="1"/>
    <s v="FEB"/>
    <x v="1"/>
    <s v="Female"/>
    <x v="0"/>
    <s v="Honduras"/>
    <s v="Central America"/>
    <n v="30"/>
    <n v="45"/>
    <n v="15"/>
    <x v="1"/>
    <x v="0"/>
    <x v="1"/>
    <x v="0"/>
  </r>
  <r>
    <s v="Sale"/>
    <x v="348"/>
    <s v="Black Crepe Business Jacket"/>
    <n v="10001"/>
    <s v="Macys"/>
    <s v="Retail Buyer"/>
    <n v="1"/>
    <s v="FEB"/>
    <x v="1"/>
    <s v="Female"/>
    <x v="1"/>
    <s v="Afghanistan"/>
    <s v="Middle East"/>
    <n v="150"/>
    <n v="75"/>
    <n v="-75"/>
    <x v="1"/>
    <x v="0"/>
    <x v="1"/>
    <x v="1"/>
  </r>
  <r>
    <s v="Sale"/>
    <x v="349"/>
    <s v="Red Poplin Summer Dress"/>
    <n v="10001"/>
    <s v="Macys"/>
    <s v="Retail Buyer"/>
    <n v="1"/>
    <s v="FEB"/>
    <x v="1"/>
    <s v="Female"/>
    <x v="0"/>
    <s v="Honduras"/>
    <s v="Central America"/>
    <n v="30"/>
    <n v="45"/>
    <n v="15"/>
    <x v="1"/>
    <x v="0"/>
    <x v="1"/>
    <x v="0"/>
  </r>
  <r>
    <s v="Sale"/>
    <x v="350"/>
    <s v="Susy Winter Coat"/>
    <n v="10001"/>
    <s v="Sarah Higgins"/>
    <s v="Online Individual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351"/>
    <s v="Navy Floral Light Halter"/>
    <n v="10001"/>
    <s v="Catherine Hamilton"/>
    <s v="Online Individual"/>
    <n v="1"/>
    <s v="MAR"/>
    <x v="1"/>
    <s v="Female"/>
    <x v="0"/>
    <s v="Guatemala"/>
    <s v="Central America"/>
    <n v="25"/>
    <n v="30"/>
    <n v="5"/>
    <x v="1"/>
    <x v="0"/>
    <x v="1"/>
    <x v="1"/>
  </r>
  <r>
    <s v="Sale"/>
    <x v="352"/>
    <s v="Susy Winter Coat"/>
    <n v="10001"/>
    <s v="Isabella Johnston"/>
    <s v="Online Individual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353"/>
    <s v="Black Crepe Business Jacket"/>
    <n v="10001"/>
    <s v="Mary Walker"/>
    <s v="Online Individual"/>
    <n v="1"/>
    <s v="FEB"/>
    <x v="1"/>
    <s v="Female"/>
    <x v="1"/>
    <s v="Afghanistan"/>
    <s v="Middle East"/>
    <n v="150"/>
    <n v="75"/>
    <n v="-75"/>
    <x v="1"/>
    <x v="0"/>
    <x v="1"/>
    <x v="1"/>
  </r>
  <r>
    <s v="Sale"/>
    <x v="354"/>
    <s v="Susy Winter Coat"/>
    <n v="10001"/>
    <s v="Adrianna Hill"/>
    <s v="Online Individual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355"/>
    <s v="Susy Winter Coat"/>
    <n v="10001"/>
    <s v="Adrianna Harper"/>
    <s v="Online Individual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356"/>
    <s v="Red Poplin Summer Dress"/>
    <n v="10001"/>
    <s v="Natalie Barnes"/>
    <s v="Online Individual"/>
    <n v="1"/>
    <s v="FEB"/>
    <x v="1"/>
    <s v="Female"/>
    <x v="0"/>
    <s v="Honduras"/>
    <s v="Central America"/>
    <n v="30"/>
    <n v="45"/>
    <n v="15"/>
    <x v="1"/>
    <x v="0"/>
    <x v="1"/>
    <x v="0"/>
  </r>
  <r>
    <s v="Sale"/>
    <x v="357"/>
    <s v="Black Crepe Business Jacket"/>
    <n v="10001"/>
    <s v="Melanie Anderson"/>
    <s v="Online Individual"/>
    <n v="1"/>
    <s v="FEB"/>
    <x v="1"/>
    <s v="Female"/>
    <x v="1"/>
    <s v="Afghanistan"/>
    <s v="Middle East"/>
    <n v="150"/>
    <n v="75"/>
    <n v="-75"/>
    <x v="1"/>
    <x v="0"/>
    <x v="1"/>
    <x v="1"/>
  </r>
  <r>
    <s v="Sale"/>
    <x v="358"/>
    <s v="Susy Winter Coat"/>
    <n v="10001"/>
    <s v="Tess Bennett"/>
    <s v="Online Individual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359"/>
    <s v="Susy Winter Coat"/>
    <n v="10013"/>
    <s v="Alisa Robinson"/>
    <s v="Online Individual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360"/>
    <s v="Red Poplin Summer Dress"/>
    <n v="10013"/>
    <s v="Aida Hawkin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61"/>
    <s v="Red Poplin Summer Dress"/>
    <n v="10013"/>
    <s v="Joyce Farrell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62"/>
    <s v="Red Poplin Summer Dress"/>
    <n v="10013"/>
    <s v="Jasmine Coop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63"/>
    <s v="Red Poplin Summer Dress"/>
    <n v="10013"/>
    <s v="Heather Edward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64"/>
    <s v="Red Poplin Summer Dress"/>
    <n v="10013"/>
    <s v="Agata William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65"/>
    <s v="Red Poplin Summer Dress"/>
    <n v="10013"/>
    <s v="Deanna Morrison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66"/>
    <s v="Red Poplin Summer Dress"/>
    <n v="10013"/>
    <s v="Cadie Ferguson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67"/>
    <s v="Red Poplin Summer Dress"/>
    <n v="10013"/>
    <s v="Abigail Cole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68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69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70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71"/>
    <s v="Carissa Cocktail Gown"/>
    <n v="10013"/>
    <s v="Macys"/>
    <s v="Retail Buyer"/>
    <n v="1"/>
    <s v="MAR"/>
    <x v="1"/>
    <s v="Female"/>
    <x v="1"/>
    <s v="Iran"/>
    <s v="Middle East"/>
    <n v="75"/>
    <n v="125"/>
    <n v="50"/>
    <x v="1"/>
    <x v="0"/>
    <x v="1"/>
    <x v="0"/>
  </r>
  <r>
    <s v="Sale"/>
    <x v="372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73"/>
    <s v="Black Crepe Business Jacket"/>
    <n v="10013"/>
    <s v="Macys"/>
    <s v="Retail Buyer"/>
    <n v="1"/>
    <s v="MAR"/>
    <x v="1"/>
    <s v="Female"/>
    <x v="1"/>
    <s v="Afghanistan"/>
    <s v="Middle East"/>
    <n v="150"/>
    <n v="75"/>
    <n v="-75"/>
    <x v="1"/>
    <x v="0"/>
    <x v="1"/>
    <x v="1"/>
  </r>
  <r>
    <s v="Sale"/>
    <x v="374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75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76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77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78"/>
    <s v="Red Poplin Summer Dress"/>
    <n v="10013"/>
    <s v="Lilianna Morri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79"/>
    <s v="Red Poplin Summer Dress"/>
    <n v="10013"/>
    <s v="Paige Walk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80"/>
    <s v="Carissa Cocktail Gown"/>
    <n v="10013"/>
    <s v="Amanda Moore"/>
    <s v="Online Individual"/>
    <n v="1"/>
    <s v="MAR"/>
    <x v="1"/>
    <s v="Female"/>
    <x v="1"/>
    <s v="Iran"/>
    <s v="Middle East"/>
    <n v="75"/>
    <n v="125"/>
    <n v="50"/>
    <x v="1"/>
    <x v="0"/>
    <x v="1"/>
    <x v="0"/>
  </r>
  <r>
    <s v="Sale"/>
    <x v="381"/>
    <s v="Red Poplin Summer Dress"/>
    <n v="10013"/>
    <s v="Naomi Turn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82"/>
    <s v="Red Poplin Summer Dress"/>
    <n v="10013"/>
    <s v="Jessica Moore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83"/>
    <s v="Red Poplin Summer Dress"/>
    <n v="10013"/>
    <s v="Connie Adam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84"/>
    <s v="Red Poplin Summer Dress"/>
    <n v="10013"/>
    <s v="Naomi Morri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85"/>
    <s v="Red Poplin Summer Dress"/>
    <n v="10013"/>
    <s v="Lilianna Carroll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86"/>
    <s v="Red Poplin Summer Dress"/>
    <n v="10013"/>
    <s v="Honey Kelley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87"/>
    <s v="Red Poplin Summer Dress"/>
    <n v="10013"/>
    <s v="Ada Howard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88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89"/>
    <s v="Black Crepe Business Jacket"/>
    <n v="10013"/>
    <s v="Macys"/>
    <s v="Retail Buyer"/>
    <n v="1"/>
    <s v="MAR"/>
    <x v="1"/>
    <s v="Female"/>
    <x v="1"/>
    <s v="Afghanistan"/>
    <s v="Middle East"/>
    <n v="150"/>
    <n v="75"/>
    <n v="-75"/>
    <x v="1"/>
    <x v="0"/>
    <x v="1"/>
    <x v="1"/>
  </r>
  <r>
    <s v="Sale"/>
    <x v="390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91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92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93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94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95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96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397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98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399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00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01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02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03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04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05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06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07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08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09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10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411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412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13"/>
    <s v="Red Poplin Summer Dress"/>
    <n v="10022"/>
    <s v="Melanie Smith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14"/>
    <s v="Red Poplin Summer Dress"/>
    <n v="10022"/>
    <s v="Darcy Andrew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15"/>
    <s v="Red Poplin Summer Dress"/>
    <n v="10022"/>
    <s v="Nicole Perkin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16"/>
    <s v="Red Poplin Summer Dress"/>
    <n v="10022"/>
    <s v="Michelle Hawkin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17"/>
    <s v="Red Poplin Summer Dress"/>
    <n v="10022"/>
    <s v="Natalie Kelley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18"/>
    <s v="Red Poplin Summer Dress"/>
    <n v="10022"/>
    <s v="Gianna Crawford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19"/>
    <s v="Red Poplin Summer Dress"/>
    <n v="10022"/>
    <s v="Emma Craig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20"/>
    <s v="Red Poplin Summer Dress"/>
    <n v="10022"/>
    <s v="Paige Montgomery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21"/>
    <s v="Red Poplin Summer Dress"/>
    <n v="10022"/>
    <s v="Rebecca Nelson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22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23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24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25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26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27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28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29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30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31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32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33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34"/>
    <s v="Black Crepe Business Jacket"/>
    <n v="10022"/>
    <s v="SAKS Fifth Avenue"/>
    <s v="Retail Buyer"/>
    <n v="1"/>
    <s v="JAN"/>
    <x v="1"/>
    <s v="Female"/>
    <x v="1"/>
    <s v="Afghanistan"/>
    <s v="Middle East"/>
    <n v="150"/>
    <n v="75"/>
    <n v="-75"/>
    <x v="1"/>
    <x v="0"/>
    <x v="1"/>
    <x v="1"/>
  </r>
  <r>
    <s v="Sale"/>
    <x v="435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36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37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38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39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40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41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42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43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44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45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46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47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48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49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50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51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52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53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454"/>
    <s v="Navy Floral Light Halter"/>
    <n v="10022"/>
    <s v="Macys"/>
    <s v="Retail Buyer"/>
    <n v="1"/>
    <s v="MAR"/>
    <x v="1"/>
    <s v="Female"/>
    <x v="0"/>
    <s v="Guatemala"/>
    <s v="Central America"/>
    <n v="25"/>
    <n v="30"/>
    <n v="5"/>
    <x v="1"/>
    <x v="0"/>
    <x v="1"/>
    <x v="1"/>
  </r>
  <r>
    <s v="Sale"/>
    <x v="455"/>
    <s v="Black Crepe Business Jacket"/>
    <n v="10022"/>
    <s v="SAKS Fifth Avenue"/>
    <s v="Retail Buyer"/>
    <n v="1"/>
    <s v="JAN"/>
    <x v="1"/>
    <s v="Female"/>
    <x v="1"/>
    <s v="Afghanistan"/>
    <s v="Middle East"/>
    <n v="150"/>
    <n v="75"/>
    <n v="-75"/>
    <x v="1"/>
    <x v="0"/>
    <x v="1"/>
    <x v="1"/>
  </r>
  <r>
    <s v="Sale"/>
    <x v="456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57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58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59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60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61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62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63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64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65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66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67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68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69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70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71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72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73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74"/>
    <s v="Susy Winter Coat"/>
    <n v="80014"/>
    <s v="Annabella Ellis"/>
    <s v="Online Individual"/>
    <n v="1"/>
    <s v="JAN"/>
    <x v="3"/>
    <s v="Female"/>
    <x v="2"/>
    <s v="Romania"/>
    <s v="Eastern Europe"/>
    <n v="350"/>
    <n v="450"/>
    <n v="100"/>
    <x v="0"/>
    <x v="1"/>
    <x v="1"/>
    <x v="0"/>
  </r>
  <r>
    <s v="Sale"/>
    <x v="475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76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77"/>
    <s v="Susy Winter Coat"/>
    <n v="80014"/>
    <s v="Caroline Warren"/>
    <s v="Online Individual"/>
    <n v="1"/>
    <s v="JAN"/>
    <x v="3"/>
    <s v="Female"/>
    <x v="2"/>
    <s v="Romania"/>
    <s v="Eastern Europe"/>
    <n v="350"/>
    <n v="450"/>
    <n v="100"/>
    <x v="0"/>
    <x v="1"/>
    <x v="1"/>
    <x v="0"/>
  </r>
  <r>
    <s v="Sale"/>
    <x v="478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79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80"/>
    <s v="Susy Winter Coat"/>
    <n v="80014"/>
    <s v="Connie Spencer"/>
    <s v="Online Individual"/>
    <n v="1"/>
    <s v="FEB"/>
    <x v="3"/>
    <s v="Female"/>
    <x v="2"/>
    <s v="Romania"/>
    <s v="Eastern Europe"/>
    <n v="350"/>
    <n v="450"/>
    <n v="100"/>
    <x v="0"/>
    <x v="1"/>
    <x v="1"/>
    <x v="0"/>
  </r>
  <r>
    <s v="Sale"/>
    <x v="481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82"/>
    <s v="Navy Floral Light Halter"/>
    <n v="80014"/>
    <s v="Emily Farrell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83"/>
    <s v="Navy Floral Light Halter"/>
    <n v="80014"/>
    <s v="Lucy Myer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84"/>
    <s v="Susy Winter Coat"/>
    <n v="80014"/>
    <s v="Camila Wells"/>
    <s v="Online Individual"/>
    <n v="1"/>
    <s v="FEB"/>
    <x v="3"/>
    <s v="Female"/>
    <x v="2"/>
    <s v="Romania"/>
    <s v="Eastern Europe"/>
    <n v="350"/>
    <n v="450"/>
    <n v="100"/>
    <x v="0"/>
    <x v="1"/>
    <x v="1"/>
    <x v="0"/>
  </r>
  <r>
    <s v="Sale"/>
    <x v="485"/>
    <s v="Navy Floral Light Halter"/>
    <n v="80014"/>
    <s v="Valeria Hawkin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86"/>
    <s v="Navy Floral Light Halter"/>
    <n v="80014"/>
    <s v="Darcy Higgin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87"/>
    <s v="Navy Floral Light Halter"/>
    <n v="80014"/>
    <s v="Emma Nel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88"/>
    <s v="Navy Floral Light Halter"/>
    <n v="80014"/>
    <s v="Adrianna Robert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89"/>
    <s v="Navy Floral Light Halter"/>
    <n v="80014"/>
    <s v="Nicole Marti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90"/>
    <s v="Navy Floral Light Halter"/>
    <n v="80014"/>
    <s v="Elise Perr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91"/>
    <s v="Navy Floral Light Halter"/>
    <n v="80014"/>
    <s v="Tiana Jone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92"/>
    <s v="Navy Floral Light Halter"/>
    <n v="80014"/>
    <s v="Sabrina Ander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93"/>
    <s v="Navy Floral Light Halter"/>
    <n v="80014"/>
    <s v="Catherine Richard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94"/>
    <s v="Navy Floral Light Halter"/>
    <n v="80014"/>
    <s v="Naomi Hunt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95"/>
    <s v="Navy Floral Light Halter"/>
    <n v="80014"/>
    <s v="Tara Armstrong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96"/>
    <s v="Navy Floral Light Halter"/>
    <n v="80014"/>
    <s v="Emma Mill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97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98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499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00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01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02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03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04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05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06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07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08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09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10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11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12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13"/>
    <s v="Navy Floral Light Halter"/>
    <n v="80014"/>
    <s v="Isabella Hender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14"/>
    <s v="Navy Floral Light Halter"/>
    <n v="80014"/>
    <s v="Amy Barrett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15"/>
    <s v="Navy Floral Light Halter"/>
    <n v="80014"/>
    <s v="Chelsea Davi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16"/>
    <s v="Navy Floral Light Halter"/>
    <n v="80014"/>
    <s v="Charlotte William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17"/>
    <s v="Navy Floral Light Halter"/>
    <n v="80014"/>
    <s v="Gianna Jone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18"/>
    <s v="Navy Floral Light Halter"/>
    <n v="80014"/>
    <s v="Caroline Rile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19"/>
    <s v="Navy Floral Light Halter"/>
    <n v="80014"/>
    <s v="Chloe Carroll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20"/>
    <s v="Navy Floral Light Halter"/>
    <n v="80014"/>
    <s v="Connie Smith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21"/>
    <s v="Navy Floral Light Halter"/>
    <n v="80208"/>
    <s v="Myra Turn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22"/>
    <s v="Navy Floral Light Halter"/>
    <n v="80208"/>
    <s v="Arianna Barrett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23"/>
    <s v="Navy Floral Light Halter"/>
    <n v="80208"/>
    <s v="Paige Craig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24"/>
    <s v="Navy Floral Light Halter"/>
    <n v="80208"/>
    <s v="Melanie Morri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25"/>
    <s v="Navy Floral Light Halter"/>
    <n v="80208"/>
    <s v="Agata Wil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26"/>
    <s v="Navy Floral Light Halter"/>
    <n v="80208"/>
    <s v="Tess Craig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27"/>
    <s v="Navy Floral Light Halter"/>
    <n v="80208"/>
    <s v="Tess Fowl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28"/>
    <s v="Navy Floral Light Halter"/>
    <n v="80208"/>
    <s v="Eleanor Morga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29"/>
    <s v="Navy Floral Light Halter"/>
    <n v="80208"/>
    <s v="Kate Russell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30"/>
    <s v="Navy Floral Light Halter"/>
    <n v="80208"/>
    <s v="Aida Harp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31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32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33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34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35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36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37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38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39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40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41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42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43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44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45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46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47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48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49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50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51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52"/>
    <s v="Navy Floral Light Halter"/>
    <n v="80208"/>
    <s v="Joyce Bennett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53"/>
    <s v="Navy Floral Light Halter"/>
    <n v="80208"/>
    <s v="Honey Barrett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54"/>
    <s v="Navy Floral Light Halter"/>
    <n v="80208"/>
    <s v="Melissa Carroll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55"/>
    <s v="Navy Floral Light Halter"/>
    <n v="80208"/>
    <s v="Chloe Roger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56"/>
    <s v="Navy Floral Light Halter"/>
    <n v="80208"/>
    <s v="Tess Carroll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57"/>
    <s v="Navy Floral Light Halter"/>
    <n v="80208"/>
    <s v="Lucia Fergu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58"/>
    <s v="Navy Floral Light Halter"/>
    <n v="80208"/>
    <s v="Isabella Russell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59"/>
    <s v="Navy Floral Light Halter"/>
    <n v="80208"/>
    <s v="Deanna Well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60"/>
    <s v="Navy Floral Light Halter"/>
    <n v="80208"/>
    <s v="Carina Davi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61"/>
    <s v="Navy Floral Light Halter"/>
    <n v="80208"/>
    <s v="Michelle Hender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62"/>
    <s v="Navy Floral Light Halter"/>
    <n v="80208"/>
    <s v="Edith Owen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63"/>
    <s v="Navy Floral Light Halter"/>
    <n v="80208"/>
    <s v="Olivia Adam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64"/>
    <s v="Navy Floral Light Halter"/>
    <n v="80208"/>
    <s v="Alisa Hill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65"/>
    <s v="Navy Floral Light Halter"/>
    <n v="80208"/>
    <s v="Chloe Kelle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66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67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68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69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70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71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72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73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74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75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76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77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78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79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80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81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82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83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84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85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86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87"/>
    <s v="Navy Floral Light Halter"/>
    <n v="80208"/>
    <s v="Tiana Elli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88"/>
    <s v="Navy Floral Light Halter"/>
    <n v="80208"/>
    <s v="Vivian Tuck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89"/>
    <s v="Navy Floral Light Halter"/>
    <n v="80208"/>
    <s v="Vivian Marti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90"/>
    <s v="Navy Floral Light Halter"/>
    <n v="80208"/>
    <s v="Myra John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91"/>
    <s v="Navy Floral Light Halter"/>
    <n v="80208"/>
    <s v="Adelaide Lloyd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92"/>
    <s v="Navy Floral Light Halter"/>
    <n v="80208"/>
    <s v="Maddie Hender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93"/>
    <s v="Navy Floral Light Halter"/>
    <n v="80123"/>
    <s v="Emma Morri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94"/>
    <s v="Navy Floral Light Halter"/>
    <n v="80123"/>
    <s v="Lucia Moore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95"/>
    <s v="Navy Floral Light Halter"/>
    <n v="80123"/>
    <s v="Florrie Howard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96"/>
    <s v="Navy Floral Light Halter"/>
    <n v="80123"/>
    <s v="Violet Grant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97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98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599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00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01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02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03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04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05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06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07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08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09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10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11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12"/>
    <s v="Navy Floral Light Halter"/>
    <n v="80123"/>
    <s v="Adrianna Ros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13"/>
    <s v="Navy Floral Light Halter"/>
    <n v="80123"/>
    <s v="Kimberly Crawford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14"/>
    <s v="Navy Floral Light Halter"/>
    <n v="80123"/>
    <s v="Abigail Thoma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15"/>
    <s v="Navy Floral Light Halter"/>
    <n v="80123"/>
    <s v="Hailey Steven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16"/>
    <s v="Navy Floral Light Halter"/>
    <n v="80123"/>
    <s v="Kimberly Richard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17"/>
    <s v="Navy Floral Light Halter"/>
    <n v="80123"/>
    <s v="Lucia Cunningham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18"/>
    <s v="Navy Floral Light Halter"/>
    <n v="80123"/>
    <s v="Violet Alexander"/>
    <s v="Online Individual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619"/>
    <s v="Navy Floral Light Halter"/>
    <n v="80123"/>
    <s v="Melanie Turner"/>
    <s v="Online Individual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620"/>
    <s v="Navy Floral Light Halter"/>
    <n v="80123"/>
    <s v="Miley Hall"/>
    <s v="Online Individual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621"/>
    <s v="Navy Floral Light Halter"/>
    <n v="80123"/>
    <s v="Target"/>
    <s v="Retail Buyer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622"/>
    <s v="Navy Floral Light Halter"/>
    <n v="80123"/>
    <s v="Target"/>
    <s v="Retail Buyer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623"/>
    <s v="Navy Floral Light Halter"/>
    <n v="80123"/>
    <s v="Target"/>
    <s v="Retail Buyer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624"/>
    <s v="Navy Floral Light Halter"/>
    <n v="80123"/>
    <s v="Target"/>
    <s v="Retail Buyer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625"/>
    <s v="Navy Floral Light Halter"/>
    <n v="80123"/>
    <s v="Target"/>
    <s v="Retail Buyer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626"/>
    <s v="Navy Floral Light Halter"/>
    <n v="80123"/>
    <s v="Target"/>
    <s v="Retail Buyer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627"/>
    <s v="Navy Floral Light Halter"/>
    <n v="80123"/>
    <s v="Target"/>
    <s v="Retail Buyer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628"/>
    <s v="Navy Floral Light Halter"/>
    <n v="80123"/>
    <s v="Target"/>
    <s v="Retail Buyer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629"/>
    <s v="Navy Floral Light Halter"/>
    <n v="80123"/>
    <s v="Target"/>
    <s v="Retail Buyer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630"/>
    <s v="Navy Floral Light Halter"/>
    <n v="80123"/>
    <s v="Target"/>
    <s v="Retail Buyer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631"/>
    <s v="Navy Floral Light Halter"/>
    <n v="80123"/>
    <s v="Target"/>
    <s v="Retail Buyer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632"/>
    <s v="Navy Floral Light Halter"/>
    <n v="80123"/>
    <s v="Target"/>
    <s v="Retail Buyer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633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34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35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36"/>
    <s v="Navy Floral Light Halter"/>
    <n v="80123"/>
    <s v="Florrie Thoma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37"/>
    <s v="Navy Floral Light Halter"/>
    <n v="80123"/>
    <s v="Adelaide Marti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38"/>
    <s v="Navy Floral Light Halter"/>
    <n v="80123"/>
    <s v="Nicole Ros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39"/>
    <s v="Navy Floral Light Halter"/>
    <n v="80123"/>
    <s v="Julia Armstrong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40"/>
    <s v="Navy Floral Light Halter"/>
    <n v="80123"/>
    <s v="Naomi Montgomer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641"/>
    <s v="White Ellery Wedding Gown"/>
    <n v="33101"/>
    <s v="Alexia Williams"/>
    <s v="Online Individual"/>
    <n v="1"/>
    <s v="FEB"/>
    <x v="2"/>
    <s v="Female"/>
    <x v="1"/>
    <s v="Azerbaijan"/>
    <s v="Middle East"/>
    <n v="1200"/>
    <n v="2000"/>
    <n v="800"/>
    <x v="1"/>
    <x v="0"/>
    <x v="1"/>
    <x v="0"/>
  </r>
  <r>
    <s v="Sale"/>
    <x v="642"/>
    <s v="Black Crepe Business Jacket"/>
    <n v="90005"/>
    <s v="Anna Smith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43"/>
    <s v="Black Crepe Business Jacket"/>
    <n v="90005"/>
    <s v="Savana Brown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44"/>
    <s v="Black Crepe Business Jacket"/>
    <n v="90005"/>
    <s v="Vanessa Evans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45"/>
    <s v="Black Crepe Business Jacket"/>
    <n v="90005"/>
    <s v="Chelsea Murphy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46"/>
    <s v="Black Crepe Business Jacket"/>
    <n v="90005"/>
    <s v="Sophia Chapman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47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48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49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50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51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52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53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54"/>
    <s v="Black Crepe Business Jacket"/>
    <n v="90005"/>
    <s v="Alisa Ferguson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55"/>
    <s v="Black Crepe Business Jacket"/>
    <n v="90005"/>
    <s v="Mary Ferguson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56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57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58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59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60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61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62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63"/>
    <s v="Black Crepe Business Jacket"/>
    <n v="90005"/>
    <s v="Vivian Ellis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64"/>
    <s v="Black Crepe Business Jacket"/>
    <n v="90005"/>
    <s v="Lydia Hunt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65"/>
    <s v="Black Crepe Business Jacket"/>
    <n v="90005"/>
    <s v="Kate Turner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66"/>
    <s v="Black Crepe Business Jacket"/>
    <n v="90005"/>
    <s v="Alisa Carter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667"/>
    <s v="Carissa Cocktail Gown"/>
    <n v="33101"/>
    <s v="Heather Russell"/>
    <s v="Online Individual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68"/>
    <s v="Carissa Cocktail Gown"/>
    <n v="33101"/>
    <s v="Daisy Scott"/>
    <s v="Online Individual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69"/>
    <s v="Carissa Cocktail Gown"/>
    <n v="33101"/>
    <s v="Kirsten Harris"/>
    <s v="Online Individual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70"/>
    <s v="Carissa Cocktail Gown"/>
    <n v="33101"/>
    <s v="Arianna Thompson"/>
    <s v="Online Individual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71"/>
    <s v="Carissa Cocktail Gown"/>
    <n v="33101"/>
    <s v="Elise Edwards"/>
    <s v="Online Individual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72"/>
    <s v="Carissa Cocktail Gown"/>
    <n v="33101"/>
    <s v="Briony Clark"/>
    <s v="Online Individual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73"/>
    <s v="Carissa Cocktail Gown"/>
    <n v="33101"/>
    <s v="Rebecca Morris"/>
    <s v="Online Individual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74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75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76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77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78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79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80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81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82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83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84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85"/>
    <s v="Carissa Cocktail Gown"/>
    <n v="33101"/>
    <s v="Kate Thompson"/>
    <s v="Online Individual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86"/>
    <s v="Carissa Cocktail Gown"/>
    <n v="33101"/>
    <s v="Tara Ellis"/>
    <s v="Online Individual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87"/>
    <s v="Carissa Cocktail Gown"/>
    <n v="33101"/>
    <s v="Myra Farrell"/>
    <s v="Online Individual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88"/>
    <s v="Carissa Cocktail Gown"/>
    <n v="33101"/>
    <s v="Chloe Ellis"/>
    <s v="Online Individual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89"/>
    <s v="Carissa Cocktail Gown"/>
    <n v="33101"/>
    <s v="Caroline Farrell"/>
    <s v="Online Individual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90"/>
    <s v="Carissa Cocktail Gown"/>
    <n v="33101"/>
    <s v="Kelsey Reed"/>
    <s v="Online Individual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91"/>
    <s v="Navy Floral Light Halter"/>
    <n v="33101"/>
    <s v="Elise Hawkins"/>
    <s v="Online Individual"/>
    <n v="1"/>
    <s v="FEB"/>
    <x v="2"/>
    <s v="Female"/>
    <x v="0"/>
    <s v="Guatemala"/>
    <s v="Central America"/>
    <n v="25"/>
    <n v="30"/>
    <n v="5"/>
    <x v="1"/>
    <x v="0"/>
    <x v="1"/>
    <x v="1"/>
  </r>
  <r>
    <s v="Sale"/>
    <x v="692"/>
    <s v="Carissa Cocktail Gown"/>
    <n v="33101"/>
    <s v="Lana Baker"/>
    <s v="Online Individual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93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94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95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96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97"/>
    <s v="Carissa Cocktail Gown"/>
    <n v="33101"/>
    <s v="Neiman Marcus"/>
    <s v="Retail Buyer"/>
    <n v="1"/>
    <s v="FEB"/>
    <x v="2"/>
    <s v="Female"/>
    <x v="1"/>
    <s v="Iran"/>
    <s v="Middle East"/>
    <n v="75"/>
    <n v="125"/>
    <n v="50"/>
    <x v="1"/>
    <x v="0"/>
    <x v="1"/>
    <x v="0"/>
  </r>
  <r>
    <s v="Sale"/>
    <x v="698"/>
    <s v="White Ellery Wedding Gown"/>
    <n v="33101"/>
    <s v="Neiman Marcus"/>
    <s v="Retail Buyer"/>
    <n v="1"/>
    <s v="FEB"/>
    <x v="2"/>
    <s v="Female"/>
    <x v="1"/>
    <s v="Azerbaijan"/>
    <s v="Middle East"/>
    <n v="1200"/>
    <n v="2000"/>
    <n v="800"/>
    <x v="1"/>
    <x v="0"/>
    <x v="1"/>
    <x v="0"/>
  </r>
  <r>
    <s v="Sale"/>
    <x v="699"/>
    <s v="Carissa Cocktail Gown"/>
    <n v="33101"/>
    <s v="Lydia Owen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00"/>
    <s v="Carissa Cocktail Gown"/>
    <n v="33101"/>
    <s v="Briony Armstrong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01"/>
    <s v="Carissa Cocktail Gown"/>
    <n v="33101"/>
    <s v="Ali Gib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02"/>
    <s v="Carissa Cocktail Gown"/>
    <n v="33101"/>
    <s v="Connie Harper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03"/>
    <s v="Carissa Cocktail Gown"/>
    <n v="33125"/>
    <s v="Amy Elli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04"/>
    <s v="Carissa Cocktail Gown"/>
    <n v="33125"/>
    <s v="Abigail Roger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05"/>
    <s v="Carissa Cocktail Gown"/>
    <n v="33125"/>
    <s v="Emily Tucker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06"/>
    <s v="Carissa Cocktail Gown"/>
    <n v="33125"/>
    <s v="Honua Tho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07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08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09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10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11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12"/>
    <s v="Navy Floral Light Halter"/>
    <n v="33125"/>
    <s v="Kohls"/>
    <s v="Retail Buyer"/>
    <n v="1"/>
    <s v="MAR"/>
    <x v="2"/>
    <s v="Female"/>
    <x v="0"/>
    <s v="Guatemala"/>
    <s v="Central America"/>
    <n v="25"/>
    <n v="30"/>
    <n v="5"/>
    <x v="1"/>
    <x v="0"/>
    <x v="1"/>
    <x v="1"/>
  </r>
  <r>
    <s v="Sale"/>
    <x v="713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14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715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716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717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718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719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720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721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22"/>
    <s v="Carissa Cocktail Gown"/>
    <n v="33125"/>
    <s v="Rubie Murphy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23"/>
    <s v="Red Poplin Summer Dress"/>
    <n v="33125"/>
    <s v="Kohls"/>
    <s v="Retail Buyer"/>
    <n v="1"/>
    <s v="MAR"/>
    <x v="2"/>
    <s v="Female"/>
    <x v="0"/>
    <s v="Honduras"/>
    <s v="Central America"/>
    <n v="30"/>
    <n v="45"/>
    <n v="15"/>
    <x v="1"/>
    <x v="0"/>
    <x v="1"/>
    <x v="0"/>
  </r>
  <r>
    <s v="Sale"/>
    <x v="724"/>
    <s v="Carissa Cocktail Gown"/>
    <n v="33125"/>
    <s v="Janice Harkin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25"/>
    <s v="Carissa Cocktail Gown"/>
    <n v="33125"/>
    <s v="Lydia Perry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26"/>
    <s v="Carissa Cocktail Gown"/>
    <n v="33125"/>
    <s v="Maddie Gray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27"/>
    <s v="Carissa Cocktail Gown"/>
    <n v="33125"/>
    <s v="Isabella Campbell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28"/>
    <s v="Carissa Cocktail Gown"/>
    <n v="33125"/>
    <s v="Olivia Cunningham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29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30"/>
    <s v="Black Crepe Business Jacket"/>
    <n v="90005"/>
    <s v="Paige Mitchell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731"/>
    <s v="Black Crepe Business Jacket"/>
    <n v="33159"/>
    <s v="Neiman Marcus"/>
    <s v="Retail Buyer"/>
    <n v="1"/>
    <s v="MAR"/>
    <x v="2"/>
    <s v="Female"/>
    <x v="1"/>
    <s v="Afghanistan"/>
    <s v="Middle East"/>
    <n v="150"/>
    <n v="75"/>
    <n v="-75"/>
    <x v="1"/>
    <x v="0"/>
    <x v="1"/>
    <x v="1"/>
  </r>
  <r>
    <s v="Sale"/>
    <x v="732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33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34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35"/>
    <s v="Carissa Cocktail Gown"/>
    <n v="33159"/>
    <s v="Charlotte Scott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36"/>
    <s v="Carissa Cocktail Gown"/>
    <n v="33159"/>
    <s v="Melissa Dougla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37"/>
    <s v="Carissa Cocktail Gown"/>
    <n v="33159"/>
    <s v="Alberta Edward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38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39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40"/>
    <s v="Black Crepe Business Jacket"/>
    <n v="90005"/>
    <s v="Camila Nelson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741"/>
    <s v="Black Crepe Business Jacket"/>
    <n v="90005"/>
    <s v="Myra Murphy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742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43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44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45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46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47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48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49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50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51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52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53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54"/>
    <s v="Carissa Cocktail Gown"/>
    <n v="33159"/>
    <s v="Natalie Harrison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55"/>
    <s v="White Ellery Wedding Gown"/>
    <n v="33159"/>
    <s v="Tess Dixon"/>
    <s v="Online Individual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756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57"/>
    <s v="White Ellery Wedding Gown"/>
    <n v="33159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758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59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60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61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62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63"/>
    <s v="Black Crepe Business Jacket"/>
    <n v="90005"/>
    <s v="Sydney Harris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764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65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766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67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768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69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70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71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72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73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74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775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776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777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778"/>
    <s v="Black Crepe Business Jacket"/>
    <n v="90005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779"/>
    <s v="Carissa Cocktail Gown"/>
    <n v="33159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780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81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82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83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84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85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86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87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88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89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90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91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92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93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94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95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96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97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98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799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00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01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02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03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04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05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06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07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08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09"/>
    <s v="Susy Winter Coat"/>
    <n v="10001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10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11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12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13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14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15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16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17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18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19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20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21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22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23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24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25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26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27"/>
    <s v="Susy Winter Coat"/>
    <n v="10022"/>
    <s v="Barneys New York"/>
    <s v="Retail Buyer"/>
    <n v="1"/>
    <s v="JAN"/>
    <x v="1"/>
    <s v="Female"/>
    <x v="2"/>
    <s v="Romania"/>
    <s v="Eastern Europe"/>
    <n v="350"/>
    <n v="450"/>
    <n v="100"/>
    <x v="1"/>
    <x v="1"/>
    <x v="1"/>
    <x v="0"/>
  </r>
  <r>
    <s v="Sale"/>
    <x v="828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29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30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31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32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33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34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35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36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37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38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39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40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41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42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43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44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45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46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47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48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49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50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51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52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53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54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55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56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57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58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59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60"/>
    <s v="Susy Winter Coat"/>
    <n v="10022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861"/>
    <s v="Red Poplin Summer Dress"/>
    <n v="90005"/>
    <s v="Mary Kelly"/>
    <s v="Online Individual"/>
    <n v="1"/>
    <s v="FEB"/>
    <x v="0"/>
    <s v="Female"/>
    <x v="0"/>
    <s v="Honduras"/>
    <s v="Central America"/>
    <n v="30"/>
    <n v="45"/>
    <n v="15"/>
    <x v="0"/>
    <x v="0"/>
    <x v="0"/>
    <x v="0"/>
  </r>
  <r>
    <s v="Sale"/>
    <x v="862"/>
    <s v="Red Poplin Summer Dress"/>
    <n v="90005"/>
    <s v="Ryan Evans"/>
    <s v="Online Individual"/>
    <n v="1"/>
    <s v="FEB"/>
    <x v="0"/>
    <s v="Female"/>
    <x v="0"/>
    <s v="Honduras"/>
    <s v="Central America"/>
    <n v="30"/>
    <n v="45"/>
    <n v="15"/>
    <x v="0"/>
    <x v="0"/>
    <x v="0"/>
    <x v="0"/>
  </r>
  <r>
    <s v="Sale"/>
    <x v="863"/>
    <s v="Black Crepe Business Jacket"/>
    <n v="90005"/>
    <s v="Ashton Watson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864"/>
    <s v="Red Poplin Summer Dress"/>
    <n v="90005"/>
    <s v="Olivia Miller"/>
    <s v="Online Individual"/>
    <n v="1"/>
    <s v="MAR"/>
    <x v="0"/>
    <s v="Female"/>
    <x v="0"/>
    <s v="Honduras"/>
    <s v="Central America"/>
    <n v="30"/>
    <n v="45"/>
    <n v="15"/>
    <x v="0"/>
    <x v="0"/>
    <x v="0"/>
    <x v="0"/>
  </r>
  <r>
    <s v="Sale"/>
    <x v="865"/>
    <s v="Black Crepe Business Jacket"/>
    <n v="90005"/>
    <s v="Robert Roberts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866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867"/>
    <s v="Red Poplin Summer Dress"/>
    <n v="10022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868"/>
    <s v="Red Poplin Summer Dress"/>
    <n v="10022"/>
    <s v="Jenna Mill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869"/>
    <s v="Red Poplin Summer Dress"/>
    <n v="10022"/>
    <s v="Lana Bennett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870"/>
    <s v="Red Poplin Summer Dress"/>
    <n v="10022"/>
    <s v="Thomas Mitchell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871"/>
    <s v="Red Poplin Summer Dress"/>
    <n v="10022"/>
    <s v="Mike Perry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872"/>
    <s v="Red Poplin Summer Dress"/>
    <n v="10022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873"/>
    <s v="Red Poplin Summer Dress"/>
    <n v="10022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874"/>
    <s v="Red Poplin Summer Dress"/>
    <n v="10022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875"/>
    <s v="Red Poplin Summer Dress"/>
    <n v="10022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876"/>
    <s v="Red Poplin Summer Dress"/>
    <n v="10022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877"/>
    <s v="Red Poplin Summer Dress"/>
    <n v="10022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878"/>
    <s v="Red Poplin Summer Dress"/>
    <n v="10022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879"/>
    <s v="Red Poplin Summer Dress"/>
    <n v="10022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880"/>
    <s v="Black Crepe Business Jacket"/>
    <n v="90005"/>
    <s v="Eleanor Clark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881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882"/>
    <s v="Black Crepe Business Jacket"/>
    <n v="90005"/>
    <s v="Bruce Myers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883"/>
    <s v="White Ellery Wedding Gown"/>
    <n v="33101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884"/>
    <s v="Black Crepe Business Jacket"/>
    <n v="90005"/>
    <s v="Paige Murray"/>
    <s v="Online Individual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885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886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887"/>
    <s v="Carissa Cocktail Gown"/>
    <n v="33101"/>
    <s v="Bruce Payne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888"/>
    <s v="Carissa Cocktail Gown"/>
    <n v="33101"/>
    <s v="Ted Jone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889"/>
    <s v="Carissa Cocktail Gown"/>
    <n v="33101"/>
    <s v="Julian Edward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890"/>
    <s v="Carissa Cocktail Gown"/>
    <n v="33101"/>
    <s v="Kellan Ryan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891"/>
    <s v="Carissa Cocktail Gown"/>
    <n v="33101"/>
    <s v="Carl Moore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892"/>
    <s v="Carissa Cocktail Gown"/>
    <n v="33101"/>
    <s v="David Davi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893"/>
    <s v="Carissa Cocktail Gown"/>
    <n v="33101"/>
    <s v="Amelia Elli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894"/>
    <s v="Carissa Cocktail Gown"/>
    <n v="33101"/>
    <s v="Amber Cameron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895"/>
    <s v="Carissa Cocktail Gown"/>
    <n v="33101"/>
    <s v="Steven Casey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896"/>
    <s v="Carissa Cocktail Gown"/>
    <n v="33101"/>
    <s v="Edwin Cole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897"/>
    <s v="Carissa Cocktail Gown"/>
    <n v="33101"/>
    <s v="Martin Ros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898"/>
    <s v="Carissa Cocktail Gown"/>
    <n v="33101"/>
    <s v="Emily Well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899"/>
    <s v="Carissa Cocktail Gown"/>
    <n v="33101"/>
    <s v="Kellan Johnson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00"/>
    <s v="Carissa Cocktail Gown"/>
    <n v="33101"/>
    <s v="Adelaide Johnston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01"/>
    <s v="Carissa Cocktail Gown"/>
    <n v="33101"/>
    <s v="Amy Moore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02"/>
    <s v="Carissa Cocktail Gown"/>
    <n v="33101"/>
    <s v="Martin Scott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03"/>
    <s v="Carissa Cocktail Gown"/>
    <n v="33101"/>
    <s v="Oliver Baker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04"/>
    <s v="Carissa Cocktail Gown"/>
    <n v="33101"/>
    <s v="Naomi Wilson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05"/>
    <s v="Carissa Cocktail Gown"/>
    <n v="33101"/>
    <s v="Abraham Cole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06"/>
    <s v="Carissa Cocktail Gown"/>
    <n v="33101"/>
    <s v="Jared Robinson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07"/>
    <s v="Carissa Cocktail Gown"/>
    <n v="33101"/>
    <s v="Daniel Payne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08"/>
    <s v="Carissa Cocktail Gown"/>
    <n v="33101"/>
    <s v="Aston Richardson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09"/>
    <s v="Carissa Cocktail Gown"/>
    <n v="33101"/>
    <s v="Oscar Cameron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10"/>
    <s v="Carissa Cocktail Gown"/>
    <n v="33101"/>
    <s v="Myra Taylor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11"/>
    <s v="Carissa Cocktail Gown"/>
    <n v="33101"/>
    <s v="Owen Lloyd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12"/>
    <s v="Carissa Cocktail Gown"/>
    <n v="33101"/>
    <s v="Adrian Moore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13"/>
    <s v="Carissa Cocktail Gown"/>
    <n v="33101"/>
    <s v="Jordan Elliott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14"/>
    <s v="Carissa Cocktail Gown"/>
    <n v="33101"/>
    <s v="Honey Johnston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15"/>
    <s v="Carissa Cocktail Gown"/>
    <n v="33101"/>
    <s v="Tyler Cole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16"/>
    <s v="Carissa Cocktail Gown"/>
    <n v="33101"/>
    <s v="Brooke Russell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17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18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19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20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21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22"/>
    <s v="Navy Floral Light Halter"/>
    <n v="33101"/>
    <s v="Fiona Russell"/>
    <s v="Online Individual"/>
    <n v="1"/>
    <s v="MAR"/>
    <x v="2"/>
    <s v="Female"/>
    <x v="0"/>
    <s v="Guatemala"/>
    <s v="Central America"/>
    <n v="25"/>
    <n v="30"/>
    <n v="5"/>
    <x v="1"/>
    <x v="0"/>
    <x v="1"/>
    <x v="1"/>
  </r>
  <r>
    <s v="Sale"/>
    <x v="923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24"/>
    <s v="Navy Floral Light Halter"/>
    <n v="33101"/>
    <s v="Aston Casey"/>
    <s v="Online Individual"/>
    <n v="1"/>
    <s v="MAR"/>
    <x v="2"/>
    <s v="Female"/>
    <x v="0"/>
    <s v="Guatemala"/>
    <s v="Central America"/>
    <n v="25"/>
    <n v="30"/>
    <n v="5"/>
    <x v="1"/>
    <x v="0"/>
    <x v="1"/>
    <x v="1"/>
  </r>
  <r>
    <s v="Sale"/>
    <x v="925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26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27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28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29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30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31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32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33"/>
    <s v="Carissa Cocktail Gown"/>
    <n v="33101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34"/>
    <s v="Carissa Cocktail Gown"/>
    <n v="33101"/>
    <s v="Edgar Scott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35"/>
    <s v="Carissa Cocktail Gown"/>
    <n v="33101"/>
    <s v="Elian Well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36"/>
    <s v="Carissa Cocktail Gown"/>
    <n v="33101"/>
    <s v="Nordstrom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37"/>
    <s v="Carissa Cocktail Gown"/>
    <n v="33101"/>
    <s v="Nordstrom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38"/>
    <s v="Carissa Cocktail Gown"/>
    <n v="33101"/>
    <s v="Nordstrom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39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40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41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42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43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44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45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46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47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48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49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50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51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52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53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54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55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56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57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58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59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60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61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62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63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64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65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66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67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68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69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70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71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72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73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74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75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76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77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78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79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80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81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82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83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84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85"/>
    <s v="Susy Winter Coat"/>
    <n v="10013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986"/>
    <s v="Carissa Cocktail Gown"/>
    <n v="33125"/>
    <s v="Ted Russell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987"/>
    <s v="White Ellery Wedding Gown"/>
    <n v="33125"/>
    <s v="Carlos Lloyd"/>
    <s v="Online Individual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988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989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990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991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992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993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994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995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996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997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998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999"/>
    <s v="Carissa Cocktail Gown"/>
    <n v="33125"/>
    <s v="Honey Thoma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00"/>
    <s v="Carissa Cocktail Gown"/>
    <n v="33125"/>
    <s v="Paul Reed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01"/>
    <s v="Carissa Cocktail Gown"/>
    <n v="33125"/>
    <s v="Derek Tucker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02"/>
    <s v="Carissa Cocktail Gown"/>
    <n v="33125"/>
    <s v="Blake Murphy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03"/>
    <s v="Carissa Cocktail Gown"/>
    <n v="33125"/>
    <s v="Nordstrom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04"/>
    <s v="Carissa Cocktail Gown"/>
    <n v="33125"/>
    <s v="Nordstrom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05"/>
    <s v="Carissa Cocktail Gown"/>
    <n v="33125"/>
    <s v="Nordstrom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06"/>
    <s v="Carissa Cocktail Gown"/>
    <n v="33125"/>
    <s v="Nordstrom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07"/>
    <s v="Carissa Cocktail Gown"/>
    <n v="33125"/>
    <s v="James Brook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08"/>
    <s v="Carissa Cocktail Gown"/>
    <n v="33125"/>
    <s v="Deanna Martin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09"/>
    <s v="Carissa Cocktail Gown"/>
    <n v="33125"/>
    <s v="Alan West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10"/>
    <s v="Carissa Cocktail Gown"/>
    <n v="33125"/>
    <s v="Valeria Perkin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11"/>
    <s v="Carissa Cocktail Gown"/>
    <n v="33125"/>
    <s v="Eleanor Carter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12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13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14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1015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1016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1017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1018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1019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1020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1021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1022"/>
    <s v="White Ellery Wedding Gown"/>
    <n v="33125"/>
    <s v="Cherry Holmes"/>
    <s v="Online Individual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1023"/>
    <s v="White Ellery Wedding Gown"/>
    <n v="33125"/>
    <s v="Amanda Morrison"/>
    <s v="Online Individual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1024"/>
    <s v="White Ellery Wedding Gown"/>
    <n v="33125"/>
    <s v="Alisa Jones"/>
    <s v="Online Individual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1025"/>
    <s v="Carissa Cocktail Gown"/>
    <n v="33125"/>
    <s v="Lilianna Barrett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26"/>
    <s v="Carissa Cocktail Gown"/>
    <n v="33125"/>
    <s v="Nordstrom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27"/>
    <s v="Carissa Cocktail Gown"/>
    <n v="33125"/>
    <s v="Nordstrom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28"/>
    <s v="Carissa Cocktail Gown"/>
    <n v="33125"/>
    <s v="Nordstrom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29"/>
    <s v="Carissa Cocktail Gown"/>
    <n v="33125"/>
    <s v="Deanna Johnston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30"/>
    <s v="Carissa Cocktail Gown"/>
    <n v="33125"/>
    <s v="Sydney Wright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31"/>
    <s v="Carissa Cocktail Gown"/>
    <n v="33125"/>
    <s v="Savana Holme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32"/>
    <s v="Carissa Cocktail Gown"/>
    <n v="33125"/>
    <s v="Lana Alexander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33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34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35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36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37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38"/>
    <s v="White Ellery Wedding Gown"/>
    <n v="33125"/>
    <s v="Neiman Marcus"/>
    <s v="Retail Buyer"/>
    <n v="1"/>
    <s v="MAR"/>
    <x v="2"/>
    <s v="Female"/>
    <x v="1"/>
    <s v="Azerbaijan"/>
    <s v="Middle East"/>
    <n v="1200"/>
    <n v="2000"/>
    <n v="800"/>
    <x v="1"/>
    <x v="0"/>
    <x v="1"/>
    <x v="0"/>
  </r>
  <r>
    <s v="Sale"/>
    <x v="1039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40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41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42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43"/>
    <s v="Carissa Cocktail Gown"/>
    <n v="33125"/>
    <s v="Neiman Marcus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44"/>
    <s v="Carissa Cocktail Gown"/>
    <n v="33125"/>
    <s v="Fiona Hill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45"/>
    <s v="Carissa Cocktail Gown"/>
    <n v="33125"/>
    <s v="Paige Harrison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46"/>
    <s v="Carissa Cocktail Gown"/>
    <n v="33125"/>
    <s v="Adelaide Murray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47"/>
    <s v="Carissa Cocktail Gown"/>
    <n v="33125"/>
    <s v="Adrianna Gray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48"/>
    <s v="Carissa Cocktail Gown"/>
    <n v="33125"/>
    <s v="Nordstrom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49"/>
    <s v="Carissa Cocktail Gown"/>
    <n v="33125"/>
    <s v="Lily Spencer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50"/>
    <s v="Carissa Cocktail Gown"/>
    <n v="33125"/>
    <s v="Nordstrom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51"/>
    <s v="Carissa Cocktail Gown"/>
    <n v="33125"/>
    <s v="Nordstrom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52"/>
    <s v="Carissa Cocktail Gown"/>
    <n v="33125"/>
    <s v="Nordstrom"/>
    <s v="Retail Buyer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53"/>
    <s v="Carissa Cocktail Gown"/>
    <n v="33125"/>
    <s v="Rubie Harri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54"/>
    <s v="Carissa Cocktail Gown"/>
    <n v="33125"/>
    <s v="Savana Hall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55"/>
    <s v="Carissa Cocktail Gown"/>
    <n v="33125"/>
    <s v="Melanie Owens"/>
    <s v="Online Individual"/>
    <n v="1"/>
    <s v="MAR"/>
    <x v="2"/>
    <s v="Female"/>
    <x v="1"/>
    <s v="Iran"/>
    <s v="Middle East"/>
    <n v="75"/>
    <n v="125"/>
    <n v="50"/>
    <x v="1"/>
    <x v="0"/>
    <x v="1"/>
    <x v="0"/>
  </r>
  <r>
    <s v="Sale"/>
    <x v="1056"/>
    <s v="Navy Floral Light Halter"/>
    <n v="80123"/>
    <s v="Alberta Robin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57"/>
    <s v="Navy Floral Light Halter"/>
    <n v="80123"/>
    <s v="Ema Mill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58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59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60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61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62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63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64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65"/>
    <s v="Red Poplin Summer Dress"/>
    <n v="80123"/>
    <s v="Target"/>
    <s v="Retail Buyer"/>
    <n v="1"/>
    <s v="JAN"/>
    <x v="3"/>
    <s v="Female"/>
    <x v="0"/>
    <s v="Honduras"/>
    <s v="Central America"/>
    <n v="30"/>
    <n v="45"/>
    <n v="15"/>
    <x v="0"/>
    <x v="0"/>
    <x v="0"/>
    <x v="0"/>
  </r>
  <r>
    <s v="Sale"/>
    <x v="1066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67"/>
    <s v="Navy Floral Light Halter"/>
    <n v="80123"/>
    <s v="Lucy Andrew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68"/>
    <s v="Navy Floral Light Halter"/>
    <n v="80123"/>
    <s v="Heather Andrew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69"/>
    <s v="Navy Floral Light Halter"/>
    <n v="80123"/>
    <s v="Maya Ma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70"/>
    <s v="Navy Floral Light Halter"/>
    <n v="80123"/>
    <s v="Valeria Reed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71"/>
    <s v="Navy Floral Light Halter"/>
    <n v="80123"/>
    <s v="Ada Moore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72"/>
    <s v="Navy Floral Light Halter"/>
    <n v="80123"/>
    <s v="Grace Johnst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73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74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75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76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77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78"/>
    <s v="Red Poplin Summer Dress"/>
    <n v="80123"/>
    <s v="Macys"/>
    <s v="Retail Buyer"/>
    <n v="1"/>
    <s v="JAN"/>
    <x v="3"/>
    <s v="Female"/>
    <x v="0"/>
    <s v="Honduras"/>
    <s v="Central America"/>
    <n v="30"/>
    <n v="45"/>
    <n v="15"/>
    <x v="0"/>
    <x v="0"/>
    <x v="0"/>
    <x v="0"/>
  </r>
  <r>
    <s v="Sale"/>
    <x v="1079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80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81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82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83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84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85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86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87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88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89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90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91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92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93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94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95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96"/>
    <s v="Navy Floral Light Halter"/>
    <n v="80123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97"/>
    <s v="Navy Floral Light Halter"/>
    <n v="80123"/>
    <s v="Sabrina Rya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98"/>
    <s v="Navy Floral Light Halter"/>
    <n v="80123"/>
    <s v="Penelope Armstrong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099"/>
    <s v="Navy Floral Light Halter"/>
    <n v="80123"/>
    <s v="Maya Wright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00"/>
    <s v="Navy Floral Light Halter"/>
    <n v="80123"/>
    <s v="Lilianna Cart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01"/>
    <s v="Navy Floral Light Halter"/>
    <n v="80123"/>
    <s v="Melissa Scott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02"/>
    <s v="Navy Floral Light Halter"/>
    <n v="80123"/>
    <s v="Ellia Hender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03"/>
    <s v="Navy Floral Light Halter"/>
    <n v="80123"/>
    <s v="Lydia Russell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04"/>
    <s v="Navy Floral Light Halter"/>
    <n v="80123"/>
    <s v="Alisa Kelle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05"/>
    <s v="Navy Floral Light Halter"/>
    <n v="80123"/>
    <s v="Michelle Barne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06"/>
    <s v="Navy Floral Light Halter"/>
    <n v="80123"/>
    <s v="Miley Reed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07"/>
    <s v="Navy Floral Light Halter"/>
    <n v="80123"/>
    <s v="Olivia Camer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08"/>
    <s v="Navy Floral Light Halter"/>
    <n v="80123"/>
    <s v="Kate William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09"/>
    <s v="Navy Floral Light Halter"/>
    <n v="80123"/>
    <s v="Naomi Adam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10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11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12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13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14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15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16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17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18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19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20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21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22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23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24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25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26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27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28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29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30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31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32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33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34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35"/>
    <s v="Navy Floral Light Halter"/>
    <n v="80123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36"/>
    <s v="Navy Floral Light Halter"/>
    <n v="80123"/>
    <s v="Neiman Marcu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37"/>
    <s v="Navy Floral Light Halter"/>
    <n v="80123"/>
    <s v="Neiman Marcu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38"/>
    <s v="Navy Floral Light Halter"/>
    <n v="80123"/>
    <s v="Neiman Marcu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39"/>
    <s v="Navy Floral Light Halter"/>
    <n v="80123"/>
    <s v="Neiman Marcu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40"/>
    <s v="Navy Floral Light Halter"/>
    <n v="80123"/>
    <s v="Neiman Marcu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41"/>
    <s v="Navy Floral Light Halter"/>
    <n v="80123"/>
    <s v="Neiman Marcu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142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43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44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45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46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47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48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49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50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51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52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53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54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55"/>
    <s v="Red Poplin Summer Dress"/>
    <n v="10001"/>
    <s v="Emma Farrell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56"/>
    <s v="Red Poplin Summer Dress"/>
    <n v="10001"/>
    <s v="Samantha Chapman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57"/>
    <s v="Red Poplin Summer Dress"/>
    <n v="10001"/>
    <s v="Joyce Mill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58"/>
    <s v="Red Poplin Summer Dress"/>
    <n v="10001"/>
    <s v="Connie Mitchell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59"/>
    <s v="Red Poplin Summer Dress"/>
    <n v="10001"/>
    <s v="Joyce Hill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60"/>
    <s v="Red Poplin Summer Dress"/>
    <n v="10001"/>
    <s v="Alissa Cart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61"/>
    <s v="Red Poplin Summer Dress"/>
    <n v="10001"/>
    <s v="Adelaide West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62"/>
    <s v="Red Poplin Summer Dress"/>
    <n v="10001"/>
    <s v="Gianna Murray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63"/>
    <s v="Red Poplin Summer Dress"/>
    <n v="10001"/>
    <s v="Valeria Fost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64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65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66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67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68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69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70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71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72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73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74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75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76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77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178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79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80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81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82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83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84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85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86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87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88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89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90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91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92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93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94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95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96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97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98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199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00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01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02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03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04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05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06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07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08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09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10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11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12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13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14"/>
    <s v="Susy Winter Coat"/>
    <n v="10001"/>
    <s v="Barneys New York"/>
    <s v="Retail Buyer"/>
    <n v="1"/>
    <s v="FEB"/>
    <x v="1"/>
    <s v="Female"/>
    <x v="2"/>
    <s v="Romania"/>
    <s v="Eastern Europe"/>
    <n v="350"/>
    <n v="450"/>
    <n v="100"/>
    <x v="1"/>
    <x v="1"/>
    <x v="1"/>
    <x v="0"/>
  </r>
  <r>
    <s v="Sale"/>
    <x v="1215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16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17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18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19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20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21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22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23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24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25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26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27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28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29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30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31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32"/>
    <s v="Susy Winter Coat"/>
    <n v="10001"/>
    <s v="Barneys New York"/>
    <s v="Retail Buyer"/>
    <n v="1"/>
    <s v="MAR"/>
    <x v="1"/>
    <s v="Female"/>
    <x v="2"/>
    <s v="Romania"/>
    <s v="Eastern Europe"/>
    <n v="350"/>
    <n v="450"/>
    <n v="100"/>
    <x v="1"/>
    <x v="1"/>
    <x v="1"/>
    <x v="0"/>
  </r>
  <r>
    <s v="Sale"/>
    <x v="1233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34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35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36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37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38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39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40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41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42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43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44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45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46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47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48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49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50"/>
    <s v="Red Poplin Summer Dress"/>
    <n v="10001"/>
    <s v="Connie Hawkin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51"/>
    <s v="Red Poplin Summer Dress"/>
    <n v="10001"/>
    <s v="Honey Sullivan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52"/>
    <s v="Red Poplin Summer Dress"/>
    <n v="10001"/>
    <s v="Connie Murphy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53"/>
    <s v="Red Poplin Summer Dress"/>
    <n v="10001"/>
    <s v="Myrada Sull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54"/>
    <s v="Red Poplin Summer Dress"/>
    <n v="10001"/>
    <s v="Tara Edward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55"/>
    <s v="Red Poplin Summer Dress"/>
    <n v="10001"/>
    <s v="Cadie Crawford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56"/>
    <s v="Red Poplin Summer Dress"/>
    <n v="10001"/>
    <s v="Alina Barne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57"/>
    <s v="Red Poplin Summer Dress"/>
    <n v="10001"/>
    <s v="Cherry Cunningham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58"/>
    <s v="Red Poplin Summer Dress"/>
    <n v="10001"/>
    <s v="Alexia Scott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59"/>
    <s v="Red Poplin Summer Dress"/>
    <n v="10001"/>
    <s v="Chloe Thompson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60"/>
    <s v="Red Poplin Summer Dress"/>
    <n v="10001"/>
    <s v="Rebecca Gray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61"/>
    <s v="Red Poplin Summer Dress"/>
    <n v="10001"/>
    <s v="Kimberly Mason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62"/>
    <s v="Red Poplin Summer Dress"/>
    <n v="10001"/>
    <s v="Hailey Morrison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63"/>
    <s v="Red Poplin Summer Dress"/>
    <n v="10001"/>
    <s v="Audrey Crawford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64"/>
    <s v="Red Poplin Summer Dress"/>
    <n v="10001"/>
    <s v="Michelle Perry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65"/>
    <s v="Red Poplin Summer Dress"/>
    <n v="10001"/>
    <s v="Brianna Harp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66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67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68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69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70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71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72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73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74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75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76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77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78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79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80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81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82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83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84"/>
    <s v="Red Poplin Summer Dress"/>
    <n v="10001"/>
    <s v="Lucy Montgomery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85"/>
    <s v="Red Poplin Summer Dress"/>
    <n v="10001"/>
    <s v="Mary Lloyd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86"/>
    <s v="Red Poplin Summer Dress"/>
    <n v="10001"/>
    <s v="Savana Farrell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87"/>
    <s v="Red Poplin Summer Dress"/>
    <n v="10001"/>
    <s v="Arianna Davi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88"/>
    <s v="Red Poplin Summer Dress"/>
    <n v="10001"/>
    <s v="Tess Harp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89"/>
    <s v="Red Poplin Summer Dress"/>
    <n v="10001"/>
    <s v="Natalie Jone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90"/>
    <s v="Red Poplin Summer Dress"/>
    <n v="10001"/>
    <s v="Naomi Spenc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91"/>
    <s v="Red Poplin Summer Dress"/>
    <n v="10001"/>
    <s v="Florrie Riley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92"/>
    <s v="Red Poplin Summer Dress"/>
    <n v="10001"/>
    <s v="Darcy Lloyd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93"/>
    <s v="Red Poplin Summer Dress"/>
    <n v="10001"/>
    <s v="Darcy Roger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94"/>
    <s v="Red Poplin Summer Dress"/>
    <n v="10001"/>
    <s v="Darcy Robert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95"/>
    <s v="Red Poplin Summer Dress"/>
    <n v="10001"/>
    <s v="Charlotte Russell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96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97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98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299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00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01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02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03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04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05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06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07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08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09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10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11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12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13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14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15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16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17"/>
    <s v="Red Poplin Summer Dress"/>
    <n v="10001"/>
    <s v="JCPenney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18"/>
    <s v="Red Poplin Summer Dress"/>
    <n v="10001"/>
    <s v="Maddie Park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19"/>
    <s v="Red Poplin Summer Dress"/>
    <n v="10001"/>
    <s v="Lilianna Elli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20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21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22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23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24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25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26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27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28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29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30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31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32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33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34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35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36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37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38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39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40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41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42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43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44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45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46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47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48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49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50"/>
    <s v="Red Poplin Summer Dress"/>
    <n v="10001"/>
    <s v="Miley Walk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51"/>
    <s v="Red Poplin Summer Dress"/>
    <n v="10001"/>
    <s v="Madaline Park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52"/>
    <s v="Red Poplin Summer Dress"/>
    <n v="10001"/>
    <s v="April Andrew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53"/>
    <s v="Red Poplin Summer Dress"/>
    <n v="10001"/>
    <s v="Savana Payne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54"/>
    <s v="Red Poplin Summer Dress"/>
    <n v="10001"/>
    <s v="Rebecca Jone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55"/>
    <s v="Red Poplin Summer Dress"/>
    <n v="10001"/>
    <s v="Myra Morri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56"/>
    <s v="Red Poplin Summer Dress"/>
    <n v="10001"/>
    <s v="Violet Russell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57"/>
    <s v="Red Poplin Summer Dress"/>
    <n v="10001"/>
    <s v="Sabrina Harrison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58"/>
    <s v="Red Poplin Summer Dress"/>
    <n v="10001"/>
    <s v="Alberta Smith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59"/>
    <s v="Red Poplin Summer Dress"/>
    <n v="10001"/>
    <s v="Evelyn Watson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60"/>
    <s v="Red Poplin Summer Dress"/>
    <n v="10001"/>
    <s v="Alina Gibson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61"/>
    <s v="Red Poplin Summer Dress"/>
    <n v="10001"/>
    <s v="Rebecca Ferguson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62"/>
    <s v="Red Poplin Summer Dress"/>
    <n v="10001"/>
    <s v="Rubie Payne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63"/>
    <s v="Red Poplin Summer Dress"/>
    <n v="10001"/>
    <s v="Carina Harrison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64"/>
    <s v="Red Poplin Summer Dress"/>
    <n v="10001"/>
    <s v="Alisa Holme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65"/>
    <s v="Red Poplin Summer Dress"/>
    <n v="10001"/>
    <s v="Isabella Walker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66"/>
    <s v="Red Poplin Summer Dress"/>
    <n v="10001"/>
    <s v="Jasmine Richard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67"/>
    <s v="Red Poplin Summer Dress"/>
    <n v="10001"/>
    <s v="Myra Evan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68"/>
    <s v="Red Poplin Summer Dress"/>
    <n v="10001"/>
    <s v="Abigail Ros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69"/>
    <s v="Red Poplin Summer Dress"/>
    <n v="10001"/>
    <s v="Deanna Davis"/>
    <s v="Online Individual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70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71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72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73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74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75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76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77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78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79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80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81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82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83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84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85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86"/>
    <s v="Red Poplin Summer Dress"/>
    <n v="10001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387"/>
    <s v="Navy Floral Light Halter"/>
    <n v="80014"/>
    <s v="Vanessa Lloyd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388"/>
    <s v="Navy Floral Light Halter"/>
    <n v="80014"/>
    <s v="Joyce Hunt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389"/>
    <s v="Navy Floral Light Halter"/>
    <n v="80014"/>
    <s v="Violet Well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390"/>
    <s v="Navy Floral Light Halter"/>
    <n v="80014"/>
    <s v="Maddie Phillip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391"/>
    <s v="Navy Floral Light Halter"/>
    <n v="80014"/>
    <s v="Myra Nel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392"/>
    <s v="Navy Floral Light Halter"/>
    <n v="80014"/>
    <s v="Emily Hill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393"/>
    <s v="Navy Floral Light Halter"/>
    <n v="80014"/>
    <s v="Fiona West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394"/>
    <s v="Navy Floral Light Halter"/>
    <n v="80014"/>
    <s v="Connie Alle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395"/>
    <s v="Navy Floral Light Halter"/>
    <n v="80014"/>
    <s v="Adelaide Crawford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396"/>
    <s v="Navy Floral Light Halter"/>
    <n v="80014"/>
    <s v="Samantha Alle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397"/>
    <s v="Navy Floral Light Halter"/>
    <n v="80014"/>
    <s v="Myra Morga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398"/>
    <s v="Navy Floral Light Halter"/>
    <n v="80014"/>
    <s v="Deanna Sulliva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399"/>
    <s v="Navy Floral Light Halter"/>
    <n v="80014"/>
    <s v="Audrey Camer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00"/>
    <s v="Navy Floral Light Halter"/>
    <n v="80014"/>
    <s v="Catherine Fergu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01"/>
    <s v="Navy Floral Light Halter"/>
    <n v="80014"/>
    <s v="Adele Armstrong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02"/>
    <s v="Navy Floral Light Halter"/>
    <n v="80014"/>
    <s v="Miranda Thomp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03"/>
    <s v="Navy Floral Light Halter"/>
    <n v="80014"/>
    <s v="Myra Sulliva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04"/>
    <s v="Navy Floral Light Halter"/>
    <n v="80014"/>
    <s v="Carina Gib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05"/>
    <s v="Navy Floral Light Halter"/>
    <n v="80014"/>
    <s v="Maddie Montgomer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06"/>
    <s v="Navy Floral Light Halter"/>
    <n v="80014"/>
    <s v="Lydia Turn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07"/>
    <s v="Navy Floral Light Halter"/>
    <n v="80014"/>
    <s v="Agata Hawkin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08"/>
    <s v="Navy Floral Light Halter"/>
    <n v="80014"/>
    <s v="Paige Holme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09"/>
    <s v="Navy Floral Light Halter"/>
    <n v="80014"/>
    <s v="Brooke Spenc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10"/>
    <s v="Navy Floral Light Halter"/>
    <n v="80014"/>
    <s v="Grace Hill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11"/>
    <s v="Navy Floral Light Halter"/>
    <n v="80014"/>
    <s v="Lydia Fergu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12"/>
    <s v="Navy Floral Light Halter"/>
    <n v="80014"/>
    <s v="Briony Warre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13"/>
    <s v="Navy Floral Light Halter"/>
    <n v="80014"/>
    <s v="Joyce Ros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14"/>
    <s v="Navy Floral Light Halter"/>
    <n v="80014"/>
    <s v="Aida Montgomer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15"/>
    <s v="Navy Floral Light Halter"/>
    <n v="80014"/>
    <s v="Ellia Fost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16"/>
    <s v="Navy Floral Light Halter"/>
    <n v="80014"/>
    <s v="Connie Gra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17"/>
    <s v="Navy Floral Light Halter"/>
    <n v="80014"/>
    <s v="Nicole Jone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18"/>
    <s v="Navy Floral Light Halter"/>
    <n v="80014"/>
    <s v="Abigail Hawkin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19"/>
    <s v="Navy Floral Light Halter"/>
    <n v="80014"/>
    <s v="Belinda Hamilt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20"/>
    <s v="Navy Floral Light Halter"/>
    <n v="80014"/>
    <s v="April Chapma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21"/>
    <s v="Navy Floral Light Halter"/>
    <n v="80014"/>
    <s v="Melissa Ander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22"/>
    <s v="Navy Floral Light Halter"/>
    <n v="80014"/>
    <s v="Stella Brow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23"/>
    <s v="Navy Floral Light Halter"/>
    <n v="80014"/>
    <s v="Aida Spenc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24"/>
    <s v="Navy Floral Light Halter"/>
    <n v="80014"/>
    <s v="Naomi Morga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25"/>
    <s v="Navy Floral Light Halter"/>
    <n v="80014"/>
    <s v="Chloe Mill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26"/>
    <s v="Navy Floral Light Halter"/>
    <n v="80014"/>
    <s v="Lily Dougla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27"/>
    <s v="Navy Floral Light Halter"/>
    <n v="80014"/>
    <s v="Lydia Wright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28"/>
    <s v="Navy Floral Light Halter"/>
    <n v="80014"/>
    <s v="Kirsten Alexand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29"/>
    <s v="Navy Floral Light Halter"/>
    <n v="80014"/>
    <s v="Penelope Mill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30"/>
    <s v="Navy Floral Light Halter"/>
    <n v="80014"/>
    <s v="Sydney Hender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31"/>
    <s v="Navy Floral Light Halter"/>
    <n v="80014"/>
    <s v="Belinda Spenc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32"/>
    <s v="Navy Floral Light Halter"/>
    <n v="80014"/>
    <s v="Isabella Rya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33"/>
    <s v="Navy Floral Light Halter"/>
    <n v="80014"/>
    <s v="Rebecca Kelle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34"/>
    <s v="Navy Floral Light Halter"/>
    <n v="80014"/>
    <s v="Cherry Dix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35"/>
    <s v="Navy Floral Light Halter"/>
    <n v="80014"/>
    <s v="Sofia Dougla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36"/>
    <s v="Navy Floral Light Halter"/>
    <n v="80014"/>
    <s v="Kimberly Morri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37"/>
    <s v="Navy Floral Light Halter"/>
    <n v="80014"/>
    <s v="Jenna Camer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38"/>
    <s v="Navy Floral Light Halter"/>
    <n v="80014"/>
    <s v="Alissa Richard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39"/>
    <s v="Navy Floral Light Halter"/>
    <n v="80014"/>
    <s v="Amelia Marti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40"/>
    <s v="Navy Floral Light Halter"/>
    <n v="80014"/>
    <s v="Naomi Rya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41"/>
    <s v="Navy Floral Light Halter"/>
    <n v="80014"/>
    <s v="Sofia Johnst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42"/>
    <s v="Navy Floral Light Halter"/>
    <n v="80014"/>
    <s v="Maddie Richard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43"/>
    <s v="Navy Floral Light Halter"/>
    <n v="80014"/>
    <s v="Maya Davi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44"/>
    <s v="Navy Floral Light Halter"/>
    <n v="80014"/>
    <s v="Ellia Edward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45"/>
    <s v="Navy Floral Light Halter"/>
    <n v="80014"/>
    <s v="Grace John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46"/>
    <s v="Navy Floral Light Halter"/>
    <n v="80014"/>
    <s v="Isabella Owens"/>
    <s v="Online Individual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1447"/>
    <s v="Navy Floral Light Halter"/>
    <n v="80014"/>
    <s v="Daisy Payne"/>
    <s v="Online Individual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1448"/>
    <s v="Navy Floral Light Halter"/>
    <n v="80014"/>
    <s v="Evelyn Morris"/>
    <s v="Online Individual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1449"/>
    <s v="Navy Floral Light Halter"/>
    <n v="80014"/>
    <s v="Annabella Cunningham"/>
    <s v="Online Individual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1450"/>
    <s v="Navy Floral Light Halter"/>
    <n v="80014"/>
    <s v="Alexia Stevens"/>
    <s v="Online Individual"/>
    <n v="1"/>
    <s v="FEB"/>
    <x v="3"/>
    <s v="Female"/>
    <x v="0"/>
    <s v="Guatemala"/>
    <s v="Central America"/>
    <n v="25"/>
    <n v="30"/>
    <n v="5"/>
    <x v="0"/>
    <x v="0"/>
    <x v="0"/>
    <x v="1"/>
  </r>
  <r>
    <s v="Sale"/>
    <x v="1451"/>
    <s v="Navy Floral Light Halter"/>
    <n v="80014"/>
    <s v="Kirsten Murph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52"/>
    <s v="Navy Floral Light Halter"/>
    <n v="80014"/>
    <s v="Sarah Evan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53"/>
    <s v="Navy Floral Light Halter"/>
    <n v="80014"/>
    <s v="Cadie Kell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54"/>
    <s v="Navy Floral Light Halter"/>
    <n v="80014"/>
    <s v="Honey Ma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55"/>
    <s v="Navy Floral Light Halter"/>
    <n v="80014"/>
    <s v="Kelsey Farrell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56"/>
    <s v="Navy Floral Light Halter"/>
    <n v="80014"/>
    <s v="Vivian Scott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57"/>
    <s v="Navy Floral Light Halter"/>
    <n v="80014"/>
    <s v="Jenna Armstrong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58"/>
    <s v="Navy Floral Light Halter"/>
    <n v="80014"/>
    <s v="Anna Hall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59"/>
    <s v="Navy Floral Light Halter"/>
    <n v="80014"/>
    <s v="Joyce Harri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60"/>
    <s v="Navy Floral Light Halter"/>
    <n v="80014"/>
    <s v="Hailey Craig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61"/>
    <s v="Navy Floral Light Halter"/>
    <n v="80014"/>
    <s v="Mary Robin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62"/>
    <s v="Navy Floral Light Halter"/>
    <n v="80014"/>
    <s v="Sarah Gra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63"/>
    <s v="Navy Floral Light Halter"/>
    <n v="80014"/>
    <s v="Eleanor Warre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64"/>
    <s v="Navy Floral Light Halter"/>
    <n v="80014"/>
    <s v="Emma William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65"/>
    <s v="Navy Floral Light Halter"/>
    <n v="80014"/>
    <s v="Charlotte Turn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66"/>
    <s v="Navy Floral Light Halter"/>
    <n v="80014"/>
    <s v="Ellia Myer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67"/>
    <s v="Navy Floral Light Halter"/>
    <n v="80014"/>
    <s v="Daisy Gra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68"/>
    <s v="Navy Floral Light Halter"/>
    <n v="80014"/>
    <s v="Grace Morga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69"/>
    <s v="Navy Floral Light Halter"/>
    <n v="80014"/>
    <s v="Sienna Well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70"/>
    <s v="Navy Floral Light Halter"/>
    <n v="80014"/>
    <s v="Annabella Payne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71"/>
    <s v="Navy Floral Light Halter"/>
    <n v="80014"/>
    <s v="Anna Harri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72"/>
    <s v="Navy Floral Light Halter"/>
    <n v="80014"/>
    <s v="Abigail Hamilt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73"/>
    <s v="Navy Floral Light Halter"/>
    <n v="80014"/>
    <s v="Abigail Murra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74"/>
    <s v="Navy Floral Light Halter"/>
    <n v="80014"/>
    <s v="Hail Fost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75"/>
    <s v="Navy Floral Light Halter"/>
    <n v="80014"/>
    <s v="Camila Roger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76"/>
    <s v="Navy Floral Light Halter"/>
    <n v="80014"/>
    <s v="Lucia Kelle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77"/>
    <s v="Navy Floral Light Halter"/>
    <n v="80014"/>
    <s v="Gianna Montgomer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78"/>
    <s v="Navy Floral Light Halter"/>
    <n v="80014"/>
    <s v="Chelsea Brow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79"/>
    <s v="Navy Floral Light Halter"/>
    <n v="80014"/>
    <s v="Lucia Harri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80"/>
    <s v="Navy Floral Light Halter"/>
    <n v="80014"/>
    <s v="April Kelle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81"/>
    <s v="Navy Floral Light Halter"/>
    <n v="80014"/>
    <s v="Aida Chapma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82"/>
    <s v="Navy Floral Light Halter"/>
    <n v="80014"/>
    <s v="Michelle Adam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83"/>
    <s v="Navy Floral Light Halter"/>
    <n v="80014"/>
    <s v="Savana Lloyd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84"/>
    <s v="Navy Floral Light Halter"/>
    <n v="80014"/>
    <s v="Miley Perry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85"/>
    <s v="Navy Floral Light Halter"/>
    <n v="80014"/>
    <s v="Belinda Johnso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86"/>
    <s v="Navy Floral Light Halter"/>
    <n v="80014"/>
    <s v="Ada Marti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87"/>
    <s v="Navy Floral Light Halter"/>
    <n v="80014"/>
    <s v="Kirsten Carroll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88"/>
    <s v="Navy Floral Light Halter"/>
    <n v="80014"/>
    <s v="Elise Elli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89"/>
    <s v="Navy Floral Light Halter"/>
    <n v="80014"/>
    <s v="Lilianna Bak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90"/>
    <s v="Navy Floral Light Halter"/>
    <n v="80014"/>
    <s v="Kimberly Jones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91"/>
    <s v="Navy Floral Light Halter"/>
    <n v="80014"/>
    <s v="Heather Harper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92"/>
    <s v="Navy Floral Light Halter"/>
    <n v="80014"/>
    <s v="Melanie Grant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93"/>
    <s v="Navy Floral Light Halter"/>
    <n v="80014"/>
    <s v="Julia Ryan"/>
    <s v="Online Individual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94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95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96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97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98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499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00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01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02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03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04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05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06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07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08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09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10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11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12"/>
    <s v="Navy Floral Light Halter"/>
    <n v="80014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13"/>
    <s v="Black Crepe Business Jacket"/>
    <n v="90021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1514"/>
    <s v="Black Crepe Business Jacket"/>
    <n v="90021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1515"/>
    <s v="Black Crepe Business Jacket"/>
    <n v="90021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1516"/>
    <s v="Black Crepe Business Jacket"/>
    <n v="90021"/>
    <s v="Bloomingdales"/>
    <s v="Retail Buyer"/>
    <n v="1"/>
    <s v="JAN"/>
    <x v="0"/>
    <s v="Female"/>
    <x v="1"/>
    <s v="Afghanistan"/>
    <s v="Middle East"/>
    <n v="150"/>
    <n v="75"/>
    <n v="-75"/>
    <x v="0"/>
    <x v="0"/>
    <x v="0"/>
    <x v="1"/>
  </r>
  <r>
    <s v="Sale"/>
    <x v="1517"/>
    <s v="Black Crepe Business Jacket"/>
    <n v="90021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1518"/>
    <s v="Black Crepe Business Jacket"/>
    <n v="90021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1519"/>
    <s v="Black Crepe Business Jacket"/>
    <n v="90021"/>
    <s v="Bloomingdales"/>
    <s v="Retail Buyer"/>
    <n v="1"/>
    <s v="FEB"/>
    <x v="0"/>
    <s v="Female"/>
    <x v="1"/>
    <s v="Afghanistan"/>
    <s v="Middle East"/>
    <n v="150"/>
    <n v="75"/>
    <n v="-75"/>
    <x v="0"/>
    <x v="0"/>
    <x v="0"/>
    <x v="1"/>
  </r>
  <r>
    <s v="Sale"/>
    <x v="1520"/>
    <s v="Black Crepe Business Jacket"/>
    <n v="90021"/>
    <s v="Bloomingdales"/>
    <s v="Retail Buyer"/>
    <n v="1"/>
    <s v="JAN"/>
    <x v="0"/>
    <s v="Female"/>
    <x v="1"/>
    <s v="Afghanistan"/>
    <s v="Middle East"/>
    <n v="150"/>
    <n v="75"/>
    <n v="-75"/>
    <x v="0"/>
    <x v="0"/>
    <x v="0"/>
    <x v="1"/>
  </r>
  <r>
    <s v="Sale"/>
    <x v="1521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22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23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24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25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26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27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28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29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30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31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32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33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34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35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36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37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38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39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40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41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42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43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44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45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46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47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48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49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50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51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52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53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54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55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56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57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58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59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60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61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62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63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64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65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66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67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68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69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70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71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72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73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74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75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76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77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78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79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80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81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82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83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84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85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86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87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88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89"/>
    <s v="Red Poplin Summer Dress"/>
    <n v="10013"/>
    <s v="Macys"/>
    <s v="Retail Buyer"/>
    <n v="1"/>
    <s v="MAR"/>
    <x v="1"/>
    <s v="Female"/>
    <x v="0"/>
    <s v="Honduras"/>
    <s v="Central America"/>
    <n v="30"/>
    <n v="45"/>
    <n v="15"/>
    <x v="1"/>
    <x v="0"/>
    <x v="1"/>
    <x v="0"/>
  </r>
  <r>
    <s v="Sale"/>
    <x v="1590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91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92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93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94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95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96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97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98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599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00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01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02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03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04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05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06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07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08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09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10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11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12"/>
    <s v="Navy Floral Light Halter"/>
    <n v="80208"/>
    <s v="Macys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13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14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15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16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17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18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19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20"/>
    <s v="Navy Floral Light Halter"/>
    <n v="80208"/>
    <s v="Target"/>
    <s v="Retail Buyer"/>
    <n v="1"/>
    <s v="JAN"/>
    <x v="3"/>
    <s v="Female"/>
    <x v="0"/>
    <s v="Guatemala"/>
    <s v="Central America"/>
    <n v="25"/>
    <n v="30"/>
    <n v="5"/>
    <x v="0"/>
    <x v="0"/>
    <x v="0"/>
    <x v="1"/>
  </r>
  <r>
    <s v="Sale"/>
    <x v="1621"/>
    <s v="Navy Floral Light Halter"/>
    <n v="80208"/>
    <s v="Target"/>
    <s v="Retail Buyer"/>
    <n v="1"/>
    <s v="MAR"/>
    <x v="3"/>
    <s v="Female"/>
    <x v="0"/>
    <s v="Guatemala"/>
    <s v="Central America"/>
    <n v="25"/>
    <n v="30"/>
    <n v="5"/>
    <x v="0"/>
    <x v="0"/>
    <x v="0"/>
    <x v="1"/>
  </r>
  <r>
    <s v="Sale"/>
    <x v="1622"/>
    <s v="Navy Floral Light Halter"/>
    <n v="80208"/>
    <s v="Target"/>
    <s v="Retail Buyer"/>
    <n v="1"/>
    <s v="MAR"/>
    <x v="3"/>
    <s v="Female"/>
    <x v="0"/>
    <s v="Guatemala"/>
    <s v="Central America"/>
    <n v="25"/>
    <n v="30"/>
    <n v="5"/>
    <x v="0"/>
    <x v="0"/>
    <x v="0"/>
    <x v="1"/>
  </r>
  <r>
    <s v="Sale"/>
    <x v="1623"/>
    <s v="Navy Floral Light Halter"/>
    <n v="80208"/>
    <s v="Target"/>
    <s v="Retail Buyer"/>
    <n v="1"/>
    <s v="MAR"/>
    <x v="3"/>
    <s v="Female"/>
    <x v="0"/>
    <s v="Guatemala"/>
    <s v="Central America"/>
    <n v="25"/>
    <n v="30"/>
    <n v="5"/>
    <x v="0"/>
    <x v="0"/>
    <x v="0"/>
    <x v="1"/>
  </r>
  <r>
    <s v="Sale"/>
    <x v="1624"/>
    <s v="Navy Floral Light Halter"/>
    <n v="80208"/>
    <s v="Target"/>
    <s v="Retail Buyer"/>
    <n v="1"/>
    <s v="MAR"/>
    <x v="3"/>
    <s v="Female"/>
    <x v="0"/>
    <s v="Guatemala"/>
    <s v="Central America"/>
    <n v="25"/>
    <n v="30"/>
    <n v="5"/>
    <x v="0"/>
    <x v="0"/>
    <x v="0"/>
    <x v="1"/>
  </r>
  <r>
    <s v="Sale"/>
    <x v="1625"/>
    <s v="Navy Floral Light Halter"/>
    <n v="80208"/>
    <s v="Target"/>
    <s v="Retail Buyer"/>
    <n v="1"/>
    <s v="MAR"/>
    <x v="3"/>
    <s v="Female"/>
    <x v="0"/>
    <s v="Guatemala"/>
    <s v="Central America"/>
    <n v="25"/>
    <n v="30"/>
    <n v="5"/>
    <x v="0"/>
    <x v="0"/>
    <x v="0"/>
    <x v="1"/>
  </r>
  <r>
    <s v="Sale"/>
    <x v="1626"/>
    <s v="Navy Floral Light Halter"/>
    <n v="80208"/>
    <s v="Target"/>
    <s v="Retail Buyer"/>
    <n v="1"/>
    <s v="MAR"/>
    <x v="3"/>
    <s v="Female"/>
    <x v="0"/>
    <s v="Guatemala"/>
    <s v="Central America"/>
    <n v="25"/>
    <n v="30"/>
    <n v="5"/>
    <x v="0"/>
    <x v="0"/>
    <x v="0"/>
    <x v="1"/>
  </r>
  <r>
    <s v="Sale"/>
    <x v="1627"/>
    <s v="Navy Floral Light Halter"/>
    <n v="80208"/>
    <s v="Target"/>
    <s v="Retail Buyer"/>
    <n v="1"/>
    <s v="MAR"/>
    <x v="3"/>
    <s v="Female"/>
    <x v="0"/>
    <s v="Guatemala"/>
    <s v="Central America"/>
    <n v="25"/>
    <n v="30"/>
    <n v="5"/>
    <x v="0"/>
    <x v="0"/>
    <x v="0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0">
  <r>
    <n v="65"/>
    <s v="Sale"/>
    <s v="65Bla10"/>
    <x v="0"/>
    <n v="10001"/>
    <s v="Macys"/>
    <s v="Retail Buyer"/>
    <x v="0"/>
    <x v="0"/>
    <x v="0"/>
    <s v="Female"/>
    <x v="0"/>
    <s v="Afghanistan"/>
    <s v="Middle East"/>
    <n v="150"/>
    <n v="75"/>
    <x v="0"/>
    <s v="-"/>
    <s v="Style Risk"/>
    <s v="-"/>
    <s v="Low Value"/>
  </r>
  <r>
    <n v="4"/>
    <s v="Sale"/>
    <s v="4Lig10"/>
    <x v="1"/>
    <n v="10001"/>
    <s v="Alexander Davis"/>
    <s v="Online Individual"/>
    <x v="0"/>
    <x v="1"/>
    <x v="0"/>
    <s v="Male"/>
    <x v="1"/>
    <s v="Ethiopia"/>
    <s v="Africa"/>
    <n v="10"/>
    <n v="20"/>
    <x v="1"/>
    <s v="-"/>
    <s v="Style Risk"/>
    <s v="-"/>
    <s v="High Value"/>
  </r>
  <r>
    <n v="7"/>
    <s v="Sale"/>
    <s v="7Pro10"/>
    <x v="2"/>
    <n v="10001"/>
    <s v="Elian Grant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9"/>
    <s v="Sale"/>
    <s v="9Nav10"/>
    <x v="3"/>
    <n v="10001"/>
    <s v="Nicholas Harris"/>
    <s v="Online Individual"/>
    <x v="0"/>
    <x v="1"/>
    <x v="0"/>
    <s v="Male"/>
    <x v="0"/>
    <s v="Afghanistan"/>
    <s v="Middle East"/>
    <n v="450"/>
    <n v="550"/>
    <x v="3"/>
    <s v="-"/>
    <s v="Style Risk"/>
    <s v="-"/>
    <s v="High Value"/>
  </r>
  <r>
    <n v="10"/>
    <s v="Sale"/>
    <s v="10Pro10"/>
    <x v="2"/>
    <n v="10001"/>
    <s v="Michael Roberts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11"/>
    <s v="Sale"/>
    <s v="11Nav10"/>
    <x v="3"/>
    <n v="10001"/>
    <s v="James Smith"/>
    <s v="Online Individual"/>
    <x v="0"/>
    <x v="1"/>
    <x v="0"/>
    <s v="Male"/>
    <x v="0"/>
    <s v="Afghanistan"/>
    <s v="Middle East"/>
    <n v="450"/>
    <n v="550"/>
    <x v="3"/>
    <s v="-"/>
    <s v="Style Risk"/>
    <s v="-"/>
    <s v="High Value"/>
  </r>
  <r>
    <n v="12"/>
    <s v="Sale"/>
    <s v="12Pro10"/>
    <x v="2"/>
    <n v="10001"/>
    <s v="Ted Ellis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14"/>
    <s v="Sale"/>
    <s v="14Pro10"/>
    <x v="2"/>
    <n v="10001"/>
    <s v="Daniel Bennett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17"/>
    <s v="Sale"/>
    <s v="17Nav10"/>
    <x v="3"/>
    <n v="10001"/>
    <s v="Frederick Moore"/>
    <s v="Online Individual"/>
    <x v="0"/>
    <x v="1"/>
    <x v="0"/>
    <s v="Male"/>
    <x v="0"/>
    <s v="Afghanistan"/>
    <s v="Middle East"/>
    <n v="450"/>
    <n v="550"/>
    <x v="3"/>
    <s v="-"/>
    <s v="Style Risk"/>
    <s v="-"/>
    <s v="High Value"/>
  </r>
  <r>
    <n v="19"/>
    <s v="Sale"/>
    <s v="19Nav10"/>
    <x v="3"/>
    <n v="10001"/>
    <s v="Macys"/>
    <s v="Retail Buyer"/>
    <x v="0"/>
    <x v="1"/>
    <x v="0"/>
    <s v="Male"/>
    <x v="0"/>
    <s v="Afghanistan"/>
    <s v="Middle East"/>
    <n v="450"/>
    <n v="550"/>
    <x v="3"/>
    <s v="-"/>
    <s v="Style Risk"/>
    <s v="-"/>
    <s v="High Value"/>
  </r>
  <r>
    <n v="21"/>
    <s v="Sale"/>
    <s v="21Nav10"/>
    <x v="3"/>
    <n v="10001"/>
    <s v="SAKS Fifth Avenue"/>
    <s v="Retail Buyer"/>
    <x v="0"/>
    <x v="2"/>
    <x v="0"/>
    <s v="Male"/>
    <x v="0"/>
    <s v="Afghanistan"/>
    <s v="Middle East"/>
    <n v="450"/>
    <n v="550"/>
    <x v="3"/>
    <s v="-"/>
    <s v="Style Risk"/>
    <s v="-"/>
    <s v="High Value"/>
  </r>
  <r>
    <n v="23"/>
    <s v="Sale"/>
    <s v="23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25"/>
    <s v="Sale"/>
    <s v="25Pro10"/>
    <x v="2"/>
    <n v="10001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28"/>
    <s v="Sale"/>
    <s v="28Sus10"/>
    <x v="5"/>
    <n v="10001"/>
    <s v="Macys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29"/>
    <s v="Sale"/>
    <s v="29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30"/>
    <s v="Sale"/>
    <s v="30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32"/>
    <s v="Sale"/>
    <s v="32Sus10"/>
    <x v="5"/>
    <n v="10001"/>
    <s v="Macys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33"/>
    <s v="Sale"/>
    <s v="33Sus10"/>
    <x v="5"/>
    <n v="10001"/>
    <s v="Macys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34"/>
    <s v="Sale"/>
    <s v="34Sus10"/>
    <x v="5"/>
    <n v="10001"/>
    <s v="Macys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35"/>
    <s v="Sale"/>
    <s v="35Sus10"/>
    <x v="5"/>
    <n v="10001"/>
    <s v="Macys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36"/>
    <s v="Sale"/>
    <s v="36Pro10"/>
    <x v="2"/>
    <n v="10001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48"/>
    <s v="Sale"/>
    <s v="48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59"/>
    <s v="Sale"/>
    <s v="59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7"/>
    <s v="Sale"/>
    <s v="67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01"/>
    <s v="Sale"/>
    <s v="101Nav10"/>
    <x v="3"/>
    <n v="10013"/>
    <s v="SAKS Fifth Avenue"/>
    <s v="Retail Buyer"/>
    <x v="0"/>
    <x v="2"/>
    <x v="0"/>
    <s v="Male"/>
    <x v="0"/>
    <s v="Afghanistan"/>
    <s v="Middle East"/>
    <n v="450"/>
    <n v="550"/>
    <x v="3"/>
    <s v="-"/>
    <s v="Style Risk"/>
    <s v="-"/>
    <s v="High Value"/>
  </r>
  <r>
    <n v="116"/>
    <s v="Sale"/>
    <s v="116Pro10"/>
    <x v="2"/>
    <n v="10013"/>
    <s v="Macys"/>
    <s v="Retail Buyer"/>
    <x v="0"/>
    <x v="2"/>
    <x v="0"/>
    <s v="Male"/>
    <x v="1"/>
    <s v="Kenya"/>
    <s v="Africa"/>
    <n v="15"/>
    <n v="30"/>
    <x v="2"/>
    <s v="-"/>
    <s v="Style Risk"/>
    <s v="-"/>
    <s v="High Value"/>
  </r>
  <r>
    <n v="69"/>
    <s v="Sale"/>
    <s v="69Bla10"/>
    <x v="0"/>
    <n v="10001"/>
    <s v="Macys"/>
    <s v="Retail Buyer"/>
    <x v="0"/>
    <x v="0"/>
    <x v="0"/>
    <s v="Female"/>
    <x v="0"/>
    <s v="Afghanistan"/>
    <s v="Middle East"/>
    <n v="150"/>
    <n v="75"/>
    <x v="0"/>
    <s v="-"/>
    <s v="Style Risk"/>
    <s v="-"/>
    <s v="Low Value"/>
  </r>
  <r>
    <n v="118"/>
    <s v="Sale"/>
    <s v="118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22"/>
    <s v="Sale"/>
    <s v="122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23"/>
    <s v="Sale"/>
    <s v="123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74"/>
    <s v="Sale"/>
    <s v="74Bla10"/>
    <x v="0"/>
    <n v="10001"/>
    <s v="Mary Walker"/>
    <s v="Online Individual"/>
    <x v="0"/>
    <x v="0"/>
    <x v="0"/>
    <s v="Female"/>
    <x v="0"/>
    <s v="Afghanistan"/>
    <s v="Middle East"/>
    <n v="150"/>
    <n v="75"/>
    <x v="0"/>
    <s v="-"/>
    <s v="Style Risk"/>
    <s v="-"/>
    <s v="Low Value"/>
  </r>
  <r>
    <n v="125"/>
    <s v="Sale"/>
    <s v="125Lig10"/>
    <x v="1"/>
    <n v="10022"/>
    <s v="Macys"/>
    <s v="Retail Buyer"/>
    <x v="0"/>
    <x v="1"/>
    <x v="0"/>
    <s v="Male"/>
    <x v="1"/>
    <s v="Ethiopia"/>
    <s v="Africa"/>
    <n v="10"/>
    <n v="20"/>
    <x v="1"/>
    <s v="-"/>
    <s v="Style Risk"/>
    <s v="-"/>
    <s v="High Value"/>
  </r>
  <r>
    <n v="78"/>
    <s v="Sale"/>
    <s v="78Bla10"/>
    <x v="0"/>
    <n v="10001"/>
    <s v="Melanie Anderson"/>
    <s v="Online Individual"/>
    <x v="0"/>
    <x v="0"/>
    <x v="0"/>
    <s v="Female"/>
    <x v="0"/>
    <s v="Afghanistan"/>
    <s v="Middle East"/>
    <n v="150"/>
    <n v="75"/>
    <x v="0"/>
    <s v="-"/>
    <s v="Style Risk"/>
    <s v="-"/>
    <s v="Low Value"/>
  </r>
  <r>
    <n v="392"/>
    <s v="Sale"/>
    <s v="392Bla90"/>
    <x v="0"/>
    <n v="90005"/>
    <s v="Anna Smith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393"/>
    <s v="Sale"/>
    <s v="393Bla90"/>
    <x v="0"/>
    <n v="90005"/>
    <s v="Savana Brown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394"/>
    <s v="Sale"/>
    <s v="394Bla90"/>
    <x v="0"/>
    <n v="90005"/>
    <s v="Vanessa Evans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395"/>
    <s v="Sale"/>
    <s v="395Bla90"/>
    <x v="0"/>
    <n v="90005"/>
    <s v="Chelsea Murphy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131"/>
    <s v="Sale"/>
    <s v="131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32"/>
    <s v="Sale"/>
    <s v="132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33"/>
    <s v="Sale"/>
    <s v="133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34"/>
    <s v="Sale"/>
    <s v="134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53"/>
    <s v="Sale"/>
    <s v="153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54"/>
    <s v="Sale"/>
    <s v="154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71"/>
    <s v="Sale"/>
    <s v="171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72"/>
    <s v="Sale"/>
    <s v="172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73"/>
    <s v="Sale"/>
    <s v="173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74"/>
    <s v="Sale"/>
    <s v="174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75"/>
    <s v="Sale"/>
    <s v="175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76"/>
    <s v="Sale"/>
    <s v="176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79"/>
    <s v="Sale"/>
    <s v="179Nav10"/>
    <x v="3"/>
    <n v="10022"/>
    <s v="SAKS Fifth Avenue"/>
    <s v="Retail Buyer"/>
    <x v="0"/>
    <x v="2"/>
    <x v="0"/>
    <s v="Male"/>
    <x v="0"/>
    <s v="Afghanistan"/>
    <s v="Middle East"/>
    <n v="450"/>
    <n v="550"/>
    <x v="3"/>
    <s v="-"/>
    <s v="Style Risk"/>
    <s v="-"/>
    <s v="High Value"/>
  </r>
  <r>
    <n v="396"/>
    <s v="Sale"/>
    <s v="396Bla90"/>
    <x v="0"/>
    <n v="90005"/>
    <s v="Sophia Chapman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397"/>
    <s v="Sale"/>
    <s v="397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398"/>
    <s v="Sale"/>
    <s v="398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415"/>
    <s v="Sale"/>
    <s v="415Pro90"/>
    <x v="2"/>
    <n v="90005"/>
    <s v="Patrick Ryan"/>
    <s v="Online Individual"/>
    <x v="0"/>
    <x v="1"/>
    <x v="1"/>
    <s v="Male"/>
    <x v="1"/>
    <s v="Kenya"/>
    <s v="Africa"/>
    <n v="15"/>
    <n v="30"/>
    <x v="2"/>
    <s v="Hub Risk"/>
    <s v="Style Risk"/>
    <s v="Risk"/>
    <s v="High Value"/>
  </r>
  <r>
    <n v="431"/>
    <s v="Sale"/>
    <s v="431Pro33"/>
    <x v="2"/>
    <n v="33101"/>
    <s v="Derek Morgan"/>
    <s v="Online Individual"/>
    <x v="0"/>
    <x v="1"/>
    <x v="2"/>
    <s v="Male"/>
    <x v="1"/>
    <s v="Kenya"/>
    <s v="Africa"/>
    <n v="15"/>
    <n v="30"/>
    <x v="2"/>
    <s v="-"/>
    <s v="Style Risk"/>
    <s v="-"/>
    <s v="High Value"/>
  </r>
  <r>
    <n v="432"/>
    <s v="Sale"/>
    <s v="432Pro33"/>
    <x v="2"/>
    <n v="33101"/>
    <s v="Kohls"/>
    <s v="Retail Buyer"/>
    <x v="0"/>
    <x v="2"/>
    <x v="2"/>
    <s v="Male"/>
    <x v="1"/>
    <s v="Kenya"/>
    <s v="Africa"/>
    <n v="15"/>
    <n v="30"/>
    <x v="2"/>
    <s v="-"/>
    <s v="Style Risk"/>
    <s v="-"/>
    <s v="High Value"/>
  </r>
  <r>
    <n v="458"/>
    <s v="Sale"/>
    <s v="458Nav33"/>
    <x v="3"/>
    <n v="33125"/>
    <s v="Neiman Marcus"/>
    <s v="Retail Buyer"/>
    <x v="0"/>
    <x v="1"/>
    <x v="2"/>
    <s v="Male"/>
    <x v="0"/>
    <s v="Afghanistan"/>
    <s v="Middle East"/>
    <n v="450"/>
    <n v="550"/>
    <x v="3"/>
    <s v="-"/>
    <s v="Style Risk"/>
    <s v="-"/>
    <s v="High Value"/>
  </r>
  <r>
    <n v="459"/>
    <s v="Sale"/>
    <s v="459Nav33"/>
    <x v="3"/>
    <n v="33125"/>
    <s v="Neiman Marcus"/>
    <s v="Retail Buyer"/>
    <x v="0"/>
    <x v="1"/>
    <x v="2"/>
    <s v="Male"/>
    <x v="0"/>
    <s v="Afghanistan"/>
    <s v="Middle East"/>
    <n v="450"/>
    <n v="550"/>
    <x v="3"/>
    <s v="-"/>
    <s v="Style Risk"/>
    <s v="-"/>
    <s v="High Value"/>
  </r>
  <r>
    <n v="463"/>
    <s v="Sale"/>
    <s v="463Nav33"/>
    <x v="3"/>
    <n v="33125"/>
    <s v="Neiman Marcus"/>
    <s v="Retail Buyer"/>
    <x v="0"/>
    <x v="1"/>
    <x v="2"/>
    <s v="Male"/>
    <x v="0"/>
    <s v="Afghanistan"/>
    <s v="Middle East"/>
    <n v="450"/>
    <n v="550"/>
    <x v="3"/>
    <s v="-"/>
    <s v="Style Risk"/>
    <s v="-"/>
    <s v="High Value"/>
  </r>
  <r>
    <n v="465"/>
    <s v="Sale"/>
    <s v="465Nav33"/>
    <x v="3"/>
    <n v="33125"/>
    <s v="Neiman Marcus"/>
    <s v="Retail Buyer"/>
    <x v="0"/>
    <x v="1"/>
    <x v="2"/>
    <s v="Male"/>
    <x v="0"/>
    <s v="Afghanistan"/>
    <s v="Middle East"/>
    <n v="450"/>
    <n v="550"/>
    <x v="3"/>
    <s v="-"/>
    <s v="Style Risk"/>
    <s v="-"/>
    <s v="High Value"/>
  </r>
  <r>
    <n v="469"/>
    <s v="Sale"/>
    <s v="469Lig33"/>
    <x v="1"/>
    <n v="33125"/>
    <s v="Kohls"/>
    <s v="Retail Buyer"/>
    <x v="0"/>
    <x v="1"/>
    <x v="2"/>
    <s v="Male"/>
    <x v="1"/>
    <s v="Ethiopia"/>
    <s v="Africa"/>
    <n v="10"/>
    <n v="20"/>
    <x v="1"/>
    <s v="-"/>
    <s v="Style Risk"/>
    <s v="-"/>
    <s v="High Value"/>
  </r>
  <r>
    <n v="471"/>
    <s v="Sale"/>
    <s v="471Lig33"/>
    <x v="1"/>
    <n v="33125"/>
    <s v="Alexander Casey"/>
    <s v="Online Individual"/>
    <x v="0"/>
    <x v="1"/>
    <x v="2"/>
    <s v="Male"/>
    <x v="1"/>
    <s v="Ethiopia"/>
    <s v="Africa"/>
    <n v="10"/>
    <n v="20"/>
    <x v="1"/>
    <s v="-"/>
    <s v="Style Risk"/>
    <s v="-"/>
    <s v="High Value"/>
  </r>
  <r>
    <n v="476"/>
    <s v="Sale"/>
    <s v="476Nav33"/>
    <x v="3"/>
    <n v="33125"/>
    <s v="Neiman Marcus"/>
    <s v="Retail Buyer"/>
    <x v="0"/>
    <x v="1"/>
    <x v="2"/>
    <s v="Male"/>
    <x v="0"/>
    <s v="Afghanistan"/>
    <s v="Middle East"/>
    <n v="450"/>
    <n v="550"/>
    <x v="3"/>
    <s v="-"/>
    <s v="Style Risk"/>
    <s v="-"/>
    <s v="High Value"/>
  </r>
  <r>
    <n v="482"/>
    <s v="Sale"/>
    <s v="482Nav33"/>
    <x v="3"/>
    <n v="33125"/>
    <s v="Neiman Marcus"/>
    <s v="Retail Buyer"/>
    <x v="0"/>
    <x v="1"/>
    <x v="2"/>
    <s v="Male"/>
    <x v="0"/>
    <s v="Afghanistan"/>
    <s v="Middle East"/>
    <n v="450"/>
    <n v="550"/>
    <x v="3"/>
    <s v="-"/>
    <s v="Style Risk"/>
    <s v="-"/>
    <s v="High Value"/>
  </r>
  <r>
    <n v="483"/>
    <s v="Sale"/>
    <s v="483Nav33"/>
    <x v="3"/>
    <n v="33125"/>
    <s v="Neiman Marcus"/>
    <s v="Retail Buyer"/>
    <x v="0"/>
    <x v="1"/>
    <x v="2"/>
    <s v="Male"/>
    <x v="0"/>
    <s v="Afghanistan"/>
    <s v="Middle East"/>
    <n v="450"/>
    <n v="550"/>
    <x v="3"/>
    <s v="-"/>
    <s v="Style Risk"/>
    <s v="-"/>
    <s v="High Value"/>
  </r>
  <r>
    <n v="484"/>
    <s v="Sale"/>
    <s v="484Nav33"/>
    <x v="3"/>
    <n v="33125"/>
    <s v="Neiman Marcus"/>
    <s v="Retail Buyer"/>
    <x v="0"/>
    <x v="1"/>
    <x v="2"/>
    <s v="Male"/>
    <x v="0"/>
    <s v="Afghanistan"/>
    <s v="Middle East"/>
    <n v="450"/>
    <n v="550"/>
    <x v="3"/>
    <s v="-"/>
    <s v="Style Risk"/>
    <s v="-"/>
    <s v="High Value"/>
  </r>
  <r>
    <n v="486"/>
    <s v="Sale"/>
    <s v="486Nav33"/>
    <x v="3"/>
    <n v="33125"/>
    <s v="Neiman Marcus"/>
    <s v="Retail Buyer"/>
    <x v="0"/>
    <x v="1"/>
    <x v="2"/>
    <s v="Male"/>
    <x v="0"/>
    <s v="Afghanistan"/>
    <s v="Middle East"/>
    <n v="450"/>
    <n v="550"/>
    <x v="3"/>
    <s v="-"/>
    <s v="Style Risk"/>
    <s v="-"/>
    <s v="High Value"/>
  </r>
  <r>
    <n v="487"/>
    <s v="Sale"/>
    <s v="487Nav33"/>
    <x v="3"/>
    <n v="33125"/>
    <s v="Neiman Marcus"/>
    <s v="Retail Buyer"/>
    <x v="0"/>
    <x v="1"/>
    <x v="2"/>
    <s v="Male"/>
    <x v="0"/>
    <s v="Afghanistan"/>
    <s v="Middle East"/>
    <n v="450"/>
    <n v="550"/>
    <x v="3"/>
    <s v="-"/>
    <s v="Style Risk"/>
    <s v="-"/>
    <s v="High Value"/>
  </r>
  <r>
    <n v="488"/>
    <s v="Sale"/>
    <s v="488Nav33"/>
    <x v="3"/>
    <n v="33125"/>
    <s v="Neiman Marcus"/>
    <s v="Retail Buyer"/>
    <x v="0"/>
    <x v="2"/>
    <x v="2"/>
    <s v="Male"/>
    <x v="0"/>
    <s v="Afghanistan"/>
    <s v="Middle East"/>
    <n v="450"/>
    <n v="550"/>
    <x v="3"/>
    <s v="-"/>
    <s v="Style Risk"/>
    <s v="-"/>
    <s v="High Value"/>
  </r>
  <r>
    <n v="489"/>
    <s v="Sale"/>
    <s v="489Nav33"/>
    <x v="3"/>
    <n v="33125"/>
    <s v="Neiman Marcus"/>
    <s v="Retail Buyer"/>
    <x v="0"/>
    <x v="2"/>
    <x v="2"/>
    <s v="Male"/>
    <x v="0"/>
    <s v="Afghanistan"/>
    <s v="Middle East"/>
    <n v="450"/>
    <n v="550"/>
    <x v="3"/>
    <s v="-"/>
    <s v="Style Risk"/>
    <s v="-"/>
    <s v="High Value"/>
  </r>
  <r>
    <n v="491"/>
    <s v="Sale"/>
    <s v="491Nav33"/>
    <x v="3"/>
    <n v="33125"/>
    <s v="Neiman Marcus"/>
    <s v="Retail Buyer"/>
    <x v="0"/>
    <x v="2"/>
    <x v="2"/>
    <s v="Male"/>
    <x v="0"/>
    <s v="Afghanistan"/>
    <s v="Middle East"/>
    <n v="450"/>
    <n v="550"/>
    <x v="3"/>
    <s v="-"/>
    <s v="Style Risk"/>
    <s v="-"/>
    <s v="High Value"/>
  </r>
  <r>
    <n v="497"/>
    <s v="Sale"/>
    <s v="497Lig33"/>
    <x v="1"/>
    <n v="33125"/>
    <s v="Kohls"/>
    <s v="Retail Buyer"/>
    <x v="0"/>
    <x v="2"/>
    <x v="2"/>
    <s v="Male"/>
    <x v="1"/>
    <s v="Ethiopia"/>
    <s v="Africa"/>
    <n v="10"/>
    <n v="20"/>
    <x v="1"/>
    <s v="-"/>
    <s v="Style Risk"/>
    <s v="-"/>
    <s v="High Value"/>
  </r>
  <r>
    <n v="498"/>
    <s v="Sale"/>
    <s v="498Lig33"/>
    <x v="1"/>
    <n v="33125"/>
    <s v="Arthur Watson"/>
    <s v="Online Individual"/>
    <x v="0"/>
    <x v="2"/>
    <x v="2"/>
    <s v="Male"/>
    <x v="1"/>
    <s v="Ethiopia"/>
    <s v="Africa"/>
    <n v="10"/>
    <n v="20"/>
    <x v="1"/>
    <s v="-"/>
    <s v="Style Risk"/>
    <s v="-"/>
    <s v="High Value"/>
  </r>
  <r>
    <n v="502"/>
    <s v="Sale"/>
    <s v="502Nav33"/>
    <x v="3"/>
    <n v="33159"/>
    <s v="Neiman Marcus"/>
    <s v="Retail Buyer"/>
    <x v="0"/>
    <x v="2"/>
    <x v="2"/>
    <s v="Male"/>
    <x v="0"/>
    <s v="Afghanistan"/>
    <s v="Middle East"/>
    <n v="450"/>
    <n v="550"/>
    <x v="3"/>
    <s v="-"/>
    <s v="Style Risk"/>
    <s v="-"/>
    <s v="High Value"/>
  </r>
  <r>
    <n v="510"/>
    <s v="Sale"/>
    <s v="510Nav33"/>
    <x v="3"/>
    <n v="33159"/>
    <s v="Alexander Hill"/>
    <s v="Online Individual"/>
    <x v="0"/>
    <x v="2"/>
    <x v="2"/>
    <s v="Male"/>
    <x v="0"/>
    <s v="Afghanistan"/>
    <s v="Middle East"/>
    <n v="450"/>
    <n v="550"/>
    <x v="3"/>
    <s v="-"/>
    <s v="Style Risk"/>
    <s v="-"/>
    <s v="High Value"/>
  </r>
  <r>
    <n v="511"/>
    <s v="Sale"/>
    <s v="511Nav33"/>
    <x v="3"/>
    <n v="33159"/>
    <s v="Jack Bailey"/>
    <s v="Online Individual"/>
    <x v="0"/>
    <x v="2"/>
    <x v="2"/>
    <s v="Male"/>
    <x v="0"/>
    <s v="Afghanistan"/>
    <s v="Middle East"/>
    <n v="450"/>
    <n v="550"/>
    <x v="3"/>
    <s v="-"/>
    <s v="Style Risk"/>
    <s v="-"/>
    <s v="High Value"/>
  </r>
  <r>
    <n v="512"/>
    <s v="Sale"/>
    <s v="512Nav33"/>
    <x v="3"/>
    <n v="33159"/>
    <s v="Arny Turn"/>
    <s v="Online Individual"/>
    <x v="0"/>
    <x v="2"/>
    <x v="2"/>
    <s v="Male"/>
    <x v="0"/>
    <s v="Afghanistan"/>
    <s v="Middle East"/>
    <n v="450"/>
    <n v="550"/>
    <x v="3"/>
    <s v="-"/>
    <s v="Style Risk"/>
    <s v="-"/>
    <s v="High Value"/>
  </r>
  <r>
    <n v="515"/>
    <s v="Sale"/>
    <s v="515Lig33"/>
    <x v="1"/>
    <n v="33159"/>
    <s v="Haris Douglas"/>
    <s v="Online Individual"/>
    <x v="0"/>
    <x v="2"/>
    <x v="2"/>
    <s v="Male"/>
    <x v="1"/>
    <s v="Ethiopia"/>
    <s v="Africa"/>
    <n v="10"/>
    <n v="20"/>
    <x v="1"/>
    <s v="-"/>
    <s v="Style Risk"/>
    <s v="-"/>
    <s v="High Value"/>
  </r>
  <r>
    <n v="575"/>
    <s v="Sale"/>
    <s v="575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576"/>
    <s v="Sale"/>
    <s v="576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399"/>
    <s v="Sale"/>
    <s v="399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400"/>
    <s v="Sale"/>
    <s v="400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579"/>
    <s v="Sale"/>
    <s v="579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401"/>
    <s v="Sale"/>
    <s v="401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581"/>
    <s v="Sale"/>
    <s v="581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402"/>
    <s v="Sale"/>
    <s v="402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583"/>
    <s v="Sale"/>
    <s v="583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584"/>
    <s v="Sale"/>
    <s v="584Pro10"/>
    <x v="2"/>
    <n v="10001"/>
    <s v="James Casey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585"/>
    <s v="Sale"/>
    <s v="585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586"/>
    <s v="Sale"/>
    <s v="586Pro10"/>
    <x v="2"/>
    <n v="10001"/>
    <s v="Eric Payne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587"/>
    <s v="Sale"/>
    <s v="587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588"/>
    <s v="Sale"/>
    <s v="588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589"/>
    <s v="Sale"/>
    <s v="589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590"/>
    <s v="Sale"/>
    <s v="590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591"/>
    <s v="Sale"/>
    <s v="591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592"/>
    <s v="Sale"/>
    <s v="592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593"/>
    <s v="Sale"/>
    <s v="593Pro10"/>
    <x v="2"/>
    <n v="10001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594"/>
    <s v="Sale"/>
    <s v="594Pro10"/>
    <x v="2"/>
    <n v="10001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595"/>
    <s v="Sale"/>
    <s v="595Nav10"/>
    <x v="3"/>
    <n v="10001"/>
    <s v="Macys"/>
    <s v="Retail Buyer"/>
    <x v="0"/>
    <x v="1"/>
    <x v="0"/>
    <s v="Male"/>
    <x v="0"/>
    <s v="Afghanistan"/>
    <s v="Middle East"/>
    <n v="450"/>
    <n v="550"/>
    <x v="3"/>
    <s v="-"/>
    <s v="Style Risk"/>
    <s v="-"/>
    <s v="High Value"/>
  </r>
  <r>
    <n v="597"/>
    <s v="Sale"/>
    <s v="597Pro10"/>
    <x v="2"/>
    <n v="10001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600"/>
    <s v="Sale"/>
    <s v="600Pro10"/>
    <x v="2"/>
    <n v="10001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602"/>
    <s v="Sale"/>
    <s v="602Nav10"/>
    <x v="3"/>
    <n v="10001"/>
    <s v="Macys"/>
    <s v="Retail Buyer"/>
    <x v="0"/>
    <x v="1"/>
    <x v="0"/>
    <s v="Male"/>
    <x v="0"/>
    <s v="Afghanistan"/>
    <s v="Middle East"/>
    <n v="450"/>
    <n v="550"/>
    <x v="3"/>
    <s v="-"/>
    <s v="Style Risk"/>
    <s v="-"/>
    <s v="High Value"/>
  </r>
  <r>
    <n v="606"/>
    <s v="Sale"/>
    <s v="606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07"/>
    <s v="Sale"/>
    <s v="607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08"/>
    <s v="Sale"/>
    <s v="608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09"/>
    <s v="Sale"/>
    <s v="609Woo10"/>
    <x v="4"/>
    <n v="10001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11"/>
    <s v="Sale"/>
    <s v="611Pro10"/>
    <x v="2"/>
    <n v="10001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646"/>
    <s v="Sale"/>
    <s v="646Nav10"/>
    <x v="3"/>
    <n v="10022"/>
    <s v="Macys"/>
    <s v="Retail Buyer"/>
    <x v="0"/>
    <x v="1"/>
    <x v="0"/>
    <s v="Male"/>
    <x v="0"/>
    <s v="Afghanistan"/>
    <s v="Middle East"/>
    <n v="450"/>
    <n v="550"/>
    <x v="3"/>
    <s v="-"/>
    <s v="Style Risk"/>
    <s v="-"/>
    <s v="High Value"/>
  </r>
  <r>
    <n v="647"/>
    <s v="Sale"/>
    <s v="647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648"/>
    <s v="Sale"/>
    <s v="648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649"/>
    <s v="Sale"/>
    <s v="649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655"/>
    <s v="Sale"/>
    <s v="655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56"/>
    <s v="Sale"/>
    <s v="656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57"/>
    <s v="Sale"/>
    <s v="657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58"/>
    <s v="Sale"/>
    <s v="658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59"/>
    <s v="Sale"/>
    <s v="659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63"/>
    <s v="Sale"/>
    <s v="663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66"/>
    <s v="Sale"/>
    <s v="666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668"/>
    <s v="Sale"/>
    <s v="668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670"/>
    <s v="Sale"/>
    <s v="670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72"/>
    <s v="Sale"/>
    <s v="672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74"/>
    <s v="Sale"/>
    <s v="674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75"/>
    <s v="Sale"/>
    <s v="675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76"/>
    <s v="Sale"/>
    <s v="676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79"/>
    <s v="Sale"/>
    <s v="679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680"/>
    <s v="Sale"/>
    <s v="680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681"/>
    <s v="Sale"/>
    <s v="681Pro10"/>
    <x v="2"/>
    <n v="10022"/>
    <s v="Patrick Stevens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682"/>
    <s v="Sale"/>
    <s v="682Pro10"/>
    <x v="2"/>
    <n v="10022"/>
    <s v="Ryan Stevens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683"/>
    <s v="Sale"/>
    <s v="683Pro10"/>
    <x v="2"/>
    <n v="10022"/>
    <s v="Tony Ferguson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684"/>
    <s v="Sale"/>
    <s v="684Pro10"/>
    <x v="2"/>
    <n v="10022"/>
    <s v="Bruce Henderson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688"/>
    <s v="Sale"/>
    <s v="688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89"/>
    <s v="Sale"/>
    <s v="689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690"/>
    <s v="Sale"/>
    <s v="690Woo10"/>
    <x v="4"/>
    <n v="10022"/>
    <s v="Barneys New York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403"/>
    <s v="Sale"/>
    <s v="403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697"/>
    <s v="Sale"/>
    <s v="697Pro10"/>
    <x v="2"/>
    <n v="10022"/>
    <s v="Andrew Henderson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698"/>
    <s v="Sale"/>
    <s v="698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699"/>
    <s v="Sale"/>
    <s v="699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00"/>
    <s v="Sale"/>
    <s v="700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01"/>
    <s v="Sale"/>
    <s v="701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02"/>
    <s v="Sale"/>
    <s v="702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03"/>
    <s v="Sale"/>
    <s v="703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04"/>
    <s v="Sale"/>
    <s v="704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05"/>
    <s v="Sale"/>
    <s v="705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07"/>
    <s v="Sale"/>
    <s v="707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09"/>
    <s v="Sale"/>
    <s v="709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10"/>
    <s v="Sale"/>
    <s v="710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11"/>
    <s v="Sale"/>
    <s v="711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12"/>
    <s v="Sale"/>
    <s v="712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13"/>
    <s v="Sale"/>
    <s v="713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14"/>
    <s v="Sale"/>
    <s v="714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15"/>
    <s v="Sale"/>
    <s v="715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16"/>
    <s v="Sale"/>
    <s v="716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17"/>
    <s v="Sale"/>
    <s v="717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18"/>
    <s v="Sale"/>
    <s v="718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721"/>
    <s v="Sale"/>
    <s v="721Pro10"/>
    <x v="2"/>
    <n v="10022"/>
    <s v="Oscar Howard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726"/>
    <s v="Sale"/>
    <s v="726Pro10"/>
    <x v="2"/>
    <n v="10022"/>
    <s v="James Watson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727"/>
    <s v="Sale"/>
    <s v="727Pro10"/>
    <x v="2"/>
    <n v="10022"/>
    <s v="Sam Warren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728"/>
    <s v="Sale"/>
    <s v="728Pro10"/>
    <x v="2"/>
    <n v="10022"/>
    <s v="Dainton Smith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729"/>
    <s v="Sale"/>
    <s v="729Pro10"/>
    <x v="2"/>
    <n v="10022"/>
    <s v="Alfred Cole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730"/>
    <s v="Sale"/>
    <s v="730Pro10"/>
    <x v="2"/>
    <n v="10022"/>
    <s v="Ryan Campbell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731"/>
    <s v="Sale"/>
    <s v="731Pro10"/>
    <x v="2"/>
    <n v="10022"/>
    <s v="Luke Ryan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735"/>
    <s v="Sale"/>
    <s v="735Pro10"/>
    <x v="2"/>
    <n v="10022"/>
    <s v="Oliver Hall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736"/>
    <s v="Sale"/>
    <s v="736Pro10"/>
    <x v="2"/>
    <n v="10022"/>
    <s v="William Richards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737"/>
    <s v="Sale"/>
    <s v="737Pro10"/>
    <x v="2"/>
    <n v="10022"/>
    <s v="James Harper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738"/>
    <s v="Sale"/>
    <s v="738Pro10"/>
    <x v="2"/>
    <n v="10022"/>
    <s v="Patrick Mason"/>
    <s v="Online Individual"/>
    <x v="0"/>
    <x v="1"/>
    <x v="0"/>
    <s v="Male"/>
    <x v="1"/>
    <s v="Kenya"/>
    <s v="Africa"/>
    <n v="15"/>
    <n v="30"/>
    <x v="2"/>
    <s v="-"/>
    <s v="Style Risk"/>
    <s v="-"/>
    <s v="High Value"/>
  </r>
  <r>
    <n v="742"/>
    <s v="Sale"/>
    <s v="742Pro10"/>
    <x v="2"/>
    <n v="10022"/>
    <s v="Macys"/>
    <s v="Retail Buyer"/>
    <x v="0"/>
    <x v="1"/>
    <x v="0"/>
    <s v="Male"/>
    <x v="1"/>
    <s v="Kenya"/>
    <s v="Africa"/>
    <n v="15"/>
    <n v="30"/>
    <x v="2"/>
    <s v="-"/>
    <s v="Style Risk"/>
    <s v="-"/>
    <s v="High Value"/>
  </r>
  <r>
    <n v="404"/>
    <s v="Sale"/>
    <s v="404Bla90"/>
    <x v="0"/>
    <n v="90005"/>
    <s v="Alisa Ferguson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967"/>
    <s v="Sale"/>
    <s v="967Lig80"/>
    <x v="1"/>
    <n v="80123"/>
    <s v="Oliver Roger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68"/>
    <s v="Sale"/>
    <s v="968Lig80"/>
    <x v="1"/>
    <n v="80123"/>
    <s v="Preston Park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69"/>
    <s v="Sale"/>
    <s v="969Lig80"/>
    <x v="1"/>
    <n v="80123"/>
    <s v="Carl Cole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70"/>
    <s v="Sale"/>
    <s v="970Lig80"/>
    <x v="1"/>
    <n v="80123"/>
    <s v="Clark Johnst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71"/>
    <s v="Sale"/>
    <s v="971Lig80"/>
    <x v="1"/>
    <n v="80123"/>
    <s v="David Hunt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72"/>
    <s v="Sale"/>
    <s v="972Lig80"/>
    <x v="1"/>
    <n v="80123"/>
    <s v="David Ros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73"/>
    <s v="Sale"/>
    <s v="973Lig80"/>
    <x v="1"/>
    <n v="80123"/>
    <s v="James John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74"/>
    <s v="Sale"/>
    <s v="974Lig80"/>
    <x v="1"/>
    <n v="80123"/>
    <s v="Sawyer Hawkin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75"/>
    <s v="Sale"/>
    <s v="975Lig80"/>
    <x v="1"/>
    <n v="80123"/>
    <s v="Spike Walk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76"/>
    <s v="Sale"/>
    <s v="976Lig80"/>
    <x v="1"/>
    <n v="80123"/>
    <s v="Stuart Warre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77"/>
    <s v="Sale"/>
    <s v="977Sus80"/>
    <x v="5"/>
    <n v="80123"/>
    <s v="Daryl Ross"/>
    <s v="Online Individual"/>
    <x v="0"/>
    <x v="2"/>
    <x v="3"/>
    <s v="Female"/>
    <x v="2"/>
    <s v="Romania"/>
    <s v="Eastern Europe"/>
    <n v="350"/>
    <n v="450"/>
    <x v="3"/>
    <s v="Hub Risk"/>
    <s v="-"/>
    <s v="-"/>
    <s v="High Value"/>
  </r>
  <r>
    <n v="979"/>
    <s v="Sale"/>
    <s v="979Lig80"/>
    <x v="1"/>
    <n v="80123"/>
    <s v="Oliver Alle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82"/>
    <s v="Sale"/>
    <s v="982Lig80"/>
    <x v="1"/>
    <n v="80123"/>
    <s v="David Montgomery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85"/>
    <s v="Sale"/>
    <s v="985Lig80"/>
    <x v="1"/>
    <n v="80123"/>
    <s v="Abraham Carroll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86"/>
    <s v="Sale"/>
    <s v="986Sus80"/>
    <x v="5"/>
    <n v="80123"/>
    <s v="Walter Cameron"/>
    <s v="Online Individual"/>
    <x v="0"/>
    <x v="2"/>
    <x v="3"/>
    <s v="Female"/>
    <x v="2"/>
    <s v="Romania"/>
    <s v="Eastern Europe"/>
    <n v="350"/>
    <n v="450"/>
    <x v="3"/>
    <s v="Hub Risk"/>
    <s v="-"/>
    <s v="-"/>
    <s v="High Value"/>
  </r>
  <r>
    <n v="987"/>
    <s v="Sale"/>
    <s v="987Lig80"/>
    <x v="1"/>
    <n v="80123"/>
    <s v="Spike Robert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88"/>
    <s v="Sale"/>
    <s v="988Lig80"/>
    <x v="1"/>
    <n v="80123"/>
    <s v="Garry Ros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89"/>
    <s v="Sale"/>
    <s v="989Lig80"/>
    <x v="1"/>
    <n v="80123"/>
    <s v="Alfred Johnst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90"/>
    <s v="Sale"/>
    <s v="990Lig80"/>
    <x v="1"/>
    <n v="80123"/>
    <s v="Jack Elli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91"/>
    <s v="Sale"/>
    <s v="991Lig80"/>
    <x v="1"/>
    <n v="80123"/>
    <s v="Arnold Morri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92"/>
    <s v="Sale"/>
    <s v="992Lig80"/>
    <x v="1"/>
    <n v="80123"/>
    <s v="Alexander Stewart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93"/>
    <s v="Sale"/>
    <s v="993Lig80"/>
    <x v="1"/>
    <n v="80123"/>
    <s v="Marcus Casey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94"/>
    <s v="Sale"/>
    <s v="994Lig80"/>
    <x v="1"/>
    <n v="80123"/>
    <s v="Sawyer Chapma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95"/>
    <s v="Sale"/>
    <s v="995Lig80"/>
    <x v="1"/>
    <n v="80123"/>
    <s v="Jordan Camer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96"/>
    <s v="Sale"/>
    <s v="996Lig80"/>
    <x v="1"/>
    <n v="80123"/>
    <s v="Maximilian Hawkin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97"/>
    <s v="Sale"/>
    <s v="997Lig80"/>
    <x v="1"/>
    <n v="80123"/>
    <s v="Eric Park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98"/>
    <s v="Sale"/>
    <s v="998Lig80"/>
    <x v="1"/>
    <n v="80123"/>
    <s v="Daryl Park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999"/>
    <s v="Sale"/>
    <s v="999Lig80"/>
    <x v="1"/>
    <n v="80123"/>
    <s v="Elian Carroll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00"/>
    <s v="Sale"/>
    <s v="1000Lig80"/>
    <x v="1"/>
    <n v="80123"/>
    <s v="Ted Hunt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01"/>
    <s v="Sale"/>
    <s v="1001Lig80"/>
    <x v="1"/>
    <n v="80123"/>
    <s v="Ryan Roger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02"/>
    <s v="Sale"/>
    <s v="1002Sus80"/>
    <x v="5"/>
    <n v="80123"/>
    <s v="Carlos Hamilton"/>
    <s v="Online Individual"/>
    <x v="0"/>
    <x v="2"/>
    <x v="3"/>
    <s v="Female"/>
    <x v="2"/>
    <s v="Romania"/>
    <s v="Eastern Europe"/>
    <n v="350"/>
    <n v="450"/>
    <x v="3"/>
    <s v="Hub Risk"/>
    <s v="-"/>
    <s v="-"/>
    <s v="High Value"/>
  </r>
  <r>
    <n v="1003"/>
    <s v="Sale"/>
    <s v="1003Lig80"/>
    <x v="1"/>
    <n v="80123"/>
    <s v="Martin William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04"/>
    <s v="Sale"/>
    <s v="1004Lig80"/>
    <x v="1"/>
    <n v="80123"/>
    <s v="Paul Adam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05"/>
    <s v="Sale"/>
    <s v="1005Lig80"/>
    <x v="1"/>
    <n v="80123"/>
    <s v="Alexander Elli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06"/>
    <s v="Sale"/>
    <s v="1006Lig80"/>
    <x v="1"/>
    <n v="80123"/>
    <s v="Clark Turn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07"/>
    <s v="Sale"/>
    <s v="1007Lig80"/>
    <x v="1"/>
    <n v="80123"/>
    <s v="Alfred Harp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08"/>
    <s v="Sale"/>
    <s v="1008Lig80"/>
    <x v="1"/>
    <n v="80123"/>
    <s v="Thomas Ander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09"/>
    <s v="Sale"/>
    <s v="1009Lig80"/>
    <x v="1"/>
    <n v="80123"/>
    <s v="Aston Hill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10"/>
    <s v="Sale"/>
    <s v="1010Lig80"/>
    <x v="1"/>
    <n v="80123"/>
    <s v="Blake Lloyd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11"/>
    <s v="Sale"/>
    <s v="1011Lig80"/>
    <x v="1"/>
    <n v="80123"/>
    <s v="Ashton Camer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12"/>
    <s v="Sale"/>
    <s v="1012Lig80"/>
    <x v="1"/>
    <n v="80123"/>
    <s v="Stuart John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13"/>
    <s v="Sale"/>
    <s v="1013Lig80"/>
    <x v="1"/>
    <n v="80123"/>
    <s v="John Ander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14"/>
    <s v="Sale"/>
    <s v="1014Lig80"/>
    <x v="1"/>
    <n v="80123"/>
    <s v="Brad Bennett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15"/>
    <s v="Sale"/>
    <s v="1015Woo80"/>
    <x v="4"/>
    <n v="80123"/>
    <s v="Albert Alexander"/>
    <s v="Online Individual"/>
    <x v="0"/>
    <x v="2"/>
    <x v="3"/>
    <s v="Male"/>
    <x v="2"/>
    <s v="Moldova"/>
    <s v="Eastern Europe"/>
    <n v="475"/>
    <n v="600"/>
    <x v="4"/>
    <s v="Hub Risk"/>
    <s v="-"/>
    <s v="-"/>
    <s v="High Value"/>
  </r>
  <r>
    <n v="1016"/>
    <s v="Sale"/>
    <s v="1016Lig80"/>
    <x v="1"/>
    <n v="80123"/>
    <s v="Garry Smith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17"/>
    <s v="Sale"/>
    <s v="1017Lig80"/>
    <x v="1"/>
    <n v="80123"/>
    <s v="Adam Perkin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18"/>
    <s v="Sale"/>
    <s v="1018Lig80"/>
    <x v="1"/>
    <n v="80123"/>
    <s v="Dexter Wright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19"/>
    <s v="Sale"/>
    <s v="1019Lig80"/>
    <x v="1"/>
    <n v="80123"/>
    <s v="Jack Howard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20"/>
    <s v="Sale"/>
    <s v="1020Lig80"/>
    <x v="1"/>
    <n v="80123"/>
    <s v="Adrian Evan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21"/>
    <s v="Sale"/>
    <s v="1021Lig80"/>
    <x v="1"/>
    <n v="80123"/>
    <s v="Tony Adam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22"/>
    <s v="Sale"/>
    <s v="1022Lig80"/>
    <x v="1"/>
    <n v="80123"/>
    <s v="Max Coop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23"/>
    <s v="Sale"/>
    <s v="1023Lig80"/>
    <x v="1"/>
    <n v="80123"/>
    <s v="Dominik Myer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24"/>
    <s v="Sale"/>
    <s v="1024Lig80"/>
    <x v="1"/>
    <n v="80123"/>
    <s v="James Well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25"/>
    <s v="Sale"/>
    <s v="1025Lig80"/>
    <x v="1"/>
    <n v="80123"/>
    <s v="Andrew Fost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26"/>
    <s v="Sale"/>
    <s v="1026Lig80"/>
    <x v="1"/>
    <n v="80123"/>
    <s v="Antony Barne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27"/>
    <s v="Sale"/>
    <s v="1027Lig80"/>
    <x v="1"/>
    <n v="80123"/>
    <s v="Fenton Phillip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28"/>
    <s v="Sale"/>
    <s v="1028Lig80"/>
    <x v="1"/>
    <n v="80123"/>
    <s v="Aiden Coop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29"/>
    <s v="Sale"/>
    <s v="1029Lig80"/>
    <x v="1"/>
    <n v="80123"/>
    <s v="Aiden Ander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30"/>
    <s v="Sale"/>
    <s v="1030Lig80"/>
    <x v="1"/>
    <n v="80123"/>
    <s v="Lenny Fost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31"/>
    <s v="Sale"/>
    <s v="1031Lig80"/>
    <x v="1"/>
    <n v="80123"/>
    <s v="Steven Steven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32"/>
    <s v="Sale"/>
    <s v="1032Woo80"/>
    <x v="4"/>
    <n v="80123"/>
    <s v="George Ferguson"/>
    <s v="Online Individual"/>
    <x v="0"/>
    <x v="2"/>
    <x v="3"/>
    <s v="Male"/>
    <x v="2"/>
    <s v="Moldova"/>
    <s v="Eastern Europe"/>
    <n v="475"/>
    <n v="600"/>
    <x v="4"/>
    <s v="Hub Risk"/>
    <s v="-"/>
    <s v="-"/>
    <s v="High Value"/>
  </r>
  <r>
    <n v="1033"/>
    <s v="Sale"/>
    <s v="1033Lig80"/>
    <x v="1"/>
    <n v="80123"/>
    <s v="Edgar Warre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34"/>
    <s v="Sale"/>
    <s v="1034Lig80"/>
    <x v="1"/>
    <n v="80123"/>
    <s v="Vincent Fergu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35"/>
    <s v="Sale"/>
    <s v="1035Lig80"/>
    <x v="1"/>
    <n v="80123"/>
    <s v="Daniel Roger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36"/>
    <s v="Sale"/>
    <s v="1036Lig80"/>
    <x v="1"/>
    <n v="80123"/>
    <s v="Oliver Owen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37"/>
    <s v="Sale"/>
    <s v="1037Lig80"/>
    <x v="1"/>
    <n v="80123"/>
    <s v="Carl Hender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38"/>
    <s v="Sale"/>
    <s v="1038Lig80"/>
    <x v="1"/>
    <n v="80123"/>
    <s v="Luke Cole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39"/>
    <s v="Sale"/>
    <s v="1039Lig80"/>
    <x v="1"/>
    <n v="80123"/>
    <s v="Adam Chapma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40"/>
    <s v="Sale"/>
    <s v="1040Lig80"/>
    <x v="1"/>
    <n v="80123"/>
    <s v="Vincent Steven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41"/>
    <s v="Sale"/>
    <s v="1041Lig80"/>
    <x v="1"/>
    <n v="80123"/>
    <s v="Fenton Tuck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42"/>
    <s v="Sale"/>
    <s v="1042Lig80"/>
    <x v="1"/>
    <n v="80123"/>
    <s v="Freddie Thoma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43"/>
    <s v="Sale"/>
    <s v="1043Lig80"/>
    <x v="1"/>
    <n v="80123"/>
    <s v="Dainton Steven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44"/>
    <s v="Sale"/>
    <s v="1044Woo80"/>
    <x v="4"/>
    <n v="80123"/>
    <s v="Jared Jones"/>
    <s v="Online Individual"/>
    <x v="0"/>
    <x v="2"/>
    <x v="3"/>
    <s v="Male"/>
    <x v="2"/>
    <s v="Moldova"/>
    <s v="Eastern Europe"/>
    <n v="475"/>
    <n v="600"/>
    <x v="4"/>
    <s v="Hub Risk"/>
    <s v="-"/>
    <s v="-"/>
    <s v="High Value"/>
  </r>
  <r>
    <n v="1045"/>
    <s v="Sale"/>
    <s v="1045Lig80"/>
    <x v="1"/>
    <n v="80123"/>
    <s v="Max Phillip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46"/>
    <s v="Sale"/>
    <s v="1046Lig80"/>
    <x v="1"/>
    <n v="80123"/>
    <s v="Brad Ander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47"/>
    <s v="Sale"/>
    <s v="1047Lig80"/>
    <x v="1"/>
    <n v="80123"/>
    <s v="Oscar Wil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48"/>
    <s v="Sale"/>
    <s v="1048Lig80"/>
    <x v="1"/>
    <n v="80123"/>
    <s v="Ryan Johnst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49"/>
    <s v="Sale"/>
    <s v="1049Lig80"/>
    <x v="1"/>
    <n v="80123"/>
    <s v="Henry Barne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50"/>
    <s v="Sale"/>
    <s v="1050Lig80"/>
    <x v="1"/>
    <n v="80123"/>
    <s v="Martin Harri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51"/>
    <s v="Sale"/>
    <s v="1051Lig80"/>
    <x v="1"/>
    <n v="80123"/>
    <s v="Arnold Turn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52"/>
    <s v="Sale"/>
    <s v="1052Pro80"/>
    <x v="2"/>
    <n v="80123"/>
    <s v="Dale Spencer"/>
    <s v="Online Individual"/>
    <x v="0"/>
    <x v="2"/>
    <x v="3"/>
    <s v="Male"/>
    <x v="1"/>
    <s v="Kenya"/>
    <s v="Africa"/>
    <n v="15"/>
    <n v="30"/>
    <x v="2"/>
    <s v="Hub Risk"/>
    <s v="Style Risk"/>
    <s v="Risk"/>
    <s v="High Value"/>
  </r>
  <r>
    <n v="1053"/>
    <s v="Sale"/>
    <s v="1053Lig80"/>
    <x v="1"/>
    <n v="80123"/>
    <s v="Adison Morri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54"/>
    <s v="Sale"/>
    <s v="1054Lig80"/>
    <x v="1"/>
    <n v="80123"/>
    <s v="Walter Morri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55"/>
    <s v="Sale"/>
    <s v="1055Lig80"/>
    <x v="1"/>
    <n v="80123"/>
    <s v="Haris Hall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56"/>
    <s v="Sale"/>
    <s v="1056Woo80"/>
    <x v="4"/>
    <n v="80123"/>
    <s v="Lyndon Cameron"/>
    <s v="Online Individual"/>
    <x v="0"/>
    <x v="2"/>
    <x v="3"/>
    <s v="Male"/>
    <x v="2"/>
    <s v="Moldova"/>
    <s v="Eastern Europe"/>
    <n v="475"/>
    <n v="600"/>
    <x v="4"/>
    <s v="Hub Risk"/>
    <s v="-"/>
    <s v="-"/>
    <s v="High Value"/>
  </r>
  <r>
    <n v="1057"/>
    <s v="Sale"/>
    <s v="1057Pro80"/>
    <x v="2"/>
    <n v="80123"/>
    <s v="John Jones"/>
    <s v="Online Individual"/>
    <x v="0"/>
    <x v="2"/>
    <x v="3"/>
    <s v="Male"/>
    <x v="1"/>
    <s v="Kenya"/>
    <s v="Africa"/>
    <n v="15"/>
    <n v="30"/>
    <x v="2"/>
    <s v="Hub Risk"/>
    <s v="Style Risk"/>
    <s v="Risk"/>
    <s v="High Value"/>
  </r>
  <r>
    <n v="1058"/>
    <s v="Sale"/>
    <s v="1058Lig80"/>
    <x v="1"/>
    <n v="80123"/>
    <s v="Patrick Tuck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59"/>
    <s v="Sale"/>
    <s v="1059Lig80"/>
    <x v="1"/>
    <n v="80123"/>
    <s v="Robert Rya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60"/>
    <s v="Sale"/>
    <s v="1060Lig80"/>
    <x v="1"/>
    <n v="80123"/>
    <s v="Justin Crawford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61"/>
    <s v="Sale"/>
    <s v="1061Pro80"/>
    <x v="2"/>
    <n v="80123"/>
    <s v="Garry Martin"/>
    <s v="Online Individual"/>
    <x v="0"/>
    <x v="2"/>
    <x v="3"/>
    <s v="Male"/>
    <x v="1"/>
    <s v="Kenya"/>
    <s v="Africa"/>
    <n v="15"/>
    <n v="30"/>
    <x v="2"/>
    <s v="Hub Risk"/>
    <s v="Style Risk"/>
    <s v="Risk"/>
    <s v="High Value"/>
  </r>
  <r>
    <n v="1062"/>
    <s v="Sale"/>
    <s v="1062Lig80"/>
    <x v="1"/>
    <n v="80123"/>
    <s v="Alfred Marti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63"/>
    <s v="Sale"/>
    <s v="1063Lig80"/>
    <x v="1"/>
    <n v="80123"/>
    <s v="Andrew Murray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64"/>
    <s v="Sale"/>
    <s v="1064Lig80"/>
    <x v="1"/>
    <n v="80123"/>
    <s v="Richard Cart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65"/>
    <s v="Sale"/>
    <s v="1065Woo80"/>
    <x v="4"/>
    <n v="80123"/>
    <s v="Daryl Cole"/>
    <s v="Online Individual"/>
    <x v="0"/>
    <x v="2"/>
    <x v="3"/>
    <s v="Male"/>
    <x v="2"/>
    <s v="Moldova"/>
    <s v="Eastern Europe"/>
    <n v="475"/>
    <n v="600"/>
    <x v="4"/>
    <s v="Hub Risk"/>
    <s v="-"/>
    <s v="-"/>
    <s v="High Value"/>
  </r>
  <r>
    <n v="1066"/>
    <s v="Sale"/>
    <s v="1066Lig80"/>
    <x v="1"/>
    <n v="80123"/>
    <s v="Arthur Robin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67"/>
    <s v="Sale"/>
    <s v="1067Lig80"/>
    <x v="1"/>
    <n v="80123"/>
    <s v="Ted Myer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68"/>
    <s v="Sale"/>
    <s v="1068Lig80"/>
    <x v="1"/>
    <n v="80123"/>
    <s v="Victor Smith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69"/>
    <s v="Sale"/>
    <s v="1069Lig80"/>
    <x v="1"/>
    <n v="80123"/>
    <s v="John Smith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70"/>
    <s v="Sale"/>
    <s v="1070Woo80"/>
    <x v="4"/>
    <n v="80123"/>
    <s v="Alexander Warren"/>
    <s v="Online Individual"/>
    <x v="0"/>
    <x v="2"/>
    <x v="3"/>
    <s v="Male"/>
    <x v="2"/>
    <s v="Moldova"/>
    <s v="Eastern Europe"/>
    <n v="475"/>
    <n v="600"/>
    <x v="4"/>
    <s v="Hub Risk"/>
    <s v="-"/>
    <s v="-"/>
    <s v="High Value"/>
  </r>
  <r>
    <n v="1071"/>
    <s v="Sale"/>
    <s v="1071Lig80"/>
    <x v="1"/>
    <n v="80123"/>
    <s v="Adrian Thomp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72"/>
    <s v="Sale"/>
    <s v="1072Lig80"/>
    <x v="1"/>
    <n v="80123"/>
    <s v="Andrew Wat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73"/>
    <s v="Sale"/>
    <s v="1073Lig80"/>
    <x v="1"/>
    <n v="80123"/>
    <s v="Charlie Harp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74"/>
    <s v="Sale"/>
    <s v="1074Pro80"/>
    <x v="2"/>
    <n v="80123"/>
    <s v="Aiden Moore"/>
    <s v="Online Individual"/>
    <x v="0"/>
    <x v="1"/>
    <x v="3"/>
    <s v="Male"/>
    <x v="1"/>
    <s v="Kenya"/>
    <s v="Africa"/>
    <n v="15"/>
    <n v="30"/>
    <x v="2"/>
    <s v="Hub Risk"/>
    <s v="Style Risk"/>
    <s v="Risk"/>
    <s v="High Value"/>
  </r>
  <r>
    <n v="1075"/>
    <s v="Sale"/>
    <s v="1075Lig80"/>
    <x v="1"/>
    <n v="80123"/>
    <s v="Luke Bennett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76"/>
    <s v="Sale"/>
    <s v="1076Pro80"/>
    <x v="2"/>
    <n v="80123"/>
    <s v="Haris Thompson"/>
    <s v="Online Individual"/>
    <x v="0"/>
    <x v="1"/>
    <x v="3"/>
    <s v="Male"/>
    <x v="1"/>
    <s v="Kenya"/>
    <s v="Africa"/>
    <n v="15"/>
    <n v="30"/>
    <x v="2"/>
    <s v="Hub Risk"/>
    <s v="Style Risk"/>
    <s v="Risk"/>
    <s v="High Value"/>
  </r>
  <r>
    <n v="1077"/>
    <s v="Sale"/>
    <s v="1077Lig80"/>
    <x v="1"/>
    <n v="80123"/>
    <s v="Mike Alle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78"/>
    <s v="Sale"/>
    <s v="1078Pro80"/>
    <x v="2"/>
    <n v="80123"/>
    <s v="Martin Murray"/>
    <s v="Online Individual"/>
    <x v="0"/>
    <x v="1"/>
    <x v="3"/>
    <s v="Male"/>
    <x v="1"/>
    <s v="Kenya"/>
    <s v="Africa"/>
    <n v="15"/>
    <n v="30"/>
    <x v="2"/>
    <s v="Hub Risk"/>
    <s v="Style Risk"/>
    <s v="Risk"/>
    <s v="High Value"/>
  </r>
  <r>
    <n v="1079"/>
    <s v="Sale"/>
    <s v="1079Lig80"/>
    <x v="1"/>
    <n v="80123"/>
    <s v="Dainton Morga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80"/>
    <s v="Sale"/>
    <s v="1080Lig80"/>
    <x v="1"/>
    <n v="80123"/>
    <s v="Mike Reed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81"/>
    <s v="Sale"/>
    <s v="1081Lig80"/>
    <x v="1"/>
    <n v="80123"/>
    <s v="Dexter Stewart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82"/>
    <s v="Sale"/>
    <s v="1082Lig80"/>
    <x v="1"/>
    <n v="80123"/>
    <s v="James Sulliva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83"/>
    <s v="Sale"/>
    <s v="1083Lig80"/>
    <x v="1"/>
    <n v="80123"/>
    <s v="John William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84"/>
    <s v="Sale"/>
    <s v="1084Lig80"/>
    <x v="1"/>
    <n v="80123"/>
    <s v="Edwin Lloyd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85"/>
    <s v="Sale"/>
    <s v="1085Lig80"/>
    <x v="1"/>
    <n v="80123"/>
    <s v="Julian Lloyd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86"/>
    <s v="Sale"/>
    <s v="1086Lig80"/>
    <x v="1"/>
    <n v="80123"/>
    <s v="Eddy Harri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87"/>
    <s v="Sale"/>
    <s v="1087Lig80"/>
    <x v="1"/>
    <n v="80123"/>
    <s v="Stuart Nel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88"/>
    <s v="Sale"/>
    <s v="1088Lig80"/>
    <x v="1"/>
    <n v="80123"/>
    <s v="Patrick Turner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89"/>
    <s v="Sale"/>
    <s v="1089Lig80"/>
    <x v="1"/>
    <n v="80123"/>
    <s v="Dexter Perkins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405"/>
    <s v="Sale"/>
    <s v="405Bla90"/>
    <x v="0"/>
    <n v="90005"/>
    <s v="Mary Ferguson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1091"/>
    <s v="Sale"/>
    <s v="1091Lig10"/>
    <x v="1"/>
    <n v="10022"/>
    <s v="Macys"/>
    <s v="Retail Buyer"/>
    <x v="0"/>
    <x v="1"/>
    <x v="0"/>
    <s v="Male"/>
    <x v="1"/>
    <s v="Ethiopia"/>
    <s v="Africa"/>
    <n v="10"/>
    <n v="20"/>
    <x v="1"/>
    <s v="-"/>
    <s v="Style Risk"/>
    <s v="-"/>
    <s v="High Value"/>
  </r>
  <r>
    <n v="1092"/>
    <s v="Sale"/>
    <s v="1092Lig80"/>
    <x v="1"/>
    <n v="80123"/>
    <s v="Ryan Murphy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93"/>
    <s v="Sale"/>
    <s v="1093Lig80"/>
    <x v="1"/>
    <n v="80123"/>
    <s v="Eric Morri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406"/>
    <s v="Sale"/>
    <s v="406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1095"/>
    <s v="Sale"/>
    <s v="1095Lig80"/>
    <x v="1"/>
    <n v="80123"/>
    <s v="Carlos Murray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096"/>
    <s v="Sale"/>
    <s v="1096Lig80"/>
    <x v="1"/>
    <n v="80123"/>
    <s v="Daniel Henderso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407"/>
    <s v="Sale"/>
    <s v="407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1098"/>
    <s v="Sale"/>
    <s v="1098Lig80"/>
    <x v="1"/>
    <n v="80123"/>
    <s v="Julian Kelly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408"/>
    <s v="Sale"/>
    <s v="408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1100"/>
    <s v="Sale"/>
    <s v="1100Lig80"/>
    <x v="1"/>
    <n v="80123"/>
    <s v="Eric Warren"/>
    <s v="Online Individual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101"/>
    <s v="Sale"/>
    <s v="1101Lig80"/>
    <x v="1"/>
    <n v="80123"/>
    <s v="Target"/>
    <s v="Retail Buyer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102"/>
    <s v="Sale"/>
    <s v="1102Lig80"/>
    <x v="1"/>
    <n v="80123"/>
    <s v="Target"/>
    <s v="Retail Buyer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103"/>
    <s v="Sale"/>
    <s v="1103Lig80"/>
    <x v="1"/>
    <n v="80123"/>
    <s v="Target"/>
    <s v="Retail Buyer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104"/>
    <s v="Sale"/>
    <s v="1104Lig80"/>
    <x v="1"/>
    <n v="80123"/>
    <s v="Target"/>
    <s v="Retail Buyer"/>
    <x v="0"/>
    <x v="2"/>
    <x v="3"/>
    <s v="Male"/>
    <x v="1"/>
    <s v="Ethiopia"/>
    <s v="Africa"/>
    <n v="10"/>
    <n v="20"/>
    <x v="1"/>
    <s v="Hub Risk"/>
    <s v="Style Risk"/>
    <s v="Risk"/>
    <s v="High Value"/>
  </r>
  <r>
    <n v="1105"/>
    <s v="Sale"/>
    <s v="1105Lig10"/>
    <x v="1"/>
    <n v="10022"/>
    <s v="Macys"/>
    <s v="Retail Buyer"/>
    <x v="0"/>
    <x v="1"/>
    <x v="0"/>
    <s v="Male"/>
    <x v="1"/>
    <s v="Ethiopia"/>
    <s v="Africa"/>
    <n v="10"/>
    <n v="20"/>
    <x v="1"/>
    <s v="-"/>
    <s v="Style Risk"/>
    <s v="-"/>
    <s v="High Value"/>
  </r>
  <r>
    <n v="1106"/>
    <s v="Sale"/>
    <s v="1106Lig10"/>
    <x v="1"/>
    <n v="10022"/>
    <s v="Macys"/>
    <s v="Retail Buyer"/>
    <x v="0"/>
    <x v="1"/>
    <x v="0"/>
    <s v="Male"/>
    <x v="1"/>
    <s v="Ethiopia"/>
    <s v="Africa"/>
    <n v="10"/>
    <n v="20"/>
    <x v="1"/>
    <s v="-"/>
    <s v="Style Risk"/>
    <s v="-"/>
    <s v="High Value"/>
  </r>
  <r>
    <n v="1107"/>
    <s v="Sale"/>
    <s v="1107Lig10"/>
    <x v="1"/>
    <n v="10022"/>
    <s v="Macys"/>
    <s v="Retail Buyer"/>
    <x v="0"/>
    <x v="1"/>
    <x v="0"/>
    <s v="Male"/>
    <x v="1"/>
    <s v="Ethiopia"/>
    <s v="Africa"/>
    <n v="10"/>
    <n v="20"/>
    <x v="1"/>
    <s v="-"/>
    <s v="Style Risk"/>
    <s v="-"/>
    <s v="High Value"/>
  </r>
  <r>
    <n v="1108"/>
    <s v="Sale"/>
    <s v="1108Lig10"/>
    <x v="1"/>
    <n v="10022"/>
    <s v="Macys"/>
    <s v="Retail Buyer"/>
    <x v="0"/>
    <x v="1"/>
    <x v="0"/>
    <s v="Male"/>
    <x v="1"/>
    <s v="Ethiopia"/>
    <s v="Africa"/>
    <n v="10"/>
    <n v="20"/>
    <x v="1"/>
    <s v="-"/>
    <s v="Style Risk"/>
    <s v="-"/>
    <s v="High Value"/>
  </r>
  <r>
    <n v="1"/>
    <s v="Sale"/>
    <s v="1Red90"/>
    <x v="6"/>
    <n v="90001"/>
    <s v="Cadie Alexander"/>
    <s v="Online Individual"/>
    <x v="0"/>
    <x v="1"/>
    <x v="1"/>
    <s v="Female"/>
    <x v="1"/>
    <s v="Honduras"/>
    <s v="Central America"/>
    <n v="30"/>
    <n v="45"/>
    <x v="2"/>
    <s v="Hub Risk"/>
    <s v="Style Risk"/>
    <s v="Risk"/>
    <s v="High Value"/>
  </r>
  <r>
    <n v="2"/>
    <s v="Sale"/>
    <s v="2Red90"/>
    <x v="6"/>
    <n v="90001"/>
    <s v="Jasmine Wilson"/>
    <s v="Online Individual"/>
    <x v="0"/>
    <x v="1"/>
    <x v="1"/>
    <s v="Female"/>
    <x v="1"/>
    <s v="Honduras"/>
    <s v="Central America"/>
    <n v="30"/>
    <n v="45"/>
    <x v="2"/>
    <s v="Hub Risk"/>
    <s v="Style Risk"/>
    <s v="Risk"/>
    <s v="High Value"/>
  </r>
  <r>
    <n v="5"/>
    <s v="Sale"/>
    <s v="5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6"/>
    <s v="Sale"/>
    <s v="6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8"/>
    <s v="Sale"/>
    <s v="8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"/>
    <s v="Sale"/>
    <s v="13Woo10"/>
    <x v="4"/>
    <n v="10001"/>
    <s v="Macys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15"/>
    <s v="Sale"/>
    <s v="15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16"/>
    <s v="Sale"/>
    <s v="16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18"/>
    <s v="Sale"/>
    <s v="18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20"/>
    <s v="Sale"/>
    <s v="20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22"/>
    <s v="Sale"/>
    <s v="22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24"/>
    <s v="Sale"/>
    <s v="24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26"/>
    <s v="Sale"/>
    <s v="26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27"/>
    <s v="Sale"/>
    <s v="27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31"/>
    <s v="Sale"/>
    <s v="31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37"/>
    <s v="Sale"/>
    <s v="37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38"/>
    <s v="Sale"/>
    <s v="38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39"/>
    <s v="Sale"/>
    <s v="39Woo10"/>
    <x v="4"/>
    <n v="10001"/>
    <s v="Macys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40"/>
    <s v="Sale"/>
    <s v="40Woo10"/>
    <x v="4"/>
    <n v="10001"/>
    <s v="Macys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41"/>
    <s v="Sale"/>
    <s v="41Woo10"/>
    <x v="4"/>
    <n v="10001"/>
    <s v="Macys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42"/>
    <s v="Sale"/>
    <s v="42Woo10"/>
    <x v="4"/>
    <n v="10001"/>
    <s v="Macys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43"/>
    <s v="Sale"/>
    <s v="43Woo10"/>
    <x v="4"/>
    <n v="10001"/>
    <s v="Macys"/>
    <s v="Retail Buyer"/>
    <x v="0"/>
    <x v="2"/>
    <x v="0"/>
    <s v="Male"/>
    <x v="2"/>
    <s v="Moldova"/>
    <s v="Eastern Europe"/>
    <n v="475"/>
    <n v="600"/>
    <x v="4"/>
    <s v="-"/>
    <s v="-"/>
    <s v="-"/>
    <s v="High Value"/>
  </r>
  <r>
    <n v="44"/>
    <s v="Sale"/>
    <s v="44Woo10"/>
    <x v="4"/>
    <n v="10001"/>
    <s v="Sienna Sullivan"/>
    <s v="Online Individual"/>
    <x v="0"/>
    <x v="2"/>
    <x v="0"/>
    <s v="Male"/>
    <x v="2"/>
    <s v="Moldova"/>
    <s v="Eastern Europe"/>
    <n v="475"/>
    <n v="600"/>
    <x v="4"/>
    <s v="-"/>
    <s v="-"/>
    <s v="-"/>
    <s v="High Value"/>
  </r>
  <r>
    <n v="45"/>
    <s v="Sale"/>
    <s v="45Woo10"/>
    <x v="4"/>
    <n v="10001"/>
    <s v="Hailey Foster"/>
    <s v="Online Individual"/>
    <x v="0"/>
    <x v="2"/>
    <x v="0"/>
    <s v="Male"/>
    <x v="2"/>
    <s v="Moldova"/>
    <s v="Eastern Europe"/>
    <n v="475"/>
    <n v="600"/>
    <x v="4"/>
    <s v="-"/>
    <s v="-"/>
    <s v="-"/>
    <s v="High Value"/>
  </r>
  <r>
    <n v="46"/>
    <s v="Sale"/>
    <s v="46Woo10"/>
    <x v="4"/>
    <n v="10001"/>
    <s v="Violet Tucker"/>
    <s v="Online Individual"/>
    <x v="0"/>
    <x v="2"/>
    <x v="0"/>
    <s v="Male"/>
    <x v="2"/>
    <s v="Moldova"/>
    <s v="Eastern Europe"/>
    <n v="475"/>
    <n v="600"/>
    <x v="4"/>
    <s v="-"/>
    <s v="-"/>
    <s v="-"/>
    <s v="High Value"/>
  </r>
  <r>
    <n v="47"/>
    <s v="Sale"/>
    <s v="47Woo10"/>
    <x v="4"/>
    <n v="10001"/>
    <s v="Sienna Davis"/>
    <s v="Online Individual"/>
    <x v="0"/>
    <x v="2"/>
    <x v="0"/>
    <s v="Male"/>
    <x v="2"/>
    <s v="Moldova"/>
    <s v="Eastern Europe"/>
    <n v="475"/>
    <n v="600"/>
    <x v="4"/>
    <s v="-"/>
    <s v="-"/>
    <s v="-"/>
    <s v="High Value"/>
  </r>
  <r>
    <n v="49"/>
    <s v="Sale"/>
    <s v="49Sus10"/>
    <x v="5"/>
    <n v="10001"/>
    <s v="Lucy Jones"/>
    <s v="Online Individual"/>
    <x v="0"/>
    <x v="2"/>
    <x v="0"/>
    <s v="Female"/>
    <x v="2"/>
    <s v="Romania"/>
    <s v="Eastern Europe"/>
    <n v="350"/>
    <n v="450"/>
    <x v="3"/>
    <s v="-"/>
    <s v="-"/>
    <s v="-"/>
    <s v="High Value"/>
  </r>
  <r>
    <n v="50"/>
    <s v="Sale"/>
    <s v="50Red10"/>
    <x v="6"/>
    <n v="10001"/>
    <s v="Amanda Coop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51"/>
    <s v="Sale"/>
    <s v="51Red10"/>
    <x v="6"/>
    <n v="10001"/>
    <s v="Honey Walk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52"/>
    <s v="Sale"/>
    <s v="52Sus10"/>
    <x v="5"/>
    <n v="10001"/>
    <s v="Briony Williams"/>
    <s v="Online Individual"/>
    <x v="0"/>
    <x v="2"/>
    <x v="0"/>
    <s v="Female"/>
    <x v="2"/>
    <s v="Romania"/>
    <s v="Eastern Europe"/>
    <n v="350"/>
    <n v="450"/>
    <x v="3"/>
    <s v="-"/>
    <s v="-"/>
    <s v="-"/>
    <s v="High Value"/>
  </r>
  <r>
    <n v="53"/>
    <s v="Sale"/>
    <s v="53Sus10"/>
    <x v="5"/>
    <n v="10001"/>
    <s v="Miranda Rogers"/>
    <s v="Online Individual"/>
    <x v="0"/>
    <x v="2"/>
    <x v="0"/>
    <s v="Female"/>
    <x v="2"/>
    <s v="Romania"/>
    <s v="Eastern Europe"/>
    <n v="350"/>
    <n v="450"/>
    <x v="3"/>
    <s v="-"/>
    <s v="-"/>
    <s v="-"/>
    <s v="High Value"/>
  </r>
  <r>
    <n v="54"/>
    <s v="Sale"/>
    <s v="54Sus10"/>
    <x v="5"/>
    <n v="10001"/>
    <s v="Macys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5"/>
    <s v="Sale"/>
    <s v="55Sus10"/>
    <x v="5"/>
    <n v="10001"/>
    <s v="Macys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6"/>
    <s v="Sale"/>
    <s v="56Sus10"/>
    <x v="5"/>
    <n v="10001"/>
    <s v="Macys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7"/>
    <s v="Sale"/>
    <s v="57Sus10"/>
    <x v="5"/>
    <n v="10001"/>
    <s v="Macys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8"/>
    <s v="Sale"/>
    <s v="58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60"/>
    <s v="Sale"/>
    <s v="60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61"/>
    <s v="Sale"/>
    <s v="61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409"/>
    <s v="Sale"/>
    <s v="409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410"/>
    <s v="Sale"/>
    <s v="410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411"/>
    <s v="Sale"/>
    <s v="411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412"/>
    <s v="Sale"/>
    <s v="412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413"/>
    <s v="Sale"/>
    <s v="413Bla90"/>
    <x v="0"/>
    <n v="90005"/>
    <s v="Vivian Ellis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414"/>
    <s v="Sale"/>
    <s v="414Bla90"/>
    <x v="0"/>
    <n v="90005"/>
    <s v="Lydia Hunt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416"/>
    <s v="Sale"/>
    <s v="416Bla90"/>
    <x v="0"/>
    <n v="90005"/>
    <s v="Kate Turner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417"/>
    <s v="Sale"/>
    <s v="417Bla90"/>
    <x v="0"/>
    <n v="90005"/>
    <s v="Alisa Carter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500"/>
    <s v="Sale"/>
    <s v="500Bla90"/>
    <x v="0"/>
    <n v="90005"/>
    <s v="Paige Mitchell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72"/>
    <s v="Sale"/>
    <s v="72Nav10"/>
    <x v="7"/>
    <n v="10001"/>
    <s v="Catherine Hamilton"/>
    <s v="Online Individual"/>
    <x v="0"/>
    <x v="1"/>
    <x v="0"/>
    <s v="Female"/>
    <x v="1"/>
    <s v="Guatemala"/>
    <s v="Central America"/>
    <n v="25"/>
    <n v="30"/>
    <x v="5"/>
    <s v="-"/>
    <s v="Style Risk"/>
    <s v="-"/>
    <s v="Low Value"/>
  </r>
  <r>
    <n v="514"/>
    <s v="Sale"/>
    <s v="514Bla90"/>
    <x v="0"/>
    <n v="90005"/>
    <s v="Camila Nelson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516"/>
    <s v="Sale"/>
    <s v="516Bla90"/>
    <x v="0"/>
    <n v="90005"/>
    <s v="Myra Murphy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538"/>
    <s v="Sale"/>
    <s v="538Bla90"/>
    <x v="0"/>
    <n v="90005"/>
    <s v="Sydney Harris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540"/>
    <s v="Sale"/>
    <s v="540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542"/>
    <s v="Sale"/>
    <s v="542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549"/>
    <s v="Sale"/>
    <s v="549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550"/>
    <s v="Sale"/>
    <s v="550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551"/>
    <s v="Sale"/>
    <s v="551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81"/>
    <s v="Sale"/>
    <s v="81Red10"/>
    <x v="6"/>
    <n v="10013"/>
    <s v="Aida Hawkin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82"/>
    <s v="Sale"/>
    <s v="82Red10"/>
    <x v="6"/>
    <n v="10013"/>
    <s v="Joyce Farrell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83"/>
    <s v="Sale"/>
    <s v="83Red10"/>
    <x v="6"/>
    <n v="10013"/>
    <s v="Jasmine Coop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84"/>
    <s v="Sale"/>
    <s v="84Red10"/>
    <x v="6"/>
    <n v="10013"/>
    <s v="Heather Edward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85"/>
    <s v="Sale"/>
    <s v="85Red10"/>
    <x v="6"/>
    <n v="10013"/>
    <s v="Agata William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86"/>
    <s v="Sale"/>
    <s v="86Red10"/>
    <x v="6"/>
    <n v="10013"/>
    <s v="Deanna Morrison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87"/>
    <s v="Sale"/>
    <s v="87Red10"/>
    <x v="6"/>
    <n v="10013"/>
    <s v="Cadie Ferguson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88"/>
    <s v="Sale"/>
    <s v="88Red10"/>
    <x v="6"/>
    <n v="10013"/>
    <s v="Abigail Cole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89"/>
    <s v="Sale"/>
    <s v="89Red10"/>
    <x v="6"/>
    <n v="10013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90"/>
    <s v="Sale"/>
    <s v="90Red10"/>
    <x v="6"/>
    <n v="10013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91"/>
    <s v="Sale"/>
    <s v="91Red10"/>
    <x v="6"/>
    <n v="10013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92"/>
    <s v="Sale"/>
    <s v="92Car10"/>
    <x v="8"/>
    <n v="10013"/>
    <s v="Macys"/>
    <s v="Retail Buyer"/>
    <x v="0"/>
    <x v="1"/>
    <x v="0"/>
    <s v="Female"/>
    <x v="0"/>
    <s v="Iran"/>
    <s v="Middle East"/>
    <n v="75"/>
    <n v="125"/>
    <x v="6"/>
    <s v="-"/>
    <s v="Style Risk"/>
    <s v="-"/>
    <s v="High Value"/>
  </r>
  <r>
    <n v="93"/>
    <s v="Sale"/>
    <s v="93Red10"/>
    <x v="6"/>
    <n v="10013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94"/>
    <s v="Sale"/>
    <s v="94Bla10"/>
    <x v="0"/>
    <n v="10013"/>
    <s v="Macys"/>
    <s v="Retail Buyer"/>
    <x v="0"/>
    <x v="1"/>
    <x v="0"/>
    <s v="Female"/>
    <x v="0"/>
    <s v="Afghanistan"/>
    <s v="Middle East"/>
    <n v="150"/>
    <n v="75"/>
    <x v="0"/>
    <s v="-"/>
    <s v="Style Risk"/>
    <s v="-"/>
    <s v="Low Value"/>
  </r>
  <r>
    <n v="95"/>
    <s v="Sale"/>
    <s v="95Red10"/>
    <x v="6"/>
    <n v="10013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96"/>
    <s v="Sale"/>
    <s v="96Red10"/>
    <x v="6"/>
    <n v="10013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97"/>
    <s v="Sale"/>
    <s v="97Red10"/>
    <x v="6"/>
    <n v="10013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98"/>
    <s v="Sale"/>
    <s v="98Red10"/>
    <x v="6"/>
    <n v="10013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99"/>
    <s v="Sale"/>
    <s v="99Red10"/>
    <x v="6"/>
    <n v="10013"/>
    <s v="Lilianna Morri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00"/>
    <s v="Sale"/>
    <s v="100Red10"/>
    <x v="6"/>
    <n v="10013"/>
    <s v="Paige Walk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02"/>
    <s v="Sale"/>
    <s v="102Car10"/>
    <x v="8"/>
    <n v="10013"/>
    <s v="Amanda Moore"/>
    <s v="Online Individual"/>
    <x v="0"/>
    <x v="1"/>
    <x v="0"/>
    <s v="Female"/>
    <x v="0"/>
    <s v="Iran"/>
    <s v="Middle East"/>
    <n v="75"/>
    <n v="125"/>
    <x v="6"/>
    <s v="-"/>
    <s v="Style Risk"/>
    <s v="-"/>
    <s v="High Value"/>
  </r>
  <r>
    <n v="103"/>
    <s v="Sale"/>
    <s v="103Red10"/>
    <x v="6"/>
    <n v="10013"/>
    <s v="Naomi Turn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04"/>
    <s v="Sale"/>
    <s v="104Red10"/>
    <x v="6"/>
    <n v="10013"/>
    <s v="Jessica Moore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05"/>
    <s v="Sale"/>
    <s v="105Red10"/>
    <x v="6"/>
    <n v="10013"/>
    <s v="Connie Adam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06"/>
    <s v="Sale"/>
    <s v="106Red10"/>
    <x v="6"/>
    <n v="10013"/>
    <s v="Naomi Morri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07"/>
    <s v="Sale"/>
    <s v="107Red10"/>
    <x v="6"/>
    <n v="10013"/>
    <s v="Lilianna Carroll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08"/>
    <s v="Sale"/>
    <s v="108Red10"/>
    <x v="6"/>
    <n v="10013"/>
    <s v="Honey Kelley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09"/>
    <s v="Sale"/>
    <s v="109Red10"/>
    <x v="6"/>
    <n v="10013"/>
    <s v="Ada Howard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0"/>
    <s v="Sale"/>
    <s v="110Red10"/>
    <x v="6"/>
    <n v="10013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1"/>
    <s v="Sale"/>
    <s v="111Bla10"/>
    <x v="0"/>
    <n v="10013"/>
    <s v="Macys"/>
    <s v="Retail Buyer"/>
    <x v="0"/>
    <x v="1"/>
    <x v="0"/>
    <s v="Female"/>
    <x v="0"/>
    <s v="Afghanistan"/>
    <s v="Middle East"/>
    <n v="150"/>
    <n v="75"/>
    <x v="0"/>
    <s v="-"/>
    <s v="Style Risk"/>
    <s v="-"/>
    <s v="Low Value"/>
  </r>
  <r>
    <n v="112"/>
    <s v="Sale"/>
    <s v="112Red10"/>
    <x v="6"/>
    <n v="10013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3"/>
    <s v="Sale"/>
    <s v="113Red10"/>
    <x v="6"/>
    <n v="10013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4"/>
    <s v="Sale"/>
    <s v="114Red10"/>
    <x v="6"/>
    <n v="10013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5"/>
    <s v="Sale"/>
    <s v="115Red10"/>
    <x v="6"/>
    <n v="10013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9"/>
    <s v="Sale"/>
    <s v="119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0"/>
    <s v="Sale"/>
    <s v="120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1"/>
    <s v="Sale"/>
    <s v="121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5"/>
    <s v="Sale"/>
    <s v="135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136"/>
    <s v="Sale"/>
    <s v="136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137"/>
    <s v="Sale"/>
    <s v="137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8"/>
    <s v="Sale"/>
    <s v="138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9"/>
    <s v="Sale"/>
    <s v="139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40"/>
    <s v="Sale"/>
    <s v="140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41"/>
    <s v="Sale"/>
    <s v="141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42"/>
    <s v="Sale"/>
    <s v="142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43"/>
    <s v="Sale"/>
    <s v="143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44"/>
    <s v="Sale"/>
    <s v="144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45"/>
    <s v="Sale"/>
    <s v="145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46"/>
    <s v="Sale"/>
    <s v="146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47"/>
    <s v="Sale"/>
    <s v="147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48"/>
    <s v="Sale"/>
    <s v="148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149"/>
    <s v="Sale"/>
    <s v="149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150"/>
    <s v="Sale"/>
    <s v="150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51"/>
    <s v="Sale"/>
    <s v="151Red10"/>
    <x v="6"/>
    <n v="10022"/>
    <s v="Melanie Smith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52"/>
    <s v="Sale"/>
    <s v="152Red10"/>
    <x v="6"/>
    <n v="10022"/>
    <s v="Darcy Andrew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55"/>
    <s v="Sale"/>
    <s v="155Red10"/>
    <x v="6"/>
    <n v="10022"/>
    <s v="Nicole Perkin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56"/>
    <s v="Sale"/>
    <s v="156Red10"/>
    <x v="6"/>
    <n v="10022"/>
    <s v="Michelle Hawkin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57"/>
    <s v="Sale"/>
    <s v="157Red10"/>
    <x v="6"/>
    <n v="10022"/>
    <s v="Natalie Kelley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58"/>
    <s v="Sale"/>
    <s v="158Red10"/>
    <x v="6"/>
    <n v="10022"/>
    <s v="Gianna Crawford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59"/>
    <s v="Sale"/>
    <s v="159Red10"/>
    <x v="6"/>
    <n v="10022"/>
    <s v="Emma Craig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60"/>
    <s v="Sale"/>
    <s v="160Red10"/>
    <x v="6"/>
    <n v="10022"/>
    <s v="Paige Montgomery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61"/>
    <s v="Sale"/>
    <s v="161Red10"/>
    <x v="6"/>
    <n v="10022"/>
    <s v="Rebecca Nelson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62"/>
    <s v="Sale"/>
    <s v="162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63"/>
    <s v="Sale"/>
    <s v="163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64"/>
    <s v="Sale"/>
    <s v="164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65"/>
    <s v="Sale"/>
    <s v="165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66"/>
    <s v="Sale"/>
    <s v="166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67"/>
    <s v="Sale"/>
    <s v="167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68"/>
    <s v="Sale"/>
    <s v="168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69"/>
    <s v="Sale"/>
    <s v="169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70"/>
    <s v="Sale"/>
    <s v="170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77"/>
    <s v="Sale"/>
    <s v="177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78"/>
    <s v="Sale"/>
    <s v="178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80"/>
    <s v="Sale"/>
    <s v="180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81"/>
    <s v="Sale"/>
    <s v="181Bla10"/>
    <x v="0"/>
    <n v="10022"/>
    <s v="SAKS Fifth Avenue"/>
    <s v="Retail Buyer"/>
    <x v="0"/>
    <x v="2"/>
    <x v="0"/>
    <s v="Female"/>
    <x v="0"/>
    <s v="Afghanistan"/>
    <s v="Middle East"/>
    <n v="150"/>
    <n v="75"/>
    <x v="0"/>
    <s v="-"/>
    <s v="Style Risk"/>
    <s v="-"/>
    <s v="Low Value"/>
  </r>
  <r>
    <n v="182"/>
    <s v="Sale"/>
    <s v="182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83"/>
    <s v="Sale"/>
    <s v="183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84"/>
    <s v="Sale"/>
    <s v="184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85"/>
    <s v="Sale"/>
    <s v="185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86"/>
    <s v="Sale"/>
    <s v="186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87"/>
    <s v="Sale"/>
    <s v="187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88"/>
    <s v="Sale"/>
    <s v="188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89"/>
    <s v="Sale"/>
    <s v="189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90"/>
    <s v="Sale"/>
    <s v="190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91"/>
    <s v="Sale"/>
    <s v="191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92"/>
    <s v="Sale"/>
    <s v="192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93"/>
    <s v="Sale"/>
    <s v="193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94"/>
    <s v="Sale"/>
    <s v="194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95"/>
    <s v="Sale"/>
    <s v="195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96"/>
    <s v="Sale"/>
    <s v="196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97"/>
    <s v="Sale"/>
    <s v="197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98"/>
    <s v="Sale"/>
    <s v="198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99"/>
    <s v="Sale"/>
    <s v="199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200"/>
    <s v="Sale"/>
    <s v="200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201"/>
    <s v="Sale"/>
    <s v="201Nav10"/>
    <x v="7"/>
    <n v="10022"/>
    <s v="Macys"/>
    <s v="Retail Buyer"/>
    <x v="0"/>
    <x v="1"/>
    <x v="0"/>
    <s v="Female"/>
    <x v="1"/>
    <s v="Guatemala"/>
    <s v="Central America"/>
    <n v="25"/>
    <n v="30"/>
    <x v="5"/>
    <s v="-"/>
    <s v="Style Risk"/>
    <s v="-"/>
    <s v="Low Value"/>
  </r>
  <r>
    <n v="202"/>
    <s v="Sale"/>
    <s v="202Bla10"/>
    <x v="0"/>
    <n v="10022"/>
    <s v="SAKS Fifth Avenue"/>
    <s v="Retail Buyer"/>
    <x v="0"/>
    <x v="2"/>
    <x v="0"/>
    <s v="Female"/>
    <x v="0"/>
    <s v="Afghanistan"/>
    <s v="Middle East"/>
    <n v="150"/>
    <n v="75"/>
    <x v="0"/>
    <s v="-"/>
    <s v="Style Risk"/>
    <s v="-"/>
    <s v="Low Value"/>
  </r>
  <r>
    <n v="206"/>
    <s v="Sale"/>
    <s v="206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07"/>
    <s v="Sale"/>
    <s v="207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08"/>
    <s v="Sale"/>
    <s v="208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09"/>
    <s v="Sale"/>
    <s v="209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10"/>
    <s v="Sale"/>
    <s v="210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11"/>
    <s v="Sale"/>
    <s v="211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12"/>
    <s v="Sale"/>
    <s v="212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13"/>
    <s v="Sale"/>
    <s v="213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14"/>
    <s v="Sale"/>
    <s v="214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15"/>
    <s v="Sale"/>
    <s v="215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16"/>
    <s v="Sale"/>
    <s v="216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17"/>
    <s v="Sale"/>
    <s v="217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18"/>
    <s v="Sale"/>
    <s v="218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19"/>
    <s v="Sale"/>
    <s v="219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20"/>
    <s v="Sale"/>
    <s v="220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21"/>
    <s v="Sale"/>
    <s v="221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22"/>
    <s v="Sale"/>
    <s v="222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23"/>
    <s v="Sale"/>
    <s v="223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24"/>
    <s v="Sale"/>
    <s v="224Sus80"/>
    <x v="5"/>
    <n v="80014"/>
    <s v="Annabella Ellis"/>
    <s v="Online Individual"/>
    <x v="0"/>
    <x v="2"/>
    <x v="3"/>
    <s v="Female"/>
    <x v="2"/>
    <s v="Romania"/>
    <s v="Eastern Europe"/>
    <n v="350"/>
    <n v="450"/>
    <x v="3"/>
    <s v="Hub Risk"/>
    <s v="-"/>
    <s v="-"/>
    <s v="High Value"/>
  </r>
  <r>
    <n v="225"/>
    <s v="Sale"/>
    <s v="225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26"/>
    <s v="Sale"/>
    <s v="226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27"/>
    <s v="Sale"/>
    <s v="227Sus80"/>
    <x v="5"/>
    <n v="80014"/>
    <s v="Caroline Warren"/>
    <s v="Online Individual"/>
    <x v="0"/>
    <x v="2"/>
    <x v="3"/>
    <s v="Female"/>
    <x v="2"/>
    <s v="Romania"/>
    <s v="Eastern Europe"/>
    <n v="350"/>
    <n v="450"/>
    <x v="3"/>
    <s v="Hub Risk"/>
    <s v="-"/>
    <s v="-"/>
    <s v="High Value"/>
  </r>
  <r>
    <n v="228"/>
    <s v="Sale"/>
    <s v="228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29"/>
    <s v="Sale"/>
    <s v="229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552"/>
    <s v="Sale"/>
    <s v="552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231"/>
    <s v="Sale"/>
    <s v="231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32"/>
    <s v="Sale"/>
    <s v="232Nav80"/>
    <x v="7"/>
    <n v="80014"/>
    <s v="Emily Farrell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33"/>
    <s v="Sale"/>
    <s v="233Nav80"/>
    <x v="7"/>
    <n v="80014"/>
    <s v="Lucy Myer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553"/>
    <s v="Sale"/>
    <s v="553Bla90"/>
    <x v="0"/>
    <n v="90005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235"/>
    <s v="Sale"/>
    <s v="235Nav80"/>
    <x v="7"/>
    <n v="80014"/>
    <s v="Valeria Hawkin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36"/>
    <s v="Sale"/>
    <s v="236Nav80"/>
    <x v="7"/>
    <n v="80014"/>
    <s v="Darcy Higgin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37"/>
    <s v="Sale"/>
    <s v="237Nav80"/>
    <x v="7"/>
    <n v="80014"/>
    <s v="Emma Nel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38"/>
    <s v="Sale"/>
    <s v="238Nav80"/>
    <x v="7"/>
    <n v="80014"/>
    <s v="Adrianna Robert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39"/>
    <s v="Sale"/>
    <s v="239Nav80"/>
    <x v="7"/>
    <n v="80014"/>
    <s v="Nicole Marti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40"/>
    <s v="Sale"/>
    <s v="240Nav80"/>
    <x v="7"/>
    <n v="80014"/>
    <s v="Elise Perr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41"/>
    <s v="Sale"/>
    <s v="241Nav80"/>
    <x v="7"/>
    <n v="80014"/>
    <s v="Tiana Jone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42"/>
    <s v="Sale"/>
    <s v="242Nav80"/>
    <x v="7"/>
    <n v="80014"/>
    <s v="Sabrina Ander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43"/>
    <s v="Sale"/>
    <s v="243Nav80"/>
    <x v="7"/>
    <n v="80014"/>
    <s v="Catherine Richard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44"/>
    <s v="Sale"/>
    <s v="244Nav80"/>
    <x v="7"/>
    <n v="80014"/>
    <s v="Naomi Hunt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45"/>
    <s v="Sale"/>
    <s v="245Nav80"/>
    <x v="7"/>
    <n v="80014"/>
    <s v="Tara Armstrong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46"/>
    <s v="Sale"/>
    <s v="246Nav80"/>
    <x v="7"/>
    <n v="80014"/>
    <s v="Emma Mill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47"/>
    <s v="Sale"/>
    <s v="247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48"/>
    <s v="Sale"/>
    <s v="248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49"/>
    <s v="Sale"/>
    <s v="249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50"/>
    <s v="Sale"/>
    <s v="250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51"/>
    <s v="Sale"/>
    <s v="251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52"/>
    <s v="Sale"/>
    <s v="252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53"/>
    <s v="Sale"/>
    <s v="253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54"/>
    <s v="Sale"/>
    <s v="254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55"/>
    <s v="Sale"/>
    <s v="255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56"/>
    <s v="Sale"/>
    <s v="256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57"/>
    <s v="Sale"/>
    <s v="257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58"/>
    <s v="Sale"/>
    <s v="258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59"/>
    <s v="Sale"/>
    <s v="259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60"/>
    <s v="Sale"/>
    <s v="260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61"/>
    <s v="Sale"/>
    <s v="261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62"/>
    <s v="Sale"/>
    <s v="262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63"/>
    <s v="Sale"/>
    <s v="263Nav80"/>
    <x v="7"/>
    <n v="80014"/>
    <s v="Isabella Hender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64"/>
    <s v="Sale"/>
    <s v="264Nav80"/>
    <x v="7"/>
    <n v="80014"/>
    <s v="Amy Barrett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65"/>
    <s v="Sale"/>
    <s v="265Nav80"/>
    <x v="7"/>
    <n v="80014"/>
    <s v="Chelsea Davi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66"/>
    <s v="Sale"/>
    <s v="266Nav80"/>
    <x v="7"/>
    <n v="80014"/>
    <s v="Charlotte William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67"/>
    <s v="Sale"/>
    <s v="267Nav80"/>
    <x v="7"/>
    <n v="80014"/>
    <s v="Gianna Jone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68"/>
    <s v="Sale"/>
    <s v="268Nav80"/>
    <x v="7"/>
    <n v="80014"/>
    <s v="Caroline Rile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69"/>
    <s v="Sale"/>
    <s v="269Nav80"/>
    <x v="7"/>
    <n v="80014"/>
    <s v="Chloe Carroll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70"/>
    <s v="Sale"/>
    <s v="270Nav80"/>
    <x v="7"/>
    <n v="80014"/>
    <s v="Connie Smith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71"/>
    <s v="Sale"/>
    <s v="271Nav80"/>
    <x v="7"/>
    <n v="80208"/>
    <s v="Myra Turn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72"/>
    <s v="Sale"/>
    <s v="272Nav80"/>
    <x v="7"/>
    <n v="80208"/>
    <s v="Arianna Barrett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73"/>
    <s v="Sale"/>
    <s v="273Nav80"/>
    <x v="7"/>
    <n v="80208"/>
    <s v="Paige Craig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74"/>
    <s v="Sale"/>
    <s v="274Nav80"/>
    <x v="7"/>
    <n v="80208"/>
    <s v="Melanie Morri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75"/>
    <s v="Sale"/>
    <s v="275Nav80"/>
    <x v="7"/>
    <n v="80208"/>
    <s v="Agata Wil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76"/>
    <s v="Sale"/>
    <s v="276Nav80"/>
    <x v="7"/>
    <n v="80208"/>
    <s v="Tess Craig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77"/>
    <s v="Sale"/>
    <s v="277Nav80"/>
    <x v="7"/>
    <n v="80208"/>
    <s v="Tess Fowl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78"/>
    <s v="Sale"/>
    <s v="278Nav80"/>
    <x v="7"/>
    <n v="80208"/>
    <s v="Eleanor Morga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79"/>
    <s v="Sale"/>
    <s v="279Nav80"/>
    <x v="7"/>
    <n v="80208"/>
    <s v="Kate Russell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80"/>
    <s v="Sale"/>
    <s v="280Nav80"/>
    <x v="7"/>
    <n v="80208"/>
    <s v="Aida Harp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81"/>
    <s v="Sale"/>
    <s v="281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82"/>
    <s v="Sale"/>
    <s v="282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83"/>
    <s v="Sale"/>
    <s v="283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84"/>
    <s v="Sale"/>
    <s v="284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85"/>
    <s v="Sale"/>
    <s v="285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86"/>
    <s v="Sale"/>
    <s v="286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87"/>
    <s v="Sale"/>
    <s v="287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88"/>
    <s v="Sale"/>
    <s v="288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89"/>
    <s v="Sale"/>
    <s v="289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90"/>
    <s v="Sale"/>
    <s v="290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91"/>
    <s v="Sale"/>
    <s v="291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92"/>
    <s v="Sale"/>
    <s v="292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93"/>
    <s v="Sale"/>
    <s v="293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94"/>
    <s v="Sale"/>
    <s v="294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95"/>
    <s v="Sale"/>
    <s v="295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96"/>
    <s v="Sale"/>
    <s v="296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97"/>
    <s v="Sale"/>
    <s v="297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98"/>
    <s v="Sale"/>
    <s v="298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299"/>
    <s v="Sale"/>
    <s v="299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00"/>
    <s v="Sale"/>
    <s v="300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01"/>
    <s v="Sale"/>
    <s v="301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02"/>
    <s v="Sale"/>
    <s v="302Nav80"/>
    <x v="7"/>
    <n v="80208"/>
    <s v="Joyce Bennett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03"/>
    <s v="Sale"/>
    <s v="303Nav80"/>
    <x v="7"/>
    <n v="80208"/>
    <s v="Honey Barrett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04"/>
    <s v="Sale"/>
    <s v="304Nav80"/>
    <x v="7"/>
    <n v="80208"/>
    <s v="Melissa Carroll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05"/>
    <s v="Sale"/>
    <s v="305Nav80"/>
    <x v="7"/>
    <n v="80208"/>
    <s v="Chloe Roger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06"/>
    <s v="Sale"/>
    <s v="306Nav80"/>
    <x v="7"/>
    <n v="80208"/>
    <s v="Tess Carroll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07"/>
    <s v="Sale"/>
    <s v="307Nav80"/>
    <x v="7"/>
    <n v="80208"/>
    <s v="Lucia Fergu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08"/>
    <s v="Sale"/>
    <s v="308Nav80"/>
    <x v="7"/>
    <n v="80208"/>
    <s v="Isabella Russell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09"/>
    <s v="Sale"/>
    <s v="309Nav80"/>
    <x v="7"/>
    <n v="80208"/>
    <s v="Deanna Well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10"/>
    <s v="Sale"/>
    <s v="310Nav80"/>
    <x v="7"/>
    <n v="80208"/>
    <s v="Carina Davi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11"/>
    <s v="Sale"/>
    <s v="311Nav80"/>
    <x v="7"/>
    <n v="80208"/>
    <s v="Michelle Hender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12"/>
    <s v="Sale"/>
    <s v="312Nav80"/>
    <x v="7"/>
    <n v="80208"/>
    <s v="Edith Owen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13"/>
    <s v="Sale"/>
    <s v="313Nav80"/>
    <x v="7"/>
    <n v="80208"/>
    <s v="Olivia Adam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14"/>
    <s v="Sale"/>
    <s v="314Nav80"/>
    <x v="7"/>
    <n v="80208"/>
    <s v="Alisa Hill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15"/>
    <s v="Sale"/>
    <s v="315Nav80"/>
    <x v="7"/>
    <n v="80208"/>
    <s v="Chloe Kelle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16"/>
    <s v="Sale"/>
    <s v="316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17"/>
    <s v="Sale"/>
    <s v="317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18"/>
    <s v="Sale"/>
    <s v="318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19"/>
    <s v="Sale"/>
    <s v="319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20"/>
    <s v="Sale"/>
    <s v="320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21"/>
    <s v="Sale"/>
    <s v="321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22"/>
    <s v="Sale"/>
    <s v="322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23"/>
    <s v="Sale"/>
    <s v="323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24"/>
    <s v="Sale"/>
    <s v="324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25"/>
    <s v="Sale"/>
    <s v="325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26"/>
    <s v="Sale"/>
    <s v="326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27"/>
    <s v="Sale"/>
    <s v="327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28"/>
    <s v="Sale"/>
    <s v="328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29"/>
    <s v="Sale"/>
    <s v="329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30"/>
    <s v="Sale"/>
    <s v="330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31"/>
    <s v="Sale"/>
    <s v="331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32"/>
    <s v="Sale"/>
    <s v="332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33"/>
    <s v="Sale"/>
    <s v="333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34"/>
    <s v="Sale"/>
    <s v="334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35"/>
    <s v="Sale"/>
    <s v="335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36"/>
    <s v="Sale"/>
    <s v="336Nav80"/>
    <x v="7"/>
    <n v="80208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37"/>
    <s v="Sale"/>
    <s v="337Nav80"/>
    <x v="7"/>
    <n v="80208"/>
    <s v="Tiana Elli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38"/>
    <s v="Sale"/>
    <s v="338Nav80"/>
    <x v="7"/>
    <n v="80208"/>
    <s v="Vivian Tuck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39"/>
    <s v="Sale"/>
    <s v="339Nav80"/>
    <x v="7"/>
    <n v="80208"/>
    <s v="Vivian Marti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40"/>
    <s v="Sale"/>
    <s v="340Nav80"/>
    <x v="7"/>
    <n v="80208"/>
    <s v="Myra John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41"/>
    <s v="Sale"/>
    <s v="341Nav80"/>
    <x v="7"/>
    <n v="80208"/>
    <s v="Adelaide Lloyd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42"/>
    <s v="Sale"/>
    <s v="342Nav80"/>
    <x v="7"/>
    <n v="80208"/>
    <s v="Maddie Hender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43"/>
    <s v="Sale"/>
    <s v="343Nav80"/>
    <x v="7"/>
    <n v="80123"/>
    <s v="Emma Morri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44"/>
    <s v="Sale"/>
    <s v="344Nav80"/>
    <x v="7"/>
    <n v="80123"/>
    <s v="Lucia Moore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45"/>
    <s v="Sale"/>
    <s v="345Nav80"/>
    <x v="7"/>
    <n v="80123"/>
    <s v="Florrie Howard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46"/>
    <s v="Sale"/>
    <s v="346Nav80"/>
    <x v="7"/>
    <n v="80123"/>
    <s v="Violet Grant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47"/>
    <s v="Sale"/>
    <s v="347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48"/>
    <s v="Sale"/>
    <s v="348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49"/>
    <s v="Sale"/>
    <s v="349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50"/>
    <s v="Sale"/>
    <s v="350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51"/>
    <s v="Sale"/>
    <s v="351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52"/>
    <s v="Sale"/>
    <s v="352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53"/>
    <s v="Sale"/>
    <s v="353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54"/>
    <s v="Sale"/>
    <s v="354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55"/>
    <s v="Sale"/>
    <s v="355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56"/>
    <s v="Sale"/>
    <s v="356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57"/>
    <s v="Sale"/>
    <s v="357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58"/>
    <s v="Sale"/>
    <s v="358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59"/>
    <s v="Sale"/>
    <s v="359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60"/>
    <s v="Sale"/>
    <s v="360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61"/>
    <s v="Sale"/>
    <s v="361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62"/>
    <s v="Sale"/>
    <s v="362Nav80"/>
    <x v="7"/>
    <n v="80123"/>
    <s v="Adrianna Ros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63"/>
    <s v="Sale"/>
    <s v="363Nav80"/>
    <x v="7"/>
    <n v="80123"/>
    <s v="Kimberly Crawford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64"/>
    <s v="Sale"/>
    <s v="364Nav80"/>
    <x v="7"/>
    <n v="80123"/>
    <s v="Abigail Thoma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65"/>
    <s v="Sale"/>
    <s v="365Nav80"/>
    <x v="7"/>
    <n v="80123"/>
    <s v="Hailey Steven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66"/>
    <s v="Sale"/>
    <s v="366Nav80"/>
    <x v="7"/>
    <n v="80123"/>
    <s v="Kimberly Richard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67"/>
    <s v="Sale"/>
    <s v="367Nav80"/>
    <x v="7"/>
    <n v="80123"/>
    <s v="Lucia Cunningham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693"/>
    <s v="Sale"/>
    <s v="693Bla90"/>
    <x v="0"/>
    <n v="90005"/>
    <s v="Ashton Watson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696"/>
    <s v="Sale"/>
    <s v="696Bla90"/>
    <x v="0"/>
    <n v="90005"/>
    <s v="Robert Roberts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743"/>
    <s v="Sale"/>
    <s v="743Bla90"/>
    <x v="0"/>
    <n v="90005"/>
    <s v="Eleanor Clark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745"/>
    <s v="Sale"/>
    <s v="745Bla90"/>
    <x v="0"/>
    <n v="90005"/>
    <s v="Bruce Myers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747"/>
    <s v="Sale"/>
    <s v="747Bla90"/>
    <x v="0"/>
    <n v="90005"/>
    <s v="Paige Murray"/>
    <s v="Online Individual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1514"/>
    <s v="Sale"/>
    <s v="1514Bla90"/>
    <x v="0"/>
    <n v="90021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1515"/>
    <s v="Sale"/>
    <s v="1515Bla90"/>
    <x v="0"/>
    <n v="90021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1516"/>
    <s v="Sale"/>
    <s v="1516Bla90"/>
    <x v="0"/>
    <n v="90021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1518"/>
    <s v="Sale"/>
    <s v="1518Bla90"/>
    <x v="0"/>
    <n v="90021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1519"/>
    <s v="Sale"/>
    <s v="1519Bla90"/>
    <x v="0"/>
    <n v="90021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1520"/>
    <s v="Sale"/>
    <s v="1520Bla90"/>
    <x v="0"/>
    <n v="90021"/>
    <s v="Bloomingdales"/>
    <s v="Retail Buyer"/>
    <x v="0"/>
    <x v="0"/>
    <x v="1"/>
    <s v="Female"/>
    <x v="0"/>
    <s v="Afghanistan"/>
    <s v="Middle East"/>
    <n v="150"/>
    <n v="75"/>
    <x v="0"/>
    <s v="Hub Risk"/>
    <s v="Style Risk"/>
    <s v="Risk"/>
    <s v="Low Value"/>
  </r>
  <r>
    <n v="368"/>
    <s v="Sale"/>
    <s v="368Nav80"/>
    <x v="7"/>
    <n v="80123"/>
    <s v="Violet Alexander"/>
    <s v="Online Individual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369"/>
    <s v="Sale"/>
    <s v="369Nav80"/>
    <x v="7"/>
    <n v="80123"/>
    <s v="Melanie Turner"/>
    <s v="Online Individual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370"/>
    <s v="Sale"/>
    <s v="370Nav80"/>
    <x v="7"/>
    <n v="80123"/>
    <s v="Miley Hall"/>
    <s v="Online Individual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371"/>
    <s v="Sale"/>
    <s v="371Nav80"/>
    <x v="7"/>
    <n v="80123"/>
    <s v="Target"/>
    <s v="Retail Buyer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383"/>
    <s v="Sale"/>
    <s v="383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84"/>
    <s v="Sale"/>
    <s v="384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85"/>
    <s v="Sale"/>
    <s v="385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86"/>
    <s v="Sale"/>
    <s v="386Nav80"/>
    <x v="7"/>
    <n v="80123"/>
    <s v="Florrie Thoma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87"/>
    <s v="Sale"/>
    <s v="387Nav80"/>
    <x v="7"/>
    <n v="80123"/>
    <s v="Adelaide Marti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88"/>
    <s v="Sale"/>
    <s v="388Nav80"/>
    <x v="7"/>
    <n v="80123"/>
    <s v="Nicole Ros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89"/>
    <s v="Sale"/>
    <s v="389Nav80"/>
    <x v="7"/>
    <n v="80123"/>
    <s v="Julia Armstrong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90"/>
    <s v="Sale"/>
    <s v="390Nav80"/>
    <x v="7"/>
    <n v="80123"/>
    <s v="Naomi Montgomer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372"/>
    <s v="Sale"/>
    <s v="372Nav80"/>
    <x v="7"/>
    <n v="80123"/>
    <s v="Target"/>
    <s v="Retail Buyer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373"/>
    <s v="Sale"/>
    <s v="373Nav80"/>
    <x v="7"/>
    <n v="80123"/>
    <s v="Target"/>
    <s v="Retail Buyer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374"/>
    <s v="Sale"/>
    <s v="374Nav80"/>
    <x v="7"/>
    <n v="80123"/>
    <s v="Target"/>
    <s v="Retail Buyer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375"/>
    <s v="Sale"/>
    <s v="375Nav80"/>
    <x v="7"/>
    <n v="80123"/>
    <s v="Target"/>
    <s v="Retail Buyer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376"/>
    <s v="Sale"/>
    <s v="376Nav80"/>
    <x v="7"/>
    <n v="80123"/>
    <s v="Target"/>
    <s v="Retail Buyer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377"/>
    <s v="Sale"/>
    <s v="377Nav80"/>
    <x v="7"/>
    <n v="80123"/>
    <s v="Target"/>
    <s v="Retail Buyer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378"/>
    <s v="Sale"/>
    <s v="378Nav80"/>
    <x v="7"/>
    <n v="80123"/>
    <s v="Target"/>
    <s v="Retail Buyer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379"/>
    <s v="Sale"/>
    <s v="379Nav80"/>
    <x v="7"/>
    <n v="80123"/>
    <s v="Target"/>
    <s v="Retail Buyer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380"/>
    <s v="Sale"/>
    <s v="380Nav80"/>
    <x v="7"/>
    <n v="80123"/>
    <s v="Target"/>
    <s v="Retail Buyer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381"/>
    <s v="Sale"/>
    <s v="381Nav80"/>
    <x v="7"/>
    <n v="80123"/>
    <s v="Target"/>
    <s v="Retail Buyer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382"/>
    <s v="Sale"/>
    <s v="382Nav80"/>
    <x v="7"/>
    <n v="80123"/>
    <s v="Target"/>
    <s v="Retail Buyer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444"/>
    <s v="Sale"/>
    <s v="444Nav33"/>
    <x v="7"/>
    <n v="33101"/>
    <s v="Elise Hawkins"/>
    <s v="Online Individual"/>
    <x v="0"/>
    <x v="0"/>
    <x v="2"/>
    <s v="Female"/>
    <x v="1"/>
    <s v="Guatemala"/>
    <s v="Central America"/>
    <n v="25"/>
    <n v="30"/>
    <x v="5"/>
    <s v="-"/>
    <s v="Style Risk"/>
    <s v="-"/>
    <s v="Low Value"/>
  </r>
  <r>
    <n v="1447"/>
    <s v="Sale"/>
    <s v="1447Nav80"/>
    <x v="7"/>
    <n v="80014"/>
    <s v="Isabella Owens"/>
    <s v="Online Individual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1448"/>
    <s v="Sale"/>
    <s v="1448Nav80"/>
    <x v="7"/>
    <n v="80014"/>
    <s v="Daisy Payne"/>
    <s v="Online Individual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1449"/>
    <s v="Sale"/>
    <s v="1449Nav80"/>
    <x v="7"/>
    <n v="80014"/>
    <s v="Evelyn Morris"/>
    <s v="Online Individual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1450"/>
    <s v="Sale"/>
    <s v="1450Nav80"/>
    <x v="7"/>
    <n v="80014"/>
    <s v="Annabella Cunningham"/>
    <s v="Online Individual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1451"/>
    <s v="Sale"/>
    <s v="1451Nav80"/>
    <x v="7"/>
    <n v="80014"/>
    <s v="Alexia Stevens"/>
    <s v="Online Individual"/>
    <x v="0"/>
    <x v="0"/>
    <x v="3"/>
    <s v="Female"/>
    <x v="1"/>
    <s v="Guatemala"/>
    <s v="Central America"/>
    <n v="25"/>
    <n v="30"/>
    <x v="5"/>
    <s v="Hub Risk"/>
    <s v="Style Risk"/>
    <s v="Risk"/>
    <s v="Low Value"/>
  </r>
  <r>
    <n v="3"/>
    <s v="Sale"/>
    <s v="3Lig90"/>
    <x v="1"/>
    <n v="90001"/>
    <s v="Thomas Wells"/>
    <s v="Online Individual"/>
    <x v="0"/>
    <x v="0"/>
    <x v="1"/>
    <s v="Male"/>
    <x v="1"/>
    <s v="Ethiopia"/>
    <s v="Africa"/>
    <n v="10"/>
    <n v="20"/>
    <x v="1"/>
    <s v="Hub Risk"/>
    <s v="Style Risk"/>
    <s v="Risk"/>
    <s v="High Value"/>
  </r>
  <r>
    <n v="695"/>
    <s v="Sale"/>
    <s v="695Lig90"/>
    <x v="1"/>
    <n v="90005"/>
    <s v="Arthur Johnston"/>
    <s v="Online Individual"/>
    <x v="0"/>
    <x v="0"/>
    <x v="1"/>
    <s v="Male"/>
    <x v="1"/>
    <s v="Ethiopia"/>
    <s v="Africa"/>
    <n v="10"/>
    <n v="20"/>
    <x v="1"/>
    <s v="Hub Risk"/>
    <s v="Style Risk"/>
    <s v="Risk"/>
    <s v="High Value"/>
  </r>
  <r>
    <n v="117"/>
    <s v="Sale"/>
    <s v="117Pro10"/>
    <x v="2"/>
    <n v="10013"/>
    <s v="Macys"/>
    <s v="Retail Buyer"/>
    <x v="0"/>
    <x v="0"/>
    <x v="0"/>
    <s v="Male"/>
    <x v="1"/>
    <s v="Kenya"/>
    <s v="Africa"/>
    <n v="15"/>
    <n v="30"/>
    <x v="2"/>
    <s v="-"/>
    <s v="Style Risk"/>
    <s v="-"/>
    <s v="High Value"/>
  </r>
  <r>
    <n v="126"/>
    <s v="Sale"/>
    <s v="126Pro10"/>
    <x v="2"/>
    <n v="10022"/>
    <s v="Macys"/>
    <s v="Retail Buyer"/>
    <x v="0"/>
    <x v="0"/>
    <x v="0"/>
    <s v="Male"/>
    <x v="1"/>
    <s v="Kenya"/>
    <s v="Africa"/>
    <n v="15"/>
    <n v="30"/>
    <x v="2"/>
    <s v="-"/>
    <s v="Style Risk"/>
    <s v="-"/>
    <s v="High Value"/>
  </r>
  <r>
    <n v="128"/>
    <s v="Sale"/>
    <s v="128Pro10"/>
    <x v="2"/>
    <n v="10022"/>
    <s v="Arthur Owens"/>
    <s v="Online Individual"/>
    <x v="0"/>
    <x v="0"/>
    <x v="0"/>
    <s v="Male"/>
    <x v="1"/>
    <s v="Kenya"/>
    <s v="Africa"/>
    <n v="15"/>
    <n v="30"/>
    <x v="2"/>
    <s v="-"/>
    <s v="Style Risk"/>
    <s v="-"/>
    <s v="High Value"/>
  </r>
  <r>
    <n v="205"/>
    <s v="Sale"/>
    <s v="205Pro10"/>
    <x v="2"/>
    <n v="10022"/>
    <s v="Ashton Crawford"/>
    <s v="Online Individual"/>
    <x v="0"/>
    <x v="0"/>
    <x v="0"/>
    <s v="Male"/>
    <x v="1"/>
    <s v="Kenya"/>
    <s v="Africa"/>
    <n v="15"/>
    <n v="30"/>
    <x v="2"/>
    <s v="-"/>
    <s v="Style Risk"/>
    <s v="-"/>
    <s v="High Value"/>
  </r>
  <r>
    <n v="578"/>
    <s v="Sale"/>
    <s v="578Pro10"/>
    <x v="2"/>
    <n v="10001"/>
    <s v="Victor Gibson"/>
    <s v="Online Individual"/>
    <x v="0"/>
    <x v="0"/>
    <x v="0"/>
    <s v="Male"/>
    <x v="1"/>
    <s v="Kenya"/>
    <s v="Africa"/>
    <n v="15"/>
    <n v="30"/>
    <x v="2"/>
    <s v="-"/>
    <s v="Style Risk"/>
    <s v="-"/>
    <s v="High Value"/>
  </r>
  <r>
    <n v="582"/>
    <s v="Sale"/>
    <s v="582Pro10"/>
    <x v="2"/>
    <n v="10001"/>
    <s v="Adison Kelley"/>
    <s v="Online Individual"/>
    <x v="0"/>
    <x v="0"/>
    <x v="0"/>
    <s v="Male"/>
    <x v="1"/>
    <s v="Kenya"/>
    <s v="Africa"/>
    <n v="15"/>
    <n v="30"/>
    <x v="2"/>
    <s v="-"/>
    <s v="Style Risk"/>
    <s v="-"/>
    <s v="High Value"/>
  </r>
  <r>
    <n v="781"/>
    <s v="Sale"/>
    <s v="781Pro33"/>
    <x v="2"/>
    <n v="33101"/>
    <s v="Kohls"/>
    <s v="Retail Buyer"/>
    <x v="0"/>
    <x v="0"/>
    <x v="2"/>
    <s v="Male"/>
    <x v="1"/>
    <s v="Kenya"/>
    <s v="Africa"/>
    <n v="15"/>
    <n v="30"/>
    <x v="2"/>
    <s v="-"/>
    <s v="Style Risk"/>
    <s v="-"/>
    <s v="High Value"/>
  </r>
  <r>
    <n v="62"/>
    <s v="Sale"/>
    <s v="62Red10"/>
    <x v="6"/>
    <n v="10001"/>
    <s v="Macys"/>
    <s v="Retail Buyer"/>
    <x v="0"/>
    <x v="0"/>
    <x v="0"/>
    <s v="Female"/>
    <x v="1"/>
    <s v="Honduras"/>
    <s v="Central America"/>
    <n v="30"/>
    <n v="45"/>
    <x v="2"/>
    <s v="-"/>
    <s v="Style Risk"/>
    <s v="-"/>
    <s v="High Value"/>
  </r>
  <r>
    <n v="68"/>
    <s v="Sale"/>
    <s v="68Red10"/>
    <x v="6"/>
    <n v="10001"/>
    <s v="Macys"/>
    <s v="Retail Buyer"/>
    <x v="0"/>
    <x v="0"/>
    <x v="0"/>
    <s v="Female"/>
    <x v="1"/>
    <s v="Honduras"/>
    <s v="Central America"/>
    <n v="30"/>
    <n v="45"/>
    <x v="2"/>
    <s v="-"/>
    <s v="Style Risk"/>
    <s v="-"/>
    <s v="High Value"/>
  </r>
  <r>
    <n v="70"/>
    <s v="Sale"/>
    <s v="70Red10"/>
    <x v="6"/>
    <n v="10001"/>
    <s v="Macys"/>
    <s v="Retail Buyer"/>
    <x v="0"/>
    <x v="0"/>
    <x v="0"/>
    <s v="Female"/>
    <x v="1"/>
    <s v="Honduras"/>
    <s v="Central America"/>
    <n v="30"/>
    <n v="45"/>
    <x v="2"/>
    <s v="-"/>
    <s v="Style Risk"/>
    <s v="-"/>
    <s v="High Value"/>
  </r>
  <r>
    <n v="77"/>
    <s v="Sale"/>
    <s v="77Red10"/>
    <x v="6"/>
    <n v="10001"/>
    <s v="Natalie Barnes"/>
    <s v="Online Individual"/>
    <x v="0"/>
    <x v="0"/>
    <x v="0"/>
    <s v="Female"/>
    <x v="1"/>
    <s v="Honduras"/>
    <s v="Central America"/>
    <n v="30"/>
    <n v="45"/>
    <x v="2"/>
    <s v="-"/>
    <s v="Style Risk"/>
    <s v="-"/>
    <s v="High Value"/>
  </r>
  <r>
    <n v="691"/>
    <s v="Sale"/>
    <s v="691Red90"/>
    <x v="6"/>
    <n v="90005"/>
    <s v="Mary Kelly"/>
    <s v="Online Individual"/>
    <x v="0"/>
    <x v="0"/>
    <x v="1"/>
    <s v="Female"/>
    <x v="1"/>
    <s v="Honduras"/>
    <s v="Central America"/>
    <n v="30"/>
    <n v="45"/>
    <x v="2"/>
    <s v="Hub Risk"/>
    <s v="Style Risk"/>
    <s v="Risk"/>
    <s v="High Value"/>
  </r>
  <r>
    <n v="692"/>
    <s v="Sale"/>
    <s v="692Red90"/>
    <x v="6"/>
    <n v="90005"/>
    <s v="Ryan Evans"/>
    <s v="Online Individual"/>
    <x v="0"/>
    <x v="0"/>
    <x v="1"/>
    <s v="Female"/>
    <x v="1"/>
    <s v="Honduras"/>
    <s v="Central America"/>
    <n v="30"/>
    <n v="45"/>
    <x v="2"/>
    <s v="Hub Risk"/>
    <s v="Style Risk"/>
    <s v="Risk"/>
    <s v="High Value"/>
  </r>
  <r>
    <n v="418"/>
    <s v="Sale"/>
    <s v="418Car33"/>
    <x v="8"/>
    <n v="33101"/>
    <s v="Heather Russell"/>
    <s v="Online Individual"/>
    <x v="0"/>
    <x v="0"/>
    <x v="2"/>
    <s v="Female"/>
    <x v="0"/>
    <s v="Iran"/>
    <s v="Middle East"/>
    <n v="75"/>
    <n v="125"/>
    <x v="6"/>
    <s v="-"/>
    <s v="Style Risk"/>
    <s v="-"/>
    <s v="High Value"/>
  </r>
  <r>
    <n v="419"/>
    <s v="Sale"/>
    <s v="419Car33"/>
    <x v="8"/>
    <n v="33101"/>
    <s v="Daisy Scott"/>
    <s v="Online Individual"/>
    <x v="0"/>
    <x v="0"/>
    <x v="2"/>
    <s v="Female"/>
    <x v="0"/>
    <s v="Iran"/>
    <s v="Middle East"/>
    <n v="75"/>
    <n v="125"/>
    <x v="6"/>
    <s v="-"/>
    <s v="Style Risk"/>
    <s v="-"/>
    <s v="High Value"/>
  </r>
  <r>
    <n v="420"/>
    <s v="Sale"/>
    <s v="420Car33"/>
    <x v="8"/>
    <n v="33101"/>
    <s v="Kirsten Harris"/>
    <s v="Online Individual"/>
    <x v="0"/>
    <x v="0"/>
    <x v="2"/>
    <s v="Female"/>
    <x v="0"/>
    <s v="Iran"/>
    <s v="Middle East"/>
    <n v="75"/>
    <n v="125"/>
    <x v="6"/>
    <s v="-"/>
    <s v="Style Risk"/>
    <s v="-"/>
    <s v="High Value"/>
  </r>
  <r>
    <n v="421"/>
    <s v="Sale"/>
    <s v="421Car33"/>
    <x v="8"/>
    <n v="33101"/>
    <s v="Arianna Thompson"/>
    <s v="Online Individual"/>
    <x v="0"/>
    <x v="0"/>
    <x v="2"/>
    <s v="Female"/>
    <x v="0"/>
    <s v="Iran"/>
    <s v="Middle East"/>
    <n v="75"/>
    <n v="125"/>
    <x v="6"/>
    <s v="-"/>
    <s v="Style Risk"/>
    <s v="-"/>
    <s v="High Value"/>
  </r>
  <r>
    <n v="422"/>
    <s v="Sale"/>
    <s v="422Car33"/>
    <x v="8"/>
    <n v="33101"/>
    <s v="Elise Edwards"/>
    <s v="Online Individual"/>
    <x v="0"/>
    <x v="0"/>
    <x v="2"/>
    <s v="Female"/>
    <x v="0"/>
    <s v="Iran"/>
    <s v="Middle East"/>
    <n v="75"/>
    <n v="125"/>
    <x v="6"/>
    <s v="-"/>
    <s v="Style Risk"/>
    <s v="-"/>
    <s v="High Value"/>
  </r>
  <r>
    <n v="423"/>
    <s v="Sale"/>
    <s v="423Car33"/>
    <x v="8"/>
    <n v="33101"/>
    <s v="Briony Clark"/>
    <s v="Online Individual"/>
    <x v="0"/>
    <x v="0"/>
    <x v="2"/>
    <s v="Female"/>
    <x v="0"/>
    <s v="Iran"/>
    <s v="Middle East"/>
    <n v="75"/>
    <n v="125"/>
    <x v="6"/>
    <s v="-"/>
    <s v="Style Risk"/>
    <s v="-"/>
    <s v="High Value"/>
  </r>
  <r>
    <n v="424"/>
    <s v="Sale"/>
    <s v="424Car33"/>
    <x v="8"/>
    <n v="33101"/>
    <s v="Rebecca Morris"/>
    <s v="Online Individual"/>
    <x v="0"/>
    <x v="0"/>
    <x v="2"/>
    <s v="Female"/>
    <x v="0"/>
    <s v="Iran"/>
    <s v="Middle East"/>
    <n v="75"/>
    <n v="125"/>
    <x v="6"/>
    <s v="-"/>
    <s v="Style Risk"/>
    <s v="-"/>
    <s v="High Value"/>
  </r>
  <r>
    <n v="425"/>
    <s v="Sale"/>
    <s v="425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426"/>
    <s v="Sale"/>
    <s v="426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427"/>
    <s v="Sale"/>
    <s v="427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428"/>
    <s v="Sale"/>
    <s v="428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429"/>
    <s v="Sale"/>
    <s v="429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430"/>
    <s v="Sale"/>
    <s v="430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433"/>
    <s v="Sale"/>
    <s v="433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434"/>
    <s v="Sale"/>
    <s v="434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435"/>
    <s v="Sale"/>
    <s v="435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436"/>
    <s v="Sale"/>
    <s v="436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437"/>
    <s v="Sale"/>
    <s v="437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438"/>
    <s v="Sale"/>
    <s v="438Car33"/>
    <x v="8"/>
    <n v="33101"/>
    <s v="Kate Thompson"/>
    <s v="Online Individual"/>
    <x v="0"/>
    <x v="0"/>
    <x v="2"/>
    <s v="Female"/>
    <x v="0"/>
    <s v="Iran"/>
    <s v="Middle East"/>
    <n v="75"/>
    <n v="125"/>
    <x v="6"/>
    <s v="-"/>
    <s v="Style Risk"/>
    <s v="-"/>
    <s v="High Value"/>
  </r>
  <r>
    <n v="439"/>
    <s v="Sale"/>
    <s v="439Car33"/>
    <x v="8"/>
    <n v="33101"/>
    <s v="Tara Ellis"/>
    <s v="Online Individual"/>
    <x v="0"/>
    <x v="0"/>
    <x v="2"/>
    <s v="Female"/>
    <x v="0"/>
    <s v="Iran"/>
    <s v="Middle East"/>
    <n v="75"/>
    <n v="125"/>
    <x v="6"/>
    <s v="-"/>
    <s v="Style Risk"/>
    <s v="-"/>
    <s v="High Value"/>
  </r>
  <r>
    <n v="440"/>
    <s v="Sale"/>
    <s v="440Car33"/>
    <x v="8"/>
    <n v="33101"/>
    <s v="Myra Farrell"/>
    <s v="Online Individual"/>
    <x v="0"/>
    <x v="0"/>
    <x v="2"/>
    <s v="Female"/>
    <x v="0"/>
    <s v="Iran"/>
    <s v="Middle East"/>
    <n v="75"/>
    <n v="125"/>
    <x v="6"/>
    <s v="-"/>
    <s v="Style Risk"/>
    <s v="-"/>
    <s v="High Value"/>
  </r>
  <r>
    <n v="441"/>
    <s v="Sale"/>
    <s v="441Car33"/>
    <x v="8"/>
    <n v="33101"/>
    <s v="Chloe Ellis"/>
    <s v="Online Individual"/>
    <x v="0"/>
    <x v="0"/>
    <x v="2"/>
    <s v="Female"/>
    <x v="0"/>
    <s v="Iran"/>
    <s v="Middle East"/>
    <n v="75"/>
    <n v="125"/>
    <x v="6"/>
    <s v="-"/>
    <s v="Style Risk"/>
    <s v="-"/>
    <s v="High Value"/>
  </r>
  <r>
    <n v="442"/>
    <s v="Sale"/>
    <s v="442Car33"/>
    <x v="8"/>
    <n v="33101"/>
    <s v="Caroline Farrell"/>
    <s v="Online Individual"/>
    <x v="0"/>
    <x v="0"/>
    <x v="2"/>
    <s v="Female"/>
    <x v="0"/>
    <s v="Iran"/>
    <s v="Middle East"/>
    <n v="75"/>
    <n v="125"/>
    <x v="6"/>
    <s v="-"/>
    <s v="Style Risk"/>
    <s v="-"/>
    <s v="High Value"/>
  </r>
  <r>
    <n v="443"/>
    <s v="Sale"/>
    <s v="443Car33"/>
    <x v="8"/>
    <n v="33101"/>
    <s v="Kelsey Reed"/>
    <s v="Online Individual"/>
    <x v="0"/>
    <x v="0"/>
    <x v="2"/>
    <s v="Female"/>
    <x v="0"/>
    <s v="Iran"/>
    <s v="Middle East"/>
    <n v="75"/>
    <n v="125"/>
    <x v="6"/>
    <s v="-"/>
    <s v="Style Risk"/>
    <s v="-"/>
    <s v="High Value"/>
  </r>
  <r>
    <n v="445"/>
    <s v="Sale"/>
    <s v="445Car33"/>
    <x v="8"/>
    <n v="33101"/>
    <s v="Lana Baker"/>
    <s v="Online Individual"/>
    <x v="0"/>
    <x v="0"/>
    <x v="2"/>
    <s v="Female"/>
    <x v="0"/>
    <s v="Iran"/>
    <s v="Middle East"/>
    <n v="75"/>
    <n v="125"/>
    <x v="6"/>
    <s v="-"/>
    <s v="Style Risk"/>
    <s v="-"/>
    <s v="High Value"/>
  </r>
  <r>
    <n v="446"/>
    <s v="Sale"/>
    <s v="446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452"/>
    <s v="Sale"/>
    <s v="452Car33"/>
    <x v="8"/>
    <n v="33101"/>
    <s v="Lydia Owen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453"/>
    <s v="Sale"/>
    <s v="453Car33"/>
    <x v="8"/>
    <n v="33101"/>
    <s v="Briony Armstrong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454"/>
    <s v="Sale"/>
    <s v="454Car33"/>
    <x v="8"/>
    <n v="33101"/>
    <s v="Ali Gib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455"/>
    <s v="Sale"/>
    <s v="455Car33"/>
    <x v="8"/>
    <n v="33101"/>
    <s v="Connie Harper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456"/>
    <s v="Sale"/>
    <s v="456Car33"/>
    <x v="8"/>
    <n v="33125"/>
    <s v="Amy Elli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457"/>
    <s v="Sale"/>
    <s v="457Car33"/>
    <x v="8"/>
    <n v="33125"/>
    <s v="Abigail Roger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460"/>
    <s v="Sale"/>
    <s v="460Car33"/>
    <x v="8"/>
    <n v="33125"/>
    <s v="Emily Tucker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461"/>
    <s v="Sale"/>
    <s v="461Car33"/>
    <x v="8"/>
    <n v="33125"/>
    <s v="Honua Tho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462"/>
    <s v="Sale"/>
    <s v="462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464"/>
    <s v="Sale"/>
    <s v="464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466"/>
    <s v="Sale"/>
    <s v="466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467"/>
    <s v="Sale"/>
    <s v="467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468"/>
    <s v="Sale"/>
    <s v="468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470"/>
    <s v="Sale"/>
    <s v="470Nav33"/>
    <x v="7"/>
    <n v="33125"/>
    <s v="Kohls"/>
    <s v="Retail Buyer"/>
    <x v="0"/>
    <x v="1"/>
    <x v="2"/>
    <s v="Female"/>
    <x v="1"/>
    <s v="Guatemala"/>
    <s v="Central America"/>
    <n v="25"/>
    <n v="30"/>
    <x v="5"/>
    <s v="-"/>
    <s v="Style Risk"/>
    <s v="-"/>
    <s v="Low Value"/>
  </r>
  <r>
    <n v="472"/>
    <s v="Sale"/>
    <s v="472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473"/>
    <s v="Sale"/>
    <s v="473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474"/>
    <s v="Sale"/>
    <s v="474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475"/>
    <s v="Sale"/>
    <s v="475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477"/>
    <s v="Sale"/>
    <s v="477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478"/>
    <s v="Sale"/>
    <s v="478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479"/>
    <s v="Sale"/>
    <s v="479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480"/>
    <s v="Sale"/>
    <s v="480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481"/>
    <s v="Sale"/>
    <s v="481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485"/>
    <s v="Sale"/>
    <s v="485Car33"/>
    <x v="8"/>
    <n v="33125"/>
    <s v="Rubie Murphy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490"/>
    <s v="Sale"/>
    <s v="490Red33"/>
    <x v="6"/>
    <n v="33125"/>
    <s v="Kohls"/>
    <s v="Retail Buyer"/>
    <x v="0"/>
    <x v="1"/>
    <x v="2"/>
    <s v="Female"/>
    <x v="1"/>
    <s v="Honduras"/>
    <s v="Central America"/>
    <n v="30"/>
    <n v="45"/>
    <x v="2"/>
    <s v="-"/>
    <s v="Style Risk"/>
    <s v="-"/>
    <s v="High Value"/>
  </r>
  <r>
    <n v="492"/>
    <s v="Sale"/>
    <s v="492Car33"/>
    <x v="8"/>
    <n v="33125"/>
    <s v="Janice Harkin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493"/>
    <s v="Sale"/>
    <s v="493Car33"/>
    <x v="8"/>
    <n v="33125"/>
    <s v="Lydia Perry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494"/>
    <s v="Sale"/>
    <s v="494Car33"/>
    <x v="8"/>
    <n v="33125"/>
    <s v="Maddie Gray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495"/>
    <s v="Sale"/>
    <s v="495Car33"/>
    <x v="8"/>
    <n v="33125"/>
    <s v="Isabella Campbell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496"/>
    <s v="Sale"/>
    <s v="496Car33"/>
    <x v="8"/>
    <n v="33125"/>
    <s v="Olivia Cunningham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499"/>
    <s v="Sale"/>
    <s v="499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447"/>
    <s v="Sale"/>
    <s v="447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501"/>
    <s v="Sale"/>
    <s v="501Bla33"/>
    <x v="0"/>
    <n v="33159"/>
    <s v="Neiman Marcus"/>
    <s v="Retail Buyer"/>
    <x v="0"/>
    <x v="1"/>
    <x v="2"/>
    <s v="Female"/>
    <x v="0"/>
    <s v="Afghanistan"/>
    <s v="Middle East"/>
    <n v="150"/>
    <n v="75"/>
    <x v="0"/>
    <s v="-"/>
    <s v="Style Risk"/>
    <s v="-"/>
    <s v="Low Value"/>
  </r>
  <r>
    <n v="503"/>
    <s v="Sale"/>
    <s v="503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04"/>
    <s v="Sale"/>
    <s v="504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05"/>
    <s v="Sale"/>
    <s v="505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06"/>
    <s v="Sale"/>
    <s v="506Car33"/>
    <x v="8"/>
    <n v="33159"/>
    <s v="Charlotte Scott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507"/>
    <s v="Sale"/>
    <s v="507Car33"/>
    <x v="8"/>
    <n v="33159"/>
    <s v="Melissa Dougla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508"/>
    <s v="Sale"/>
    <s v="508Car33"/>
    <x v="8"/>
    <n v="33159"/>
    <s v="Alberta Edward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509"/>
    <s v="Sale"/>
    <s v="509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13"/>
    <s v="Sale"/>
    <s v="513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448"/>
    <s v="Sale"/>
    <s v="448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449"/>
    <s v="Sale"/>
    <s v="449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517"/>
    <s v="Sale"/>
    <s v="517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18"/>
    <s v="Sale"/>
    <s v="518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19"/>
    <s v="Sale"/>
    <s v="519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20"/>
    <s v="Sale"/>
    <s v="520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21"/>
    <s v="Sale"/>
    <s v="521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22"/>
    <s v="Sale"/>
    <s v="522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23"/>
    <s v="Sale"/>
    <s v="523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24"/>
    <s v="Sale"/>
    <s v="524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25"/>
    <s v="Sale"/>
    <s v="525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26"/>
    <s v="Sale"/>
    <s v="526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27"/>
    <s v="Sale"/>
    <s v="527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28"/>
    <s v="Sale"/>
    <s v="528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29"/>
    <s v="Sale"/>
    <s v="529Car33"/>
    <x v="8"/>
    <n v="33159"/>
    <s v="Natalie Harrison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530"/>
    <s v="Sale"/>
    <s v="530Whi33"/>
    <x v="9"/>
    <n v="33159"/>
    <s v="Tess Dixon"/>
    <s v="Online Individual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531"/>
    <s v="Sale"/>
    <s v="531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32"/>
    <s v="Sale"/>
    <s v="532Whi33"/>
    <x v="9"/>
    <n v="33159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533"/>
    <s v="Sale"/>
    <s v="533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34"/>
    <s v="Sale"/>
    <s v="534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35"/>
    <s v="Sale"/>
    <s v="535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36"/>
    <s v="Sale"/>
    <s v="536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37"/>
    <s v="Sale"/>
    <s v="537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450"/>
    <s v="Sale"/>
    <s v="450Car33"/>
    <x v="8"/>
    <n v="33101"/>
    <s v="Neiman Marcus"/>
    <s v="Retail Buyer"/>
    <x v="0"/>
    <x v="0"/>
    <x v="2"/>
    <s v="Female"/>
    <x v="0"/>
    <s v="Iran"/>
    <s v="Middle East"/>
    <n v="75"/>
    <n v="125"/>
    <x v="6"/>
    <s v="-"/>
    <s v="Style Risk"/>
    <s v="-"/>
    <s v="High Value"/>
  </r>
  <r>
    <n v="539"/>
    <s v="Sale"/>
    <s v="539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130"/>
    <s v="Sale"/>
    <s v="130Nav10"/>
    <x v="3"/>
    <n v="10022"/>
    <s v="Reid Spencer"/>
    <s v="Online Individual"/>
    <x v="0"/>
    <x v="0"/>
    <x v="0"/>
    <s v="Male"/>
    <x v="0"/>
    <s v="Afghanistan"/>
    <s v="Middle East"/>
    <n v="450"/>
    <n v="550"/>
    <x v="3"/>
    <s v="-"/>
    <s v="Style Risk"/>
    <s v="-"/>
    <s v="High Value"/>
  </r>
  <r>
    <n v="541"/>
    <s v="Sale"/>
    <s v="541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77"/>
    <s v="Sale"/>
    <s v="577Nav10"/>
    <x v="3"/>
    <n v="10001"/>
    <s v="Albert Roberts"/>
    <s v="Online Individual"/>
    <x v="0"/>
    <x v="0"/>
    <x v="0"/>
    <s v="Male"/>
    <x v="0"/>
    <s v="Afghanistan"/>
    <s v="Middle East"/>
    <n v="450"/>
    <n v="550"/>
    <x v="3"/>
    <s v="-"/>
    <s v="Style Risk"/>
    <s v="-"/>
    <s v="High Value"/>
  </r>
  <r>
    <n v="543"/>
    <s v="Sale"/>
    <s v="543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44"/>
    <s v="Sale"/>
    <s v="544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45"/>
    <s v="Sale"/>
    <s v="545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46"/>
    <s v="Sale"/>
    <s v="546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47"/>
    <s v="Sale"/>
    <s v="547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48"/>
    <s v="Sale"/>
    <s v="548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63"/>
    <s v="Sale"/>
    <s v="63Sus10"/>
    <x v="5"/>
    <n v="10001"/>
    <s v="Macys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4"/>
    <s v="Sale"/>
    <s v="64Sus10"/>
    <x v="5"/>
    <n v="10001"/>
    <s v="Macys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6"/>
    <s v="Sale"/>
    <s v="66Sus10"/>
    <x v="5"/>
    <n v="10001"/>
    <s v="Macys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71"/>
    <s v="Sale"/>
    <s v="71Sus10"/>
    <x v="5"/>
    <n v="10001"/>
    <s v="Sarah Higgins"/>
    <s v="Online Individual"/>
    <x v="0"/>
    <x v="0"/>
    <x v="0"/>
    <s v="Female"/>
    <x v="2"/>
    <s v="Romania"/>
    <s v="Eastern Europe"/>
    <n v="350"/>
    <n v="450"/>
    <x v="3"/>
    <s v="-"/>
    <s v="-"/>
    <s v="-"/>
    <s v="High Value"/>
  </r>
  <r>
    <n v="73"/>
    <s v="Sale"/>
    <s v="73Sus10"/>
    <x v="5"/>
    <n v="10001"/>
    <s v="Isabella Johnston"/>
    <s v="Online Individual"/>
    <x v="0"/>
    <x v="0"/>
    <x v="0"/>
    <s v="Female"/>
    <x v="2"/>
    <s v="Romania"/>
    <s v="Eastern Europe"/>
    <n v="350"/>
    <n v="450"/>
    <x v="3"/>
    <s v="-"/>
    <s v="-"/>
    <s v="-"/>
    <s v="High Value"/>
  </r>
  <r>
    <n v="554"/>
    <s v="Sale"/>
    <s v="554Car33"/>
    <x v="8"/>
    <n v="33159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555"/>
    <s v="Sale"/>
    <s v="555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56"/>
    <s v="Sale"/>
    <s v="556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57"/>
    <s v="Sale"/>
    <s v="557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58"/>
    <s v="Sale"/>
    <s v="558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59"/>
    <s v="Sale"/>
    <s v="559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60"/>
    <s v="Sale"/>
    <s v="560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61"/>
    <s v="Sale"/>
    <s v="561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62"/>
    <s v="Sale"/>
    <s v="562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63"/>
    <s v="Sale"/>
    <s v="563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64"/>
    <s v="Sale"/>
    <s v="564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65"/>
    <s v="Sale"/>
    <s v="565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66"/>
    <s v="Sale"/>
    <s v="566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67"/>
    <s v="Sale"/>
    <s v="567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68"/>
    <s v="Sale"/>
    <s v="568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69"/>
    <s v="Sale"/>
    <s v="569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70"/>
    <s v="Sale"/>
    <s v="570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71"/>
    <s v="Sale"/>
    <s v="571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72"/>
    <s v="Sale"/>
    <s v="572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73"/>
    <s v="Sale"/>
    <s v="573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74"/>
    <s v="Sale"/>
    <s v="574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96"/>
    <s v="Sale"/>
    <s v="596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98"/>
    <s v="Sale"/>
    <s v="598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599"/>
    <s v="Sale"/>
    <s v="599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01"/>
    <s v="Sale"/>
    <s v="601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03"/>
    <s v="Sale"/>
    <s v="603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04"/>
    <s v="Sale"/>
    <s v="604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05"/>
    <s v="Sale"/>
    <s v="605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10"/>
    <s v="Sale"/>
    <s v="610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12"/>
    <s v="Sale"/>
    <s v="612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13"/>
    <s v="Sale"/>
    <s v="613Sus10"/>
    <x v="5"/>
    <n v="10001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14"/>
    <s v="Sale"/>
    <s v="614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15"/>
    <s v="Sale"/>
    <s v="615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16"/>
    <s v="Sale"/>
    <s v="616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17"/>
    <s v="Sale"/>
    <s v="617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18"/>
    <s v="Sale"/>
    <s v="618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19"/>
    <s v="Sale"/>
    <s v="619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20"/>
    <s v="Sale"/>
    <s v="620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21"/>
    <s v="Sale"/>
    <s v="621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22"/>
    <s v="Sale"/>
    <s v="622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23"/>
    <s v="Sale"/>
    <s v="623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24"/>
    <s v="Sale"/>
    <s v="624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25"/>
    <s v="Sale"/>
    <s v="625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26"/>
    <s v="Sale"/>
    <s v="626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27"/>
    <s v="Sale"/>
    <s v="627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28"/>
    <s v="Sale"/>
    <s v="628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29"/>
    <s v="Sale"/>
    <s v="629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30"/>
    <s v="Sale"/>
    <s v="630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631"/>
    <s v="Sale"/>
    <s v="631Sus10"/>
    <x v="5"/>
    <n v="10022"/>
    <s v="Barneys New York"/>
    <s v="Retail Buyer"/>
    <x v="0"/>
    <x v="2"/>
    <x v="0"/>
    <s v="Female"/>
    <x v="2"/>
    <s v="Romania"/>
    <s v="Eastern Europe"/>
    <n v="350"/>
    <n v="450"/>
    <x v="3"/>
    <s v="-"/>
    <s v="-"/>
    <s v="-"/>
    <s v="High Value"/>
  </r>
  <r>
    <n v="75"/>
    <s v="Sale"/>
    <s v="75Sus10"/>
    <x v="5"/>
    <n v="10001"/>
    <s v="Adrianna Hill"/>
    <s v="Online Individual"/>
    <x v="0"/>
    <x v="0"/>
    <x v="0"/>
    <s v="Female"/>
    <x v="2"/>
    <s v="Romania"/>
    <s v="Eastern Europe"/>
    <n v="350"/>
    <n v="450"/>
    <x v="3"/>
    <s v="-"/>
    <s v="-"/>
    <s v="-"/>
    <s v="High Value"/>
  </r>
  <r>
    <n v="76"/>
    <s v="Sale"/>
    <s v="76Sus10"/>
    <x v="5"/>
    <n v="10001"/>
    <s v="Adrianna Harper"/>
    <s v="Online Individual"/>
    <x v="0"/>
    <x v="0"/>
    <x v="0"/>
    <s v="Female"/>
    <x v="2"/>
    <s v="Romania"/>
    <s v="Eastern Europe"/>
    <n v="350"/>
    <n v="450"/>
    <x v="3"/>
    <s v="-"/>
    <s v="-"/>
    <s v="-"/>
    <s v="High Value"/>
  </r>
  <r>
    <n v="79"/>
    <s v="Sale"/>
    <s v="79Sus10"/>
    <x v="5"/>
    <n v="10001"/>
    <s v="Tess Bennett"/>
    <s v="Online Individual"/>
    <x v="0"/>
    <x v="0"/>
    <x v="0"/>
    <s v="Female"/>
    <x v="2"/>
    <s v="Romania"/>
    <s v="Eastern Europe"/>
    <n v="350"/>
    <n v="450"/>
    <x v="3"/>
    <s v="-"/>
    <s v="-"/>
    <s v="-"/>
    <s v="High Value"/>
  </r>
  <r>
    <n v="80"/>
    <s v="Sale"/>
    <s v="80Sus10"/>
    <x v="5"/>
    <n v="10013"/>
    <s v="Alisa Robinson"/>
    <s v="Online Individual"/>
    <x v="0"/>
    <x v="0"/>
    <x v="0"/>
    <s v="Female"/>
    <x v="2"/>
    <s v="Romania"/>
    <s v="Eastern Europe"/>
    <n v="350"/>
    <n v="450"/>
    <x v="3"/>
    <s v="-"/>
    <s v="-"/>
    <s v="-"/>
    <s v="High Value"/>
  </r>
  <r>
    <n v="230"/>
    <s v="Sale"/>
    <s v="230Sus80"/>
    <x v="5"/>
    <n v="80014"/>
    <s v="Connie Spencer"/>
    <s v="Online Individual"/>
    <x v="0"/>
    <x v="0"/>
    <x v="3"/>
    <s v="Female"/>
    <x v="2"/>
    <s v="Romania"/>
    <s v="Eastern Europe"/>
    <n v="350"/>
    <n v="450"/>
    <x v="3"/>
    <s v="Hub Risk"/>
    <s v="-"/>
    <s v="-"/>
    <s v="High Value"/>
  </r>
  <r>
    <n v="234"/>
    <s v="Sale"/>
    <s v="234Sus80"/>
    <x v="5"/>
    <n v="80014"/>
    <s v="Camila Wells"/>
    <s v="Online Individual"/>
    <x v="0"/>
    <x v="0"/>
    <x v="3"/>
    <s v="Female"/>
    <x v="2"/>
    <s v="Romania"/>
    <s v="Eastern Europe"/>
    <n v="350"/>
    <n v="450"/>
    <x v="3"/>
    <s v="Hub Risk"/>
    <s v="-"/>
    <s v="-"/>
    <s v="High Value"/>
  </r>
  <r>
    <n v="632"/>
    <s v="Sale"/>
    <s v="632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33"/>
    <s v="Sale"/>
    <s v="633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34"/>
    <s v="Sale"/>
    <s v="634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35"/>
    <s v="Sale"/>
    <s v="635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36"/>
    <s v="Sale"/>
    <s v="636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37"/>
    <s v="Sale"/>
    <s v="637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38"/>
    <s v="Sale"/>
    <s v="638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39"/>
    <s v="Sale"/>
    <s v="639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40"/>
    <s v="Sale"/>
    <s v="640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41"/>
    <s v="Sale"/>
    <s v="641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42"/>
    <s v="Sale"/>
    <s v="642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43"/>
    <s v="Sale"/>
    <s v="643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44"/>
    <s v="Sale"/>
    <s v="644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45"/>
    <s v="Sale"/>
    <s v="645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50"/>
    <s v="Sale"/>
    <s v="650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51"/>
    <s v="Sale"/>
    <s v="651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52"/>
    <s v="Sale"/>
    <s v="652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53"/>
    <s v="Sale"/>
    <s v="653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54"/>
    <s v="Sale"/>
    <s v="654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60"/>
    <s v="Sale"/>
    <s v="660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61"/>
    <s v="Sale"/>
    <s v="661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62"/>
    <s v="Sale"/>
    <s v="662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64"/>
    <s v="Sale"/>
    <s v="664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65"/>
    <s v="Sale"/>
    <s v="665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67"/>
    <s v="Sale"/>
    <s v="667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69"/>
    <s v="Sale"/>
    <s v="669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71"/>
    <s v="Sale"/>
    <s v="671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73"/>
    <s v="Sale"/>
    <s v="673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77"/>
    <s v="Sale"/>
    <s v="677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78"/>
    <s v="Sale"/>
    <s v="678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694"/>
    <s v="Sale"/>
    <s v="694Red90"/>
    <x v="6"/>
    <n v="90005"/>
    <s v="Olivia Miller"/>
    <s v="Online Individual"/>
    <x v="0"/>
    <x v="1"/>
    <x v="1"/>
    <s v="Female"/>
    <x v="1"/>
    <s v="Honduras"/>
    <s v="Central America"/>
    <n v="30"/>
    <n v="45"/>
    <x v="2"/>
    <s v="Hub Risk"/>
    <s v="Style Risk"/>
    <s v="Risk"/>
    <s v="High Value"/>
  </r>
  <r>
    <n v="685"/>
    <s v="Sale"/>
    <s v="685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706"/>
    <s v="Sale"/>
    <s v="706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708"/>
    <s v="Sale"/>
    <s v="708Red10"/>
    <x v="6"/>
    <n v="10022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719"/>
    <s v="Sale"/>
    <s v="719Red10"/>
    <x v="6"/>
    <n v="10022"/>
    <s v="Jenna Mill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720"/>
    <s v="Sale"/>
    <s v="720Red10"/>
    <x v="6"/>
    <n v="10022"/>
    <s v="Lana Bennett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722"/>
    <s v="Sale"/>
    <s v="722Red10"/>
    <x v="6"/>
    <n v="10022"/>
    <s v="Thomas Mitchell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723"/>
    <s v="Sale"/>
    <s v="723Red10"/>
    <x v="6"/>
    <n v="10022"/>
    <s v="Mike Perry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724"/>
    <s v="Sale"/>
    <s v="724Red10"/>
    <x v="6"/>
    <n v="10022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725"/>
    <s v="Sale"/>
    <s v="725Red10"/>
    <x v="6"/>
    <n v="10022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732"/>
    <s v="Sale"/>
    <s v="732Red10"/>
    <x v="6"/>
    <n v="10022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733"/>
    <s v="Sale"/>
    <s v="733Red10"/>
    <x v="6"/>
    <n v="10022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734"/>
    <s v="Sale"/>
    <s v="734Red10"/>
    <x v="6"/>
    <n v="10022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739"/>
    <s v="Sale"/>
    <s v="739Red10"/>
    <x v="6"/>
    <n v="10022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740"/>
    <s v="Sale"/>
    <s v="740Red10"/>
    <x v="6"/>
    <n v="10022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741"/>
    <s v="Sale"/>
    <s v="741Red10"/>
    <x v="6"/>
    <n v="10022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686"/>
    <s v="Sale"/>
    <s v="686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744"/>
    <s v="Sale"/>
    <s v="744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687"/>
    <s v="Sale"/>
    <s v="687Sus10"/>
    <x v="5"/>
    <n v="10022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746"/>
    <s v="Sale"/>
    <s v="746Whi33"/>
    <x v="9"/>
    <n v="33101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03"/>
    <s v="Sale"/>
    <s v="803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748"/>
    <s v="Sale"/>
    <s v="748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49"/>
    <s v="Sale"/>
    <s v="749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50"/>
    <s v="Sale"/>
    <s v="750Car33"/>
    <x v="8"/>
    <n v="33101"/>
    <s v="Bruce Payne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51"/>
    <s v="Sale"/>
    <s v="751Car33"/>
    <x v="8"/>
    <n v="33101"/>
    <s v="Ted Jone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52"/>
    <s v="Sale"/>
    <s v="752Car33"/>
    <x v="8"/>
    <n v="33101"/>
    <s v="Julian Edward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53"/>
    <s v="Sale"/>
    <s v="753Car33"/>
    <x v="8"/>
    <n v="33101"/>
    <s v="Kellan Ryan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54"/>
    <s v="Sale"/>
    <s v="754Car33"/>
    <x v="8"/>
    <n v="33101"/>
    <s v="Carl Moore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55"/>
    <s v="Sale"/>
    <s v="755Car33"/>
    <x v="8"/>
    <n v="33101"/>
    <s v="David Davi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56"/>
    <s v="Sale"/>
    <s v="756Car33"/>
    <x v="8"/>
    <n v="33101"/>
    <s v="Amelia Elli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57"/>
    <s v="Sale"/>
    <s v="757Car33"/>
    <x v="8"/>
    <n v="33101"/>
    <s v="Amber Cameron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58"/>
    <s v="Sale"/>
    <s v="758Car33"/>
    <x v="8"/>
    <n v="33101"/>
    <s v="Steven Casey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59"/>
    <s v="Sale"/>
    <s v="759Car33"/>
    <x v="8"/>
    <n v="33101"/>
    <s v="Edwin Cole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60"/>
    <s v="Sale"/>
    <s v="760Car33"/>
    <x v="8"/>
    <n v="33101"/>
    <s v="Martin Ros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61"/>
    <s v="Sale"/>
    <s v="761Car33"/>
    <x v="8"/>
    <n v="33101"/>
    <s v="Emily Well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62"/>
    <s v="Sale"/>
    <s v="762Car33"/>
    <x v="8"/>
    <n v="33101"/>
    <s v="Kellan Johnson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63"/>
    <s v="Sale"/>
    <s v="763Car33"/>
    <x v="8"/>
    <n v="33101"/>
    <s v="Adelaide Johnston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64"/>
    <s v="Sale"/>
    <s v="764Car33"/>
    <x v="8"/>
    <n v="33101"/>
    <s v="Amy Moore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65"/>
    <s v="Sale"/>
    <s v="765Car33"/>
    <x v="8"/>
    <n v="33101"/>
    <s v="Martin Scott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66"/>
    <s v="Sale"/>
    <s v="766Car33"/>
    <x v="8"/>
    <n v="33101"/>
    <s v="Oliver Baker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67"/>
    <s v="Sale"/>
    <s v="767Car33"/>
    <x v="8"/>
    <n v="33101"/>
    <s v="Naomi Wilson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68"/>
    <s v="Sale"/>
    <s v="768Car33"/>
    <x v="8"/>
    <n v="33101"/>
    <s v="Abraham Cole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69"/>
    <s v="Sale"/>
    <s v="769Car33"/>
    <x v="8"/>
    <n v="33101"/>
    <s v="Jared Robinson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70"/>
    <s v="Sale"/>
    <s v="770Car33"/>
    <x v="8"/>
    <n v="33101"/>
    <s v="Daniel Payne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71"/>
    <s v="Sale"/>
    <s v="771Car33"/>
    <x v="8"/>
    <n v="33101"/>
    <s v="Aston Richardson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72"/>
    <s v="Sale"/>
    <s v="772Car33"/>
    <x v="8"/>
    <n v="33101"/>
    <s v="Oscar Cameron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73"/>
    <s v="Sale"/>
    <s v="773Car33"/>
    <x v="8"/>
    <n v="33101"/>
    <s v="Myra Taylor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74"/>
    <s v="Sale"/>
    <s v="774Car33"/>
    <x v="8"/>
    <n v="33101"/>
    <s v="Owen Lloyd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75"/>
    <s v="Sale"/>
    <s v="775Car33"/>
    <x v="8"/>
    <n v="33101"/>
    <s v="Adrian Moore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76"/>
    <s v="Sale"/>
    <s v="776Car33"/>
    <x v="8"/>
    <n v="33101"/>
    <s v="Jordan Elliott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77"/>
    <s v="Sale"/>
    <s v="777Car33"/>
    <x v="8"/>
    <n v="33101"/>
    <s v="Honey Johnston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78"/>
    <s v="Sale"/>
    <s v="778Car33"/>
    <x v="8"/>
    <n v="33101"/>
    <s v="Tyler Cole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79"/>
    <s v="Sale"/>
    <s v="779Car33"/>
    <x v="8"/>
    <n v="33101"/>
    <s v="Brooke Russell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80"/>
    <s v="Sale"/>
    <s v="780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82"/>
    <s v="Sale"/>
    <s v="782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83"/>
    <s v="Sale"/>
    <s v="783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84"/>
    <s v="Sale"/>
    <s v="784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85"/>
    <s v="Sale"/>
    <s v="785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86"/>
    <s v="Sale"/>
    <s v="786Nav33"/>
    <x v="7"/>
    <n v="33101"/>
    <s v="Fiona Russell"/>
    <s v="Online Individual"/>
    <x v="0"/>
    <x v="1"/>
    <x v="2"/>
    <s v="Female"/>
    <x v="1"/>
    <s v="Guatemala"/>
    <s v="Central America"/>
    <n v="25"/>
    <n v="30"/>
    <x v="5"/>
    <s v="-"/>
    <s v="Style Risk"/>
    <s v="-"/>
    <s v="Low Value"/>
  </r>
  <r>
    <n v="787"/>
    <s v="Sale"/>
    <s v="787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88"/>
    <s v="Sale"/>
    <s v="788Nav33"/>
    <x v="7"/>
    <n v="33101"/>
    <s v="Aston Casey"/>
    <s v="Online Individual"/>
    <x v="0"/>
    <x v="1"/>
    <x v="2"/>
    <s v="Female"/>
    <x v="1"/>
    <s v="Guatemala"/>
    <s v="Central America"/>
    <n v="25"/>
    <n v="30"/>
    <x v="5"/>
    <s v="-"/>
    <s v="Style Risk"/>
    <s v="-"/>
    <s v="Low Value"/>
  </r>
  <r>
    <n v="789"/>
    <s v="Sale"/>
    <s v="789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90"/>
    <s v="Sale"/>
    <s v="790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91"/>
    <s v="Sale"/>
    <s v="791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92"/>
    <s v="Sale"/>
    <s v="792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93"/>
    <s v="Sale"/>
    <s v="793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94"/>
    <s v="Sale"/>
    <s v="794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95"/>
    <s v="Sale"/>
    <s v="795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96"/>
    <s v="Sale"/>
    <s v="796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97"/>
    <s v="Sale"/>
    <s v="797Car33"/>
    <x v="8"/>
    <n v="33101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798"/>
    <s v="Sale"/>
    <s v="798Car33"/>
    <x v="8"/>
    <n v="33101"/>
    <s v="Edgar Scott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799"/>
    <s v="Sale"/>
    <s v="799Car33"/>
    <x v="8"/>
    <n v="33101"/>
    <s v="Elian Well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00"/>
    <s v="Sale"/>
    <s v="800Car33"/>
    <x v="8"/>
    <n v="33101"/>
    <s v="Nordstrom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801"/>
    <s v="Sale"/>
    <s v="801Car33"/>
    <x v="8"/>
    <n v="33101"/>
    <s v="Nordstrom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802"/>
    <s v="Sale"/>
    <s v="802Car33"/>
    <x v="8"/>
    <n v="33101"/>
    <s v="Nordstrom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804"/>
    <s v="Sale"/>
    <s v="804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05"/>
    <s v="Sale"/>
    <s v="805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06"/>
    <s v="Sale"/>
    <s v="806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07"/>
    <s v="Sale"/>
    <s v="807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08"/>
    <s v="Sale"/>
    <s v="808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09"/>
    <s v="Sale"/>
    <s v="809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10"/>
    <s v="Sale"/>
    <s v="810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11"/>
    <s v="Sale"/>
    <s v="811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12"/>
    <s v="Sale"/>
    <s v="812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13"/>
    <s v="Sale"/>
    <s v="813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14"/>
    <s v="Sale"/>
    <s v="814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15"/>
    <s v="Sale"/>
    <s v="815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16"/>
    <s v="Sale"/>
    <s v="816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17"/>
    <s v="Sale"/>
    <s v="817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18"/>
    <s v="Sale"/>
    <s v="818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19"/>
    <s v="Sale"/>
    <s v="819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20"/>
    <s v="Sale"/>
    <s v="820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21"/>
    <s v="Sale"/>
    <s v="821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22"/>
    <s v="Sale"/>
    <s v="822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23"/>
    <s v="Sale"/>
    <s v="823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24"/>
    <s v="Sale"/>
    <s v="824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25"/>
    <s v="Sale"/>
    <s v="825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26"/>
    <s v="Sale"/>
    <s v="826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27"/>
    <s v="Sale"/>
    <s v="827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28"/>
    <s v="Sale"/>
    <s v="828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29"/>
    <s v="Sale"/>
    <s v="829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30"/>
    <s v="Sale"/>
    <s v="830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31"/>
    <s v="Sale"/>
    <s v="831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32"/>
    <s v="Sale"/>
    <s v="832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33"/>
    <s v="Sale"/>
    <s v="833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34"/>
    <s v="Sale"/>
    <s v="834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35"/>
    <s v="Sale"/>
    <s v="835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36"/>
    <s v="Sale"/>
    <s v="836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37"/>
    <s v="Sale"/>
    <s v="837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38"/>
    <s v="Sale"/>
    <s v="838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39"/>
    <s v="Sale"/>
    <s v="839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40"/>
    <s v="Sale"/>
    <s v="840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41"/>
    <s v="Sale"/>
    <s v="841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42"/>
    <s v="Sale"/>
    <s v="842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43"/>
    <s v="Sale"/>
    <s v="843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44"/>
    <s v="Sale"/>
    <s v="844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45"/>
    <s v="Sale"/>
    <s v="845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46"/>
    <s v="Sale"/>
    <s v="846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47"/>
    <s v="Sale"/>
    <s v="847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48"/>
    <s v="Sale"/>
    <s v="848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49"/>
    <s v="Sale"/>
    <s v="849Sus10"/>
    <x v="5"/>
    <n v="10013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79"/>
    <s v="Sale"/>
    <s v="1179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850"/>
    <s v="Sale"/>
    <s v="850Car33"/>
    <x v="8"/>
    <n v="33125"/>
    <s v="Ted Russell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51"/>
    <s v="Sale"/>
    <s v="851Whi33"/>
    <x v="9"/>
    <n v="33125"/>
    <s v="Carlos Lloyd"/>
    <s v="Online Individual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52"/>
    <s v="Sale"/>
    <s v="852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53"/>
    <s v="Sale"/>
    <s v="853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54"/>
    <s v="Sale"/>
    <s v="854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55"/>
    <s v="Sale"/>
    <s v="855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56"/>
    <s v="Sale"/>
    <s v="856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57"/>
    <s v="Sale"/>
    <s v="857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58"/>
    <s v="Sale"/>
    <s v="858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59"/>
    <s v="Sale"/>
    <s v="859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60"/>
    <s v="Sale"/>
    <s v="860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61"/>
    <s v="Sale"/>
    <s v="861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62"/>
    <s v="Sale"/>
    <s v="862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63"/>
    <s v="Sale"/>
    <s v="863Car33"/>
    <x v="8"/>
    <n v="33125"/>
    <s v="Honey Thoma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64"/>
    <s v="Sale"/>
    <s v="864Car33"/>
    <x v="8"/>
    <n v="33125"/>
    <s v="Paul Reed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65"/>
    <s v="Sale"/>
    <s v="865Car33"/>
    <x v="8"/>
    <n v="33125"/>
    <s v="Derek Tucker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66"/>
    <s v="Sale"/>
    <s v="866Car33"/>
    <x v="8"/>
    <n v="33125"/>
    <s v="Blake Murphy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67"/>
    <s v="Sale"/>
    <s v="867Car33"/>
    <x v="8"/>
    <n v="33125"/>
    <s v="Nordstrom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868"/>
    <s v="Sale"/>
    <s v="868Car33"/>
    <x v="8"/>
    <n v="33125"/>
    <s v="Nordstrom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869"/>
    <s v="Sale"/>
    <s v="869Car33"/>
    <x v="8"/>
    <n v="33125"/>
    <s v="Nordstrom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870"/>
    <s v="Sale"/>
    <s v="870Car33"/>
    <x v="8"/>
    <n v="33125"/>
    <s v="Nordstrom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871"/>
    <s v="Sale"/>
    <s v="871Car33"/>
    <x v="8"/>
    <n v="33125"/>
    <s v="James Brook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72"/>
    <s v="Sale"/>
    <s v="872Car33"/>
    <x v="8"/>
    <n v="33125"/>
    <s v="Deanna Martin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73"/>
    <s v="Sale"/>
    <s v="873Car33"/>
    <x v="8"/>
    <n v="33125"/>
    <s v="Alan West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74"/>
    <s v="Sale"/>
    <s v="874Car33"/>
    <x v="8"/>
    <n v="33125"/>
    <s v="Valeria Perkin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75"/>
    <s v="Sale"/>
    <s v="875Car33"/>
    <x v="8"/>
    <n v="33125"/>
    <s v="Eleanor Carter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76"/>
    <s v="Sale"/>
    <s v="876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877"/>
    <s v="Sale"/>
    <s v="877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878"/>
    <s v="Sale"/>
    <s v="878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79"/>
    <s v="Sale"/>
    <s v="879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80"/>
    <s v="Sale"/>
    <s v="880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81"/>
    <s v="Sale"/>
    <s v="881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82"/>
    <s v="Sale"/>
    <s v="882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83"/>
    <s v="Sale"/>
    <s v="883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84"/>
    <s v="Sale"/>
    <s v="884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85"/>
    <s v="Sale"/>
    <s v="885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86"/>
    <s v="Sale"/>
    <s v="886Whi33"/>
    <x v="9"/>
    <n v="33125"/>
    <s v="Cherry Holmes"/>
    <s v="Online Individual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87"/>
    <s v="Sale"/>
    <s v="887Whi33"/>
    <x v="9"/>
    <n v="33125"/>
    <s v="Amanda Morrison"/>
    <s v="Online Individual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88"/>
    <s v="Sale"/>
    <s v="888Whi33"/>
    <x v="9"/>
    <n v="33125"/>
    <s v="Alisa Jones"/>
    <s v="Online Individual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889"/>
    <s v="Sale"/>
    <s v="889Car33"/>
    <x v="8"/>
    <n v="33125"/>
    <s v="Lilianna Barrett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90"/>
    <s v="Sale"/>
    <s v="890Car33"/>
    <x v="8"/>
    <n v="33125"/>
    <s v="Nordstrom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891"/>
    <s v="Sale"/>
    <s v="891Car33"/>
    <x v="8"/>
    <n v="33125"/>
    <s v="Nordstrom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892"/>
    <s v="Sale"/>
    <s v="892Car33"/>
    <x v="8"/>
    <n v="33125"/>
    <s v="Nordstrom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893"/>
    <s v="Sale"/>
    <s v="893Car33"/>
    <x v="8"/>
    <n v="33125"/>
    <s v="Deanna Johnston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94"/>
    <s v="Sale"/>
    <s v="894Car33"/>
    <x v="8"/>
    <n v="33125"/>
    <s v="Sydney Wright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95"/>
    <s v="Sale"/>
    <s v="895Car33"/>
    <x v="8"/>
    <n v="33125"/>
    <s v="Savana Holme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96"/>
    <s v="Sale"/>
    <s v="896Car33"/>
    <x v="8"/>
    <n v="33125"/>
    <s v="Lana Alexander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897"/>
    <s v="Sale"/>
    <s v="897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898"/>
    <s v="Sale"/>
    <s v="898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899"/>
    <s v="Sale"/>
    <s v="899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900"/>
    <s v="Sale"/>
    <s v="900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901"/>
    <s v="Sale"/>
    <s v="901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902"/>
    <s v="Sale"/>
    <s v="902Whi33"/>
    <x v="9"/>
    <n v="33125"/>
    <s v="Neiman Marcus"/>
    <s v="Retail Buyer"/>
    <x v="0"/>
    <x v="1"/>
    <x v="2"/>
    <s v="Female"/>
    <x v="0"/>
    <s v="Azerbaijan"/>
    <s v="Middle East"/>
    <n v="1200"/>
    <n v="2000"/>
    <x v="7"/>
    <s v="-"/>
    <s v="Style Risk"/>
    <s v="-"/>
    <s v="High Value"/>
  </r>
  <r>
    <n v="903"/>
    <s v="Sale"/>
    <s v="903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904"/>
    <s v="Sale"/>
    <s v="904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905"/>
    <s v="Sale"/>
    <s v="905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906"/>
    <s v="Sale"/>
    <s v="906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907"/>
    <s v="Sale"/>
    <s v="907Car33"/>
    <x v="8"/>
    <n v="33125"/>
    <s v="Neiman Marcus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908"/>
    <s v="Sale"/>
    <s v="908Car33"/>
    <x v="8"/>
    <n v="33125"/>
    <s v="Fiona Hill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909"/>
    <s v="Sale"/>
    <s v="909Car33"/>
    <x v="8"/>
    <n v="33125"/>
    <s v="Paige Harrison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910"/>
    <s v="Sale"/>
    <s v="910Car33"/>
    <x v="8"/>
    <n v="33125"/>
    <s v="Adelaide Murray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911"/>
    <s v="Sale"/>
    <s v="911Car33"/>
    <x v="8"/>
    <n v="33125"/>
    <s v="Adrianna Gray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912"/>
    <s v="Sale"/>
    <s v="912Car33"/>
    <x v="8"/>
    <n v="33125"/>
    <s v="Nordstrom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913"/>
    <s v="Sale"/>
    <s v="913Car33"/>
    <x v="8"/>
    <n v="33125"/>
    <s v="Lily Spencer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914"/>
    <s v="Sale"/>
    <s v="914Car33"/>
    <x v="8"/>
    <n v="33125"/>
    <s v="Nordstrom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915"/>
    <s v="Sale"/>
    <s v="915Car33"/>
    <x v="8"/>
    <n v="33125"/>
    <s v="Nordstrom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916"/>
    <s v="Sale"/>
    <s v="916Car33"/>
    <x v="8"/>
    <n v="33125"/>
    <s v="Nordstrom"/>
    <s v="Retail Buyer"/>
    <x v="0"/>
    <x v="1"/>
    <x v="2"/>
    <s v="Female"/>
    <x v="0"/>
    <s v="Iran"/>
    <s v="Middle East"/>
    <n v="75"/>
    <n v="125"/>
    <x v="6"/>
    <s v="-"/>
    <s v="Style Risk"/>
    <s v="-"/>
    <s v="High Value"/>
  </r>
  <r>
    <n v="917"/>
    <s v="Sale"/>
    <s v="917Car33"/>
    <x v="8"/>
    <n v="33125"/>
    <s v="Rubie Harri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918"/>
    <s v="Sale"/>
    <s v="918Car33"/>
    <x v="8"/>
    <n v="33125"/>
    <s v="Savana Hall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919"/>
    <s v="Sale"/>
    <s v="919Car33"/>
    <x v="8"/>
    <n v="33125"/>
    <s v="Melanie Owens"/>
    <s v="Online Individual"/>
    <x v="0"/>
    <x v="1"/>
    <x v="2"/>
    <s v="Female"/>
    <x v="0"/>
    <s v="Iran"/>
    <s v="Middle East"/>
    <n v="75"/>
    <n v="125"/>
    <x v="6"/>
    <s v="-"/>
    <s v="Style Risk"/>
    <s v="-"/>
    <s v="High Value"/>
  </r>
  <r>
    <n v="920"/>
    <s v="Sale"/>
    <s v="920Nav80"/>
    <x v="7"/>
    <n v="80123"/>
    <s v="Alberta Robin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21"/>
    <s v="Sale"/>
    <s v="921Nav80"/>
    <x v="7"/>
    <n v="80123"/>
    <s v="Ema Mill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22"/>
    <s v="Sale"/>
    <s v="922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23"/>
    <s v="Sale"/>
    <s v="923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24"/>
    <s v="Sale"/>
    <s v="924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25"/>
    <s v="Sale"/>
    <s v="925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26"/>
    <s v="Sale"/>
    <s v="926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27"/>
    <s v="Sale"/>
    <s v="927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28"/>
    <s v="Sale"/>
    <s v="928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29"/>
    <s v="Sale"/>
    <s v="929Red80"/>
    <x v="6"/>
    <n v="80123"/>
    <s v="Target"/>
    <s v="Retail Buyer"/>
    <x v="0"/>
    <x v="2"/>
    <x v="3"/>
    <s v="Female"/>
    <x v="1"/>
    <s v="Honduras"/>
    <s v="Central America"/>
    <n v="30"/>
    <n v="45"/>
    <x v="2"/>
    <s v="Hub Risk"/>
    <s v="Style Risk"/>
    <s v="Risk"/>
    <s v="High Value"/>
  </r>
  <r>
    <n v="930"/>
    <s v="Sale"/>
    <s v="930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31"/>
    <s v="Sale"/>
    <s v="931Nav80"/>
    <x v="7"/>
    <n v="80123"/>
    <s v="Lucy Andrew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32"/>
    <s v="Sale"/>
    <s v="932Nav80"/>
    <x v="7"/>
    <n v="80123"/>
    <s v="Heather Andrew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33"/>
    <s v="Sale"/>
    <s v="933Nav80"/>
    <x v="7"/>
    <n v="80123"/>
    <s v="Maya Ma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34"/>
    <s v="Sale"/>
    <s v="934Nav80"/>
    <x v="7"/>
    <n v="80123"/>
    <s v="Valeria Reed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35"/>
    <s v="Sale"/>
    <s v="935Nav80"/>
    <x v="7"/>
    <n v="80123"/>
    <s v="Ada Moore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36"/>
    <s v="Sale"/>
    <s v="936Nav80"/>
    <x v="7"/>
    <n v="80123"/>
    <s v="Grace Johnst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37"/>
    <s v="Sale"/>
    <s v="937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38"/>
    <s v="Sale"/>
    <s v="938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39"/>
    <s v="Sale"/>
    <s v="939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40"/>
    <s v="Sale"/>
    <s v="940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41"/>
    <s v="Sale"/>
    <s v="941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42"/>
    <s v="Sale"/>
    <s v="942Red80"/>
    <x v="6"/>
    <n v="80123"/>
    <s v="Macys"/>
    <s v="Retail Buyer"/>
    <x v="0"/>
    <x v="2"/>
    <x v="3"/>
    <s v="Female"/>
    <x v="1"/>
    <s v="Honduras"/>
    <s v="Central America"/>
    <n v="30"/>
    <n v="45"/>
    <x v="2"/>
    <s v="Hub Risk"/>
    <s v="Style Risk"/>
    <s v="Risk"/>
    <s v="High Value"/>
  </r>
  <r>
    <n v="943"/>
    <s v="Sale"/>
    <s v="943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44"/>
    <s v="Sale"/>
    <s v="944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45"/>
    <s v="Sale"/>
    <s v="945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46"/>
    <s v="Sale"/>
    <s v="946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47"/>
    <s v="Sale"/>
    <s v="947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48"/>
    <s v="Sale"/>
    <s v="948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49"/>
    <s v="Sale"/>
    <s v="949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50"/>
    <s v="Sale"/>
    <s v="950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51"/>
    <s v="Sale"/>
    <s v="951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52"/>
    <s v="Sale"/>
    <s v="952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53"/>
    <s v="Sale"/>
    <s v="953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54"/>
    <s v="Sale"/>
    <s v="954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55"/>
    <s v="Sale"/>
    <s v="955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56"/>
    <s v="Sale"/>
    <s v="956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57"/>
    <s v="Sale"/>
    <s v="957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58"/>
    <s v="Sale"/>
    <s v="958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59"/>
    <s v="Sale"/>
    <s v="959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60"/>
    <s v="Sale"/>
    <s v="960Nav80"/>
    <x v="7"/>
    <n v="80123"/>
    <s v="Macy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61"/>
    <s v="Sale"/>
    <s v="961Nav80"/>
    <x v="7"/>
    <n v="80123"/>
    <s v="Sabrina Rya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62"/>
    <s v="Sale"/>
    <s v="962Nav80"/>
    <x v="7"/>
    <n v="80123"/>
    <s v="Penelope Armstrong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63"/>
    <s v="Sale"/>
    <s v="963Nav80"/>
    <x v="7"/>
    <n v="80123"/>
    <s v="Maya Wright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64"/>
    <s v="Sale"/>
    <s v="964Nav80"/>
    <x v="7"/>
    <n v="80123"/>
    <s v="Lilianna Cart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65"/>
    <s v="Sale"/>
    <s v="965Nav80"/>
    <x v="7"/>
    <n v="80123"/>
    <s v="Melissa Scott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66"/>
    <s v="Sale"/>
    <s v="966Nav80"/>
    <x v="7"/>
    <n v="80123"/>
    <s v="Ellia Hender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78"/>
    <s v="Sale"/>
    <s v="978Nav80"/>
    <x v="7"/>
    <n v="80123"/>
    <s v="Lydia Russell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80"/>
    <s v="Sale"/>
    <s v="980Nav80"/>
    <x v="7"/>
    <n v="80123"/>
    <s v="Alisa Kelle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81"/>
    <s v="Sale"/>
    <s v="981Nav80"/>
    <x v="7"/>
    <n v="80123"/>
    <s v="Michelle Barne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83"/>
    <s v="Sale"/>
    <s v="983Nav80"/>
    <x v="7"/>
    <n v="80123"/>
    <s v="Miley Reed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984"/>
    <s v="Sale"/>
    <s v="984Nav80"/>
    <x v="7"/>
    <n v="80123"/>
    <s v="Olivia Camer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09"/>
    <s v="Sale"/>
    <s v="1109Nav80"/>
    <x v="7"/>
    <n v="80123"/>
    <s v="Kate William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10"/>
    <s v="Sale"/>
    <s v="1110Nav80"/>
    <x v="7"/>
    <n v="80123"/>
    <s v="Naomi Adam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11"/>
    <s v="Sale"/>
    <s v="1111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12"/>
    <s v="Sale"/>
    <s v="1112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13"/>
    <s v="Sale"/>
    <s v="1113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14"/>
    <s v="Sale"/>
    <s v="1114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15"/>
    <s v="Sale"/>
    <s v="1115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16"/>
    <s v="Sale"/>
    <s v="1116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17"/>
    <s v="Sale"/>
    <s v="1117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18"/>
    <s v="Sale"/>
    <s v="1118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19"/>
    <s v="Sale"/>
    <s v="1119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20"/>
    <s v="Sale"/>
    <s v="1120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21"/>
    <s v="Sale"/>
    <s v="1121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22"/>
    <s v="Sale"/>
    <s v="1122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23"/>
    <s v="Sale"/>
    <s v="1123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24"/>
    <s v="Sale"/>
    <s v="1124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25"/>
    <s v="Sale"/>
    <s v="1125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26"/>
    <s v="Sale"/>
    <s v="1126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27"/>
    <s v="Sale"/>
    <s v="1127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28"/>
    <s v="Sale"/>
    <s v="1128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29"/>
    <s v="Sale"/>
    <s v="1129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30"/>
    <s v="Sale"/>
    <s v="1130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31"/>
    <s v="Sale"/>
    <s v="1131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32"/>
    <s v="Sale"/>
    <s v="1132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33"/>
    <s v="Sale"/>
    <s v="1133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34"/>
    <s v="Sale"/>
    <s v="1134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35"/>
    <s v="Sale"/>
    <s v="1135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36"/>
    <s v="Sale"/>
    <s v="1136Nav80"/>
    <x v="7"/>
    <n v="80123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37"/>
    <s v="Sale"/>
    <s v="1137Nav80"/>
    <x v="7"/>
    <n v="80123"/>
    <s v="Neiman Marcu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38"/>
    <s v="Sale"/>
    <s v="1138Nav80"/>
    <x v="7"/>
    <n v="80123"/>
    <s v="Neiman Marcu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39"/>
    <s v="Sale"/>
    <s v="1139Nav80"/>
    <x v="7"/>
    <n v="80123"/>
    <s v="Neiman Marcu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40"/>
    <s v="Sale"/>
    <s v="1140Nav80"/>
    <x v="7"/>
    <n v="80123"/>
    <s v="Neiman Marcu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41"/>
    <s v="Sale"/>
    <s v="1141Nav80"/>
    <x v="7"/>
    <n v="80123"/>
    <s v="Neiman Marcu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42"/>
    <s v="Sale"/>
    <s v="1142Nav80"/>
    <x v="7"/>
    <n v="80123"/>
    <s v="Neiman Marcus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143"/>
    <s v="Sale"/>
    <s v="1143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44"/>
    <s v="Sale"/>
    <s v="1144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45"/>
    <s v="Sale"/>
    <s v="1145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46"/>
    <s v="Sale"/>
    <s v="1146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47"/>
    <s v="Sale"/>
    <s v="1147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48"/>
    <s v="Sale"/>
    <s v="1148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49"/>
    <s v="Sale"/>
    <s v="1149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50"/>
    <s v="Sale"/>
    <s v="1150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51"/>
    <s v="Sale"/>
    <s v="1151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52"/>
    <s v="Sale"/>
    <s v="1152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53"/>
    <s v="Sale"/>
    <s v="1153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54"/>
    <s v="Sale"/>
    <s v="1154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55"/>
    <s v="Sale"/>
    <s v="1155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56"/>
    <s v="Sale"/>
    <s v="1156Red10"/>
    <x v="6"/>
    <n v="10001"/>
    <s v="Emma Farrell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57"/>
    <s v="Sale"/>
    <s v="1157Red10"/>
    <x v="6"/>
    <n v="10001"/>
    <s v="Samantha Chapman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58"/>
    <s v="Sale"/>
    <s v="1158Red10"/>
    <x v="6"/>
    <n v="10001"/>
    <s v="Joyce Mill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59"/>
    <s v="Sale"/>
    <s v="1159Red10"/>
    <x v="6"/>
    <n v="10001"/>
    <s v="Connie Mitchell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60"/>
    <s v="Sale"/>
    <s v="1160Red10"/>
    <x v="6"/>
    <n v="10001"/>
    <s v="Joyce Hill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61"/>
    <s v="Sale"/>
    <s v="1161Red10"/>
    <x v="6"/>
    <n v="10001"/>
    <s v="Alissa Cart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62"/>
    <s v="Sale"/>
    <s v="1162Red10"/>
    <x v="6"/>
    <n v="10001"/>
    <s v="Adelaide West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63"/>
    <s v="Sale"/>
    <s v="1163Red10"/>
    <x v="6"/>
    <n v="10001"/>
    <s v="Gianna Murray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64"/>
    <s v="Sale"/>
    <s v="1164Red10"/>
    <x v="6"/>
    <n v="10001"/>
    <s v="Valeria Fost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65"/>
    <s v="Sale"/>
    <s v="1165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66"/>
    <s v="Sale"/>
    <s v="1166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67"/>
    <s v="Sale"/>
    <s v="1167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68"/>
    <s v="Sale"/>
    <s v="1168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69"/>
    <s v="Sale"/>
    <s v="1169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70"/>
    <s v="Sale"/>
    <s v="1170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71"/>
    <s v="Sale"/>
    <s v="1171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72"/>
    <s v="Sale"/>
    <s v="1172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73"/>
    <s v="Sale"/>
    <s v="1173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74"/>
    <s v="Sale"/>
    <s v="1174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75"/>
    <s v="Sale"/>
    <s v="1175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76"/>
    <s v="Sale"/>
    <s v="1176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77"/>
    <s v="Sale"/>
    <s v="1177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78"/>
    <s v="Sale"/>
    <s v="1178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180"/>
    <s v="Sale"/>
    <s v="1180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81"/>
    <s v="Sale"/>
    <s v="1181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82"/>
    <s v="Sale"/>
    <s v="1182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83"/>
    <s v="Sale"/>
    <s v="1183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84"/>
    <s v="Sale"/>
    <s v="1184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85"/>
    <s v="Sale"/>
    <s v="1185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86"/>
    <s v="Sale"/>
    <s v="1186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87"/>
    <s v="Sale"/>
    <s v="1187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88"/>
    <s v="Sale"/>
    <s v="1188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89"/>
    <s v="Sale"/>
    <s v="1189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90"/>
    <s v="Sale"/>
    <s v="1190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91"/>
    <s v="Sale"/>
    <s v="1191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92"/>
    <s v="Sale"/>
    <s v="1192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93"/>
    <s v="Sale"/>
    <s v="1193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94"/>
    <s v="Sale"/>
    <s v="1194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95"/>
    <s v="Sale"/>
    <s v="1195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96"/>
    <s v="Sale"/>
    <s v="1196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97"/>
    <s v="Sale"/>
    <s v="1197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98"/>
    <s v="Sale"/>
    <s v="1198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199"/>
    <s v="Sale"/>
    <s v="1199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00"/>
    <s v="Sale"/>
    <s v="1200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01"/>
    <s v="Sale"/>
    <s v="1201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02"/>
    <s v="Sale"/>
    <s v="1202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03"/>
    <s v="Sale"/>
    <s v="1203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04"/>
    <s v="Sale"/>
    <s v="1204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05"/>
    <s v="Sale"/>
    <s v="1205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06"/>
    <s v="Sale"/>
    <s v="1206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07"/>
    <s v="Sale"/>
    <s v="1207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08"/>
    <s v="Sale"/>
    <s v="1208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09"/>
    <s v="Sale"/>
    <s v="1209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10"/>
    <s v="Sale"/>
    <s v="1210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11"/>
    <s v="Sale"/>
    <s v="1211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12"/>
    <s v="Sale"/>
    <s v="1212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13"/>
    <s v="Sale"/>
    <s v="1213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14"/>
    <s v="Sale"/>
    <s v="1214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15"/>
    <s v="Sale"/>
    <s v="1215Sus10"/>
    <x v="5"/>
    <n v="10001"/>
    <s v="Barneys New York"/>
    <s v="Retail Buyer"/>
    <x v="0"/>
    <x v="0"/>
    <x v="0"/>
    <s v="Female"/>
    <x v="2"/>
    <s v="Romania"/>
    <s v="Eastern Europe"/>
    <n v="350"/>
    <n v="450"/>
    <x v="3"/>
    <s v="-"/>
    <s v="-"/>
    <s v="-"/>
    <s v="High Value"/>
  </r>
  <r>
    <n v="124"/>
    <s v="Sale"/>
    <s v="124Woo10"/>
    <x v="4"/>
    <n v="10022"/>
    <s v="Macys"/>
    <s v="Retail Buyer"/>
    <x v="0"/>
    <x v="0"/>
    <x v="0"/>
    <s v="Male"/>
    <x v="2"/>
    <s v="Moldova"/>
    <s v="Eastern Europe"/>
    <n v="475"/>
    <n v="600"/>
    <x v="4"/>
    <s v="-"/>
    <s v="-"/>
    <s v="-"/>
    <s v="High Value"/>
  </r>
  <r>
    <n v="1216"/>
    <s v="Sale"/>
    <s v="1216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17"/>
    <s v="Sale"/>
    <s v="1217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18"/>
    <s v="Sale"/>
    <s v="1218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19"/>
    <s v="Sale"/>
    <s v="1219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20"/>
    <s v="Sale"/>
    <s v="1220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21"/>
    <s v="Sale"/>
    <s v="1221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22"/>
    <s v="Sale"/>
    <s v="1222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23"/>
    <s v="Sale"/>
    <s v="1223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24"/>
    <s v="Sale"/>
    <s v="1224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25"/>
    <s v="Sale"/>
    <s v="1225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26"/>
    <s v="Sale"/>
    <s v="1226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27"/>
    <s v="Sale"/>
    <s v="1227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28"/>
    <s v="Sale"/>
    <s v="1228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29"/>
    <s v="Sale"/>
    <s v="1229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30"/>
    <s v="Sale"/>
    <s v="1230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31"/>
    <s v="Sale"/>
    <s v="1231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32"/>
    <s v="Sale"/>
    <s v="1232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33"/>
    <s v="Sale"/>
    <s v="1233Sus10"/>
    <x v="5"/>
    <n v="10001"/>
    <s v="Barneys New York"/>
    <s v="Retail Buyer"/>
    <x v="0"/>
    <x v="1"/>
    <x v="0"/>
    <s v="Female"/>
    <x v="2"/>
    <s v="Romania"/>
    <s v="Eastern Europe"/>
    <n v="350"/>
    <n v="450"/>
    <x v="3"/>
    <s v="-"/>
    <s v="-"/>
    <s v="-"/>
    <s v="High Value"/>
  </r>
  <r>
    <n v="1234"/>
    <s v="Sale"/>
    <s v="1234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35"/>
    <s v="Sale"/>
    <s v="1235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36"/>
    <s v="Sale"/>
    <s v="1236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37"/>
    <s v="Sale"/>
    <s v="1237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38"/>
    <s v="Sale"/>
    <s v="1238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39"/>
    <s v="Sale"/>
    <s v="1239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40"/>
    <s v="Sale"/>
    <s v="1240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41"/>
    <s v="Sale"/>
    <s v="1241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42"/>
    <s v="Sale"/>
    <s v="1242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43"/>
    <s v="Sale"/>
    <s v="1243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44"/>
    <s v="Sale"/>
    <s v="1244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45"/>
    <s v="Sale"/>
    <s v="1245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46"/>
    <s v="Sale"/>
    <s v="1246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47"/>
    <s v="Sale"/>
    <s v="1247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48"/>
    <s v="Sale"/>
    <s v="1248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49"/>
    <s v="Sale"/>
    <s v="1249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50"/>
    <s v="Sale"/>
    <s v="1250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51"/>
    <s v="Sale"/>
    <s v="1251Red10"/>
    <x v="6"/>
    <n v="10001"/>
    <s v="Connie Hawkin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52"/>
    <s v="Sale"/>
    <s v="1252Red10"/>
    <x v="6"/>
    <n v="10001"/>
    <s v="Honey Sullivan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53"/>
    <s v="Sale"/>
    <s v="1253Red10"/>
    <x v="6"/>
    <n v="10001"/>
    <s v="Connie Murphy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54"/>
    <s v="Sale"/>
    <s v="1254Red10"/>
    <x v="6"/>
    <n v="10001"/>
    <s v="Myrada Sull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55"/>
    <s v="Sale"/>
    <s v="1255Red10"/>
    <x v="6"/>
    <n v="10001"/>
    <s v="Tara Edward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56"/>
    <s v="Sale"/>
    <s v="1256Red10"/>
    <x v="6"/>
    <n v="10001"/>
    <s v="Cadie Crawford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57"/>
    <s v="Sale"/>
    <s v="1257Red10"/>
    <x v="6"/>
    <n v="10001"/>
    <s v="Alina Barne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58"/>
    <s v="Sale"/>
    <s v="1258Red10"/>
    <x v="6"/>
    <n v="10001"/>
    <s v="Cherry Cunningham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59"/>
    <s v="Sale"/>
    <s v="1259Red10"/>
    <x v="6"/>
    <n v="10001"/>
    <s v="Alexia Scott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60"/>
    <s v="Sale"/>
    <s v="1260Red10"/>
    <x v="6"/>
    <n v="10001"/>
    <s v="Chloe Thompson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61"/>
    <s v="Sale"/>
    <s v="1261Red10"/>
    <x v="6"/>
    <n v="10001"/>
    <s v="Rebecca Gray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62"/>
    <s v="Sale"/>
    <s v="1262Red10"/>
    <x v="6"/>
    <n v="10001"/>
    <s v="Kimberly Mason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63"/>
    <s v="Sale"/>
    <s v="1263Red10"/>
    <x v="6"/>
    <n v="10001"/>
    <s v="Hailey Morrison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64"/>
    <s v="Sale"/>
    <s v="1264Red10"/>
    <x v="6"/>
    <n v="10001"/>
    <s v="Audrey Crawford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65"/>
    <s v="Sale"/>
    <s v="1265Red10"/>
    <x v="6"/>
    <n v="10001"/>
    <s v="Michelle Perry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66"/>
    <s v="Sale"/>
    <s v="1266Red10"/>
    <x v="6"/>
    <n v="10001"/>
    <s v="Brianna Harp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67"/>
    <s v="Sale"/>
    <s v="1267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68"/>
    <s v="Sale"/>
    <s v="1268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69"/>
    <s v="Sale"/>
    <s v="1269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70"/>
    <s v="Sale"/>
    <s v="1270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71"/>
    <s v="Sale"/>
    <s v="1271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72"/>
    <s v="Sale"/>
    <s v="1272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73"/>
    <s v="Sale"/>
    <s v="1273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74"/>
    <s v="Sale"/>
    <s v="1274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75"/>
    <s v="Sale"/>
    <s v="1275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76"/>
    <s v="Sale"/>
    <s v="1276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77"/>
    <s v="Sale"/>
    <s v="1277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78"/>
    <s v="Sale"/>
    <s v="1278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79"/>
    <s v="Sale"/>
    <s v="1279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80"/>
    <s v="Sale"/>
    <s v="1280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81"/>
    <s v="Sale"/>
    <s v="1281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82"/>
    <s v="Sale"/>
    <s v="1282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83"/>
    <s v="Sale"/>
    <s v="1283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84"/>
    <s v="Sale"/>
    <s v="1284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85"/>
    <s v="Sale"/>
    <s v="1285Red10"/>
    <x v="6"/>
    <n v="10001"/>
    <s v="Lucy Montgomery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86"/>
    <s v="Sale"/>
    <s v="1286Red10"/>
    <x v="6"/>
    <n v="10001"/>
    <s v="Mary Lloyd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87"/>
    <s v="Sale"/>
    <s v="1287Red10"/>
    <x v="6"/>
    <n v="10001"/>
    <s v="Savana Farrell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88"/>
    <s v="Sale"/>
    <s v="1288Red10"/>
    <x v="6"/>
    <n v="10001"/>
    <s v="Arianna Davi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89"/>
    <s v="Sale"/>
    <s v="1289Red10"/>
    <x v="6"/>
    <n v="10001"/>
    <s v="Tess Harp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90"/>
    <s v="Sale"/>
    <s v="1290Red10"/>
    <x v="6"/>
    <n v="10001"/>
    <s v="Natalie Jone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91"/>
    <s v="Sale"/>
    <s v="1291Red10"/>
    <x v="6"/>
    <n v="10001"/>
    <s v="Naomi Spenc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92"/>
    <s v="Sale"/>
    <s v="1292Red10"/>
    <x v="6"/>
    <n v="10001"/>
    <s v="Florrie Riley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93"/>
    <s v="Sale"/>
    <s v="1293Red10"/>
    <x v="6"/>
    <n v="10001"/>
    <s v="Darcy Lloyd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94"/>
    <s v="Sale"/>
    <s v="1294Red10"/>
    <x v="6"/>
    <n v="10001"/>
    <s v="Darcy Roger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95"/>
    <s v="Sale"/>
    <s v="1295Red10"/>
    <x v="6"/>
    <n v="10001"/>
    <s v="Darcy Robert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96"/>
    <s v="Sale"/>
    <s v="1296Red10"/>
    <x v="6"/>
    <n v="10001"/>
    <s v="Charlotte Russell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97"/>
    <s v="Sale"/>
    <s v="1297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98"/>
    <s v="Sale"/>
    <s v="1298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299"/>
    <s v="Sale"/>
    <s v="1299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00"/>
    <s v="Sale"/>
    <s v="1300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01"/>
    <s v="Sale"/>
    <s v="1301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02"/>
    <s v="Sale"/>
    <s v="1302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03"/>
    <s v="Sale"/>
    <s v="1303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04"/>
    <s v="Sale"/>
    <s v="1304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05"/>
    <s v="Sale"/>
    <s v="1305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06"/>
    <s v="Sale"/>
    <s v="1306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07"/>
    <s v="Sale"/>
    <s v="1307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08"/>
    <s v="Sale"/>
    <s v="1308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09"/>
    <s v="Sale"/>
    <s v="1309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10"/>
    <s v="Sale"/>
    <s v="1310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11"/>
    <s v="Sale"/>
    <s v="1311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12"/>
    <s v="Sale"/>
    <s v="1312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13"/>
    <s v="Sale"/>
    <s v="1313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14"/>
    <s v="Sale"/>
    <s v="1314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15"/>
    <s v="Sale"/>
    <s v="1315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16"/>
    <s v="Sale"/>
    <s v="1316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17"/>
    <s v="Sale"/>
    <s v="1317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18"/>
    <s v="Sale"/>
    <s v="1318Red10"/>
    <x v="6"/>
    <n v="10001"/>
    <s v="JCPenney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19"/>
    <s v="Sale"/>
    <s v="1319Red10"/>
    <x v="6"/>
    <n v="10001"/>
    <s v="Maddie Park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20"/>
    <s v="Sale"/>
    <s v="1320Red10"/>
    <x v="6"/>
    <n v="10001"/>
    <s v="Lilianna Elli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21"/>
    <s v="Sale"/>
    <s v="1321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22"/>
    <s v="Sale"/>
    <s v="1322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23"/>
    <s v="Sale"/>
    <s v="1323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24"/>
    <s v="Sale"/>
    <s v="1324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25"/>
    <s v="Sale"/>
    <s v="1325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26"/>
    <s v="Sale"/>
    <s v="1326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27"/>
    <s v="Sale"/>
    <s v="1327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28"/>
    <s v="Sale"/>
    <s v="1328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29"/>
    <s v="Sale"/>
    <s v="1329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30"/>
    <s v="Sale"/>
    <s v="1330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31"/>
    <s v="Sale"/>
    <s v="1331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32"/>
    <s v="Sale"/>
    <s v="1332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33"/>
    <s v="Sale"/>
    <s v="1333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34"/>
    <s v="Sale"/>
    <s v="1334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35"/>
    <s v="Sale"/>
    <s v="1335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36"/>
    <s v="Sale"/>
    <s v="1336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37"/>
    <s v="Sale"/>
    <s v="1337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38"/>
    <s v="Sale"/>
    <s v="1338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39"/>
    <s v="Sale"/>
    <s v="1339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40"/>
    <s v="Sale"/>
    <s v="1340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41"/>
    <s v="Sale"/>
    <s v="1341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42"/>
    <s v="Sale"/>
    <s v="1342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43"/>
    <s v="Sale"/>
    <s v="1343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44"/>
    <s v="Sale"/>
    <s v="1344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45"/>
    <s v="Sale"/>
    <s v="1345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46"/>
    <s v="Sale"/>
    <s v="1346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47"/>
    <s v="Sale"/>
    <s v="1347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48"/>
    <s v="Sale"/>
    <s v="1348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49"/>
    <s v="Sale"/>
    <s v="1349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50"/>
    <s v="Sale"/>
    <s v="1350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51"/>
    <s v="Sale"/>
    <s v="1351Red10"/>
    <x v="6"/>
    <n v="10001"/>
    <s v="Miley Walk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52"/>
    <s v="Sale"/>
    <s v="1352Red10"/>
    <x v="6"/>
    <n v="10001"/>
    <s v="Madaline Park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53"/>
    <s v="Sale"/>
    <s v="1353Red10"/>
    <x v="6"/>
    <n v="10001"/>
    <s v="April Andrew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54"/>
    <s v="Sale"/>
    <s v="1354Red10"/>
    <x v="6"/>
    <n v="10001"/>
    <s v="Savana Payne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55"/>
    <s v="Sale"/>
    <s v="1355Red10"/>
    <x v="6"/>
    <n v="10001"/>
    <s v="Rebecca Jone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56"/>
    <s v="Sale"/>
    <s v="1356Red10"/>
    <x v="6"/>
    <n v="10001"/>
    <s v="Myra Morri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57"/>
    <s v="Sale"/>
    <s v="1357Red10"/>
    <x v="6"/>
    <n v="10001"/>
    <s v="Violet Russell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58"/>
    <s v="Sale"/>
    <s v="1358Red10"/>
    <x v="6"/>
    <n v="10001"/>
    <s v="Sabrina Harrison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59"/>
    <s v="Sale"/>
    <s v="1359Red10"/>
    <x v="6"/>
    <n v="10001"/>
    <s v="Alberta Smith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60"/>
    <s v="Sale"/>
    <s v="1360Red10"/>
    <x v="6"/>
    <n v="10001"/>
    <s v="Evelyn Watson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61"/>
    <s v="Sale"/>
    <s v="1361Red10"/>
    <x v="6"/>
    <n v="10001"/>
    <s v="Alina Gibson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62"/>
    <s v="Sale"/>
    <s v="1362Red10"/>
    <x v="6"/>
    <n v="10001"/>
    <s v="Rebecca Ferguson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63"/>
    <s v="Sale"/>
    <s v="1363Red10"/>
    <x v="6"/>
    <n v="10001"/>
    <s v="Rubie Payne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64"/>
    <s v="Sale"/>
    <s v="1364Red10"/>
    <x v="6"/>
    <n v="10001"/>
    <s v="Carina Harrison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65"/>
    <s v="Sale"/>
    <s v="1365Red10"/>
    <x v="6"/>
    <n v="10001"/>
    <s v="Alisa Holme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66"/>
    <s v="Sale"/>
    <s v="1366Red10"/>
    <x v="6"/>
    <n v="10001"/>
    <s v="Isabella Walker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67"/>
    <s v="Sale"/>
    <s v="1367Red10"/>
    <x v="6"/>
    <n v="10001"/>
    <s v="Jasmine Richard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68"/>
    <s v="Sale"/>
    <s v="1368Red10"/>
    <x v="6"/>
    <n v="10001"/>
    <s v="Myra Evan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69"/>
    <s v="Sale"/>
    <s v="1369Red10"/>
    <x v="6"/>
    <n v="10001"/>
    <s v="Abigail Ros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70"/>
    <s v="Sale"/>
    <s v="1370Red10"/>
    <x v="6"/>
    <n v="10001"/>
    <s v="Deanna Davis"/>
    <s v="Online Individual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71"/>
    <s v="Sale"/>
    <s v="1371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72"/>
    <s v="Sale"/>
    <s v="1372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73"/>
    <s v="Sale"/>
    <s v="1373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74"/>
    <s v="Sale"/>
    <s v="1374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75"/>
    <s v="Sale"/>
    <s v="1375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76"/>
    <s v="Sale"/>
    <s v="1376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77"/>
    <s v="Sale"/>
    <s v="1377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78"/>
    <s v="Sale"/>
    <s v="1378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79"/>
    <s v="Sale"/>
    <s v="1379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80"/>
    <s v="Sale"/>
    <s v="1380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81"/>
    <s v="Sale"/>
    <s v="1381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82"/>
    <s v="Sale"/>
    <s v="1382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83"/>
    <s v="Sale"/>
    <s v="1383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84"/>
    <s v="Sale"/>
    <s v="1384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85"/>
    <s v="Sale"/>
    <s v="1385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86"/>
    <s v="Sale"/>
    <s v="1386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87"/>
    <s v="Sale"/>
    <s v="1387Red10"/>
    <x v="6"/>
    <n v="10001"/>
    <s v="Macys"/>
    <s v="Retail Buyer"/>
    <x v="0"/>
    <x v="1"/>
    <x v="0"/>
    <s v="Female"/>
    <x v="1"/>
    <s v="Honduras"/>
    <s v="Central America"/>
    <n v="30"/>
    <n v="45"/>
    <x v="2"/>
    <s v="-"/>
    <s v="Style Risk"/>
    <s v="-"/>
    <s v="High Value"/>
  </r>
  <r>
    <n v="1388"/>
    <s v="Sale"/>
    <s v="1388Nav80"/>
    <x v="7"/>
    <n v="80014"/>
    <s v="Vanessa Lloyd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389"/>
    <s v="Sale"/>
    <s v="1389Nav80"/>
    <x v="7"/>
    <n v="80014"/>
    <s v="Joyce Hunt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390"/>
    <s v="Sale"/>
    <s v="1390Nav80"/>
    <x v="7"/>
    <n v="80014"/>
    <s v="Violet Well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391"/>
    <s v="Sale"/>
    <s v="1391Nav80"/>
    <x v="7"/>
    <n v="80014"/>
    <s v="Maddie Phillip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392"/>
    <s v="Sale"/>
    <s v="1392Nav80"/>
    <x v="7"/>
    <n v="80014"/>
    <s v="Myra Nel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393"/>
    <s v="Sale"/>
    <s v="1393Nav80"/>
    <x v="7"/>
    <n v="80014"/>
    <s v="Emily Hill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394"/>
    <s v="Sale"/>
    <s v="1394Nav80"/>
    <x v="7"/>
    <n v="80014"/>
    <s v="Fiona West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395"/>
    <s v="Sale"/>
    <s v="1395Nav80"/>
    <x v="7"/>
    <n v="80014"/>
    <s v="Connie Alle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396"/>
    <s v="Sale"/>
    <s v="1396Nav80"/>
    <x v="7"/>
    <n v="80014"/>
    <s v="Adelaide Crawford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397"/>
    <s v="Sale"/>
    <s v="1397Nav80"/>
    <x v="7"/>
    <n v="80014"/>
    <s v="Samantha Alle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398"/>
    <s v="Sale"/>
    <s v="1398Nav80"/>
    <x v="7"/>
    <n v="80014"/>
    <s v="Myra Morga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399"/>
    <s v="Sale"/>
    <s v="1399Nav80"/>
    <x v="7"/>
    <n v="80014"/>
    <s v="Deanna Sulliva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00"/>
    <s v="Sale"/>
    <s v="1400Nav80"/>
    <x v="7"/>
    <n v="80014"/>
    <s v="Audrey Camer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01"/>
    <s v="Sale"/>
    <s v="1401Nav80"/>
    <x v="7"/>
    <n v="80014"/>
    <s v="Catherine Fergu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02"/>
    <s v="Sale"/>
    <s v="1402Nav80"/>
    <x v="7"/>
    <n v="80014"/>
    <s v="Adele Armstrong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03"/>
    <s v="Sale"/>
    <s v="1403Nav80"/>
    <x v="7"/>
    <n v="80014"/>
    <s v="Miranda Thomp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04"/>
    <s v="Sale"/>
    <s v="1404Nav80"/>
    <x v="7"/>
    <n v="80014"/>
    <s v="Myra Sulliva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05"/>
    <s v="Sale"/>
    <s v="1405Nav80"/>
    <x v="7"/>
    <n v="80014"/>
    <s v="Carina Gib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06"/>
    <s v="Sale"/>
    <s v="1406Nav80"/>
    <x v="7"/>
    <n v="80014"/>
    <s v="Maddie Montgomer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07"/>
    <s v="Sale"/>
    <s v="1407Nav80"/>
    <x v="7"/>
    <n v="80014"/>
    <s v="Lydia Turn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08"/>
    <s v="Sale"/>
    <s v="1408Nav80"/>
    <x v="7"/>
    <n v="80014"/>
    <s v="Agata Hawkin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09"/>
    <s v="Sale"/>
    <s v="1409Nav80"/>
    <x v="7"/>
    <n v="80014"/>
    <s v="Paige Holme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10"/>
    <s v="Sale"/>
    <s v="1410Nav80"/>
    <x v="7"/>
    <n v="80014"/>
    <s v="Brooke Spenc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11"/>
    <s v="Sale"/>
    <s v="1411Nav80"/>
    <x v="7"/>
    <n v="80014"/>
    <s v="Grace Hill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12"/>
    <s v="Sale"/>
    <s v="1412Nav80"/>
    <x v="7"/>
    <n v="80014"/>
    <s v="Lydia Fergu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13"/>
    <s v="Sale"/>
    <s v="1413Nav80"/>
    <x v="7"/>
    <n v="80014"/>
    <s v="Briony Warre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14"/>
    <s v="Sale"/>
    <s v="1414Nav80"/>
    <x v="7"/>
    <n v="80014"/>
    <s v="Joyce Ros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15"/>
    <s v="Sale"/>
    <s v="1415Nav80"/>
    <x v="7"/>
    <n v="80014"/>
    <s v="Aida Montgomer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16"/>
    <s v="Sale"/>
    <s v="1416Nav80"/>
    <x v="7"/>
    <n v="80014"/>
    <s v="Ellia Fost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17"/>
    <s v="Sale"/>
    <s v="1417Nav80"/>
    <x v="7"/>
    <n v="80014"/>
    <s v="Connie Gra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18"/>
    <s v="Sale"/>
    <s v="1418Nav80"/>
    <x v="7"/>
    <n v="80014"/>
    <s v="Nicole Jone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19"/>
    <s v="Sale"/>
    <s v="1419Nav80"/>
    <x v="7"/>
    <n v="80014"/>
    <s v="Abigail Hawkin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20"/>
    <s v="Sale"/>
    <s v="1420Nav80"/>
    <x v="7"/>
    <n v="80014"/>
    <s v="Belinda Hamilt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21"/>
    <s v="Sale"/>
    <s v="1421Nav80"/>
    <x v="7"/>
    <n v="80014"/>
    <s v="April Chapma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22"/>
    <s v="Sale"/>
    <s v="1422Nav80"/>
    <x v="7"/>
    <n v="80014"/>
    <s v="Melissa Ander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23"/>
    <s v="Sale"/>
    <s v="1423Nav80"/>
    <x v="7"/>
    <n v="80014"/>
    <s v="Stella Brow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24"/>
    <s v="Sale"/>
    <s v="1424Nav80"/>
    <x v="7"/>
    <n v="80014"/>
    <s v="Aida Spenc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25"/>
    <s v="Sale"/>
    <s v="1425Nav80"/>
    <x v="7"/>
    <n v="80014"/>
    <s v="Naomi Morga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26"/>
    <s v="Sale"/>
    <s v="1426Nav80"/>
    <x v="7"/>
    <n v="80014"/>
    <s v="Chloe Mill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27"/>
    <s v="Sale"/>
    <s v="1427Nav80"/>
    <x v="7"/>
    <n v="80014"/>
    <s v="Lily Dougla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28"/>
    <s v="Sale"/>
    <s v="1428Nav80"/>
    <x v="7"/>
    <n v="80014"/>
    <s v="Lydia Wright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29"/>
    <s v="Sale"/>
    <s v="1429Nav80"/>
    <x v="7"/>
    <n v="80014"/>
    <s v="Kirsten Alexand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30"/>
    <s v="Sale"/>
    <s v="1430Nav80"/>
    <x v="7"/>
    <n v="80014"/>
    <s v="Penelope Mill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31"/>
    <s v="Sale"/>
    <s v="1431Nav80"/>
    <x v="7"/>
    <n v="80014"/>
    <s v="Sydney Hender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32"/>
    <s v="Sale"/>
    <s v="1432Nav80"/>
    <x v="7"/>
    <n v="80014"/>
    <s v="Belinda Spenc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33"/>
    <s v="Sale"/>
    <s v="1433Nav80"/>
    <x v="7"/>
    <n v="80014"/>
    <s v="Isabella Rya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34"/>
    <s v="Sale"/>
    <s v="1434Nav80"/>
    <x v="7"/>
    <n v="80014"/>
    <s v="Rebecca Kelle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35"/>
    <s v="Sale"/>
    <s v="1435Nav80"/>
    <x v="7"/>
    <n v="80014"/>
    <s v="Cherry Dix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36"/>
    <s v="Sale"/>
    <s v="1436Nav80"/>
    <x v="7"/>
    <n v="80014"/>
    <s v="Sofia Dougla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37"/>
    <s v="Sale"/>
    <s v="1437Nav80"/>
    <x v="7"/>
    <n v="80014"/>
    <s v="Kimberly Morri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38"/>
    <s v="Sale"/>
    <s v="1438Nav80"/>
    <x v="7"/>
    <n v="80014"/>
    <s v="Jenna Camer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39"/>
    <s v="Sale"/>
    <s v="1439Nav80"/>
    <x v="7"/>
    <n v="80014"/>
    <s v="Alissa Richard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40"/>
    <s v="Sale"/>
    <s v="1440Nav80"/>
    <x v="7"/>
    <n v="80014"/>
    <s v="Amelia Marti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41"/>
    <s v="Sale"/>
    <s v="1441Nav80"/>
    <x v="7"/>
    <n v="80014"/>
    <s v="Naomi Rya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42"/>
    <s v="Sale"/>
    <s v="1442Nav80"/>
    <x v="7"/>
    <n v="80014"/>
    <s v="Sofia Johnst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43"/>
    <s v="Sale"/>
    <s v="1443Nav80"/>
    <x v="7"/>
    <n v="80014"/>
    <s v="Maddie Richard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44"/>
    <s v="Sale"/>
    <s v="1444Nav80"/>
    <x v="7"/>
    <n v="80014"/>
    <s v="Maya Davi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45"/>
    <s v="Sale"/>
    <s v="1445Nav80"/>
    <x v="7"/>
    <n v="80014"/>
    <s v="Ellia Edward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46"/>
    <s v="Sale"/>
    <s v="1446Nav80"/>
    <x v="7"/>
    <n v="80014"/>
    <s v="Grace John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27"/>
    <s v="Sale"/>
    <s v="127Woo10"/>
    <x v="4"/>
    <n v="10022"/>
    <s v="Macys"/>
    <s v="Retail Buyer"/>
    <x v="0"/>
    <x v="0"/>
    <x v="0"/>
    <s v="Male"/>
    <x v="2"/>
    <s v="Moldova"/>
    <s v="Eastern Europe"/>
    <n v="475"/>
    <n v="600"/>
    <x v="4"/>
    <s v="-"/>
    <s v="-"/>
    <s v="-"/>
    <s v="High Value"/>
  </r>
  <r>
    <n v="129"/>
    <s v="Sale"/>
    <s v="129Woo10"/>
    <x v="4"/>
    <n v="10022"/>
    <s v="Roland Murray"/>
    <s v="Online Individual"/>
    <x v="0"/>
    <x v="0"/>
    <x v="0"/>
    <s v="Male"/>
    <x v="2"/>
    <s v="Moldova"/>
    <s v="Eastern Europe"/>
    <n v="475"/>
    <n v="600"/>
    <x v="4"/>
    <s v="-"/>
    <s v="-"/>
    <s v="-"/>
    <s v="High Value"/>
  </r>
  <r>
    <n v="203"/>
    <s v="Sale"/>
    <s v="203Woo10"/>
    <x v="4"/>
    <n v="10022"/>
    <s v="Rafael Ross"/>
    <s v="Online Individual"/>
    <x v="0"/>
    <x v="0"/>
    <x v="0"/>
    <s v="Male"/>
    <x v="2"/>
    <s v="Moldova"/>
    <s v="Eastern Europe"/>
    <n v="475"/>
    <n v="600"/>
    <x v="4"/>
    <s v="-"/>
    <s v="-"/>
    <s v="-"/>
    <s v="High Value"/>
  </r>
  <r>
    <n v="204"/>
    <s v="Sale"/>
    <s v="204Woo10"/>
    <x v="4"/>
    <n v="10022"/>
    <s v="Aldus Moore"/>
    <s v="Online Individual"/>
    <x v="0"/>
    <x v="0"/>
    <x v="0"/>
    <s v="Male"/>
    <x v="2"/>
    <s v="Moldova"/>
    <s v="Eastern Europe"/>
    <n v="475"/>
    <n v="600"/>
    <x v="4"/>
    <s v="-"/>
    <s v="-"/>
    <s v="-"/>
    <s v="High Value"/>
  </r>
  <r>
    <n v="580"/>
    <s v="Sale"/>
    <s v="580Woo10"/>
    <x v="4"/>
    <n v="10001"/>
    <s v="Rafael Richardson"/>
    <s v="Online Individual"/>
    <x v="0"/>
    <x v="0"/>
    <x v="0"/>
    <s v="Male"/>
    <x v="2"/>
    <s v="Moldova"/>
    <s v="Eastern Europe"/>
    <n v="475"/>
    <n v="600"/>
    <x v="4"/>
    <s v="-"/>
    <s v="-"/>
    <s v="-"/>
    <s v="High Value"/>
  </r>
  <r>
    <n v="1452"/>
    <s v="Sale"/>
    <s v="1452Nav80"/>
    <x v="7"/>
    <n v="80014"/>
    <s v="Kirsten Murph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53"/>
    <s v="Sale"/>
    <s v="1453Nav80"/>
    <x v="7"/>
    <n v="80014"/>
    <s v="Sarah Evan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54"/>
    <s v="Sale"/>
    <s v="1454Nav80"/>
    <x v="7"/>
    <n v="80014"/>
    <s v="Cadie Kell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55"/>
    <s v="Sale"/>
    <s v="1455Nav80"/>
    <x v="7"/>
    <n v="80014"/>
    <s v="Honey Ma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56"/>
    <s v="Sale"/>
    <s v="1456Nav80"/>
    <x v="7"/>
    <n v="80014"/>
    <s v="Kelsey Farrell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57"/>
    <s v="Sale"/>
    <s v="1457Nav80"/>
    <x v="7"/>
    <n v="80014"/>
    <s v="Vivian Scott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58"/>
    <s v="Sale"/>
    <s v="1458Nav80"/>
    <x v="7"/>
    <n v="80014"/>
    <s v="Jenna Armstrong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59"/>
    <s v="Sale"/>
    <s v="1459Nav80"/>
    <x v="7"/>
    <n v="80014"/>
    <s v="Anna Hall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60"/>
    <s v="Sale"/>
    <s v="1460Nav80"/>
    <x v="7"/>
    <n v="80014"/>
    <s v="Joyce Harri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61"/>
    <s v="Sale"/>
    <s v="1461Nav80"/>
    <x v="7"/>
    <n v="80014"/>
    <s v="Hailey Craig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62"/>
    <s v="Sale"/>
    <s v="1462Nav80"/>
    <x v="7"/>
    <n v="80014"/>
    <s v="Mary Robin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63"/>
    <s v="Sale"/>
    <s v="1463Nav80"/>
    <x v="7"/>
    <n v="80014"/>
    <s v="Sarah Gra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64"/>
    <s v="Sale"/>
    <s v="1464Nav80"/>
    <x v="7"/>
    <n v="80014"/>
    <s v="Eleanor Warre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65"/>
    <s v="Sale"/>
    <s v="1465Nav80"/>
    <x v="7"/>
    <n v="80014"/>
    <s v="Emma William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66"/>
    <s v="Sale"/>
    <s v="1466Nav80"/>
    <x v="7"/>
    <n v="80014"/>
    <s v="Charlotte Turn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67"/>
    <s v="Sale"/>
    <s v="1467Nav80"/>
    <x v="7"/>
    <n v="80014"/>
    <s v="Ellia Myer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68"/>
    <s v="Sale"/>
    <s v="1468Nav80"/>
    <x v="7"/>
    <n v="80014"/>
    <s v="Daisy Gra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69"/>
    <s v="Sale"/>
    <s v="1469Nav80"/>
    <x v="7"/>
    <n v="80014"/>
    <s v="Grace Morga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70"/>
    <s v="Sale"/>
    <s v="1470Nav80"/>
    <x v="7"/>
    <n v="80014"/>
    <s v="Sienna Well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71"/>
    <s v="Sale"/>
    <s v="1471Nav80"/>
    <x v="7"/>
    <n v="80014"/>
    <s v="Annabella Payne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72"/>
    <s v="Sale"/>
    <s v="1472Nav80"/>
    <x v="7"/>
    <n v="80014"/>
    <s v="Anna Harri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73"/>
    <s v="Sale"/>
    <s v="1473Nav80"/>
    <x v="7"/>
    <n v="80014"/>
    <s v="Abigail Hamilt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74"/>
    <s v="Sale"/>
    <s v="1474Nav80"/>
    <x v="7"/>
    <n v="80014"/>
    <s v="Abigail Murra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75"/>
    <s v="Sale"/>
    <s v="1475Nav80"/>
    <x v="7"/>
    <n v="80014"/>
    <s v="Hail Fost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76"/>
    <s v="Sale"/>
    <s v="1476Nav80"/>
    <x v="7"/>
    <n v="80014"/>
    <s v="Camila Roger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77"/>
    <s v="Sale"/>
    <s v="1477Nav80"/>
    <x v="7"/>
    <n v="80014"/>
    <s v="Lucia Kelle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78"/>
    <s v="Sale"/>
    <s v="1478Nav80"/>
    <x v="7"/>
    <n v="80014"/>
    <s v="Gianna Montgomer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79"/>
    <s v="Sale"/>
    <s v="1479Nav80"/>
    <x v="7"/>
    <n v="80014"/>
    <s v="Chelsea Brow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80"/>
    <s v="Sale"/>
    <s v="1480Nav80"/>
    <x v="7"/>
    <n v="80014"/>
    <s v="Lucia Harri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81"/>
    <s v="Sale"/>
    <s v="1481Nav80"/>
    <x v="7"/>
    <n v="80014"/>
    <s v="April Kelle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82"/>
    <s v="Sale"/>
    <s v="1482Nav80"/>
    <x v="7"/>
    <n v="80014"/>
    <s v="Aida Chapma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83"/>
    <s v="Sale"/>
    <s v="1483Nav80"/>
    <x v="7"/>
    <n v="80014"/>
    <s v="Michelle Adam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84"/>
    <s v="Sale"/>
    <s v="1484Nav80"/>
    <x v="7"/>
    <n v="80014"/>
    <s v="Savana Lloyd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85"/>
    <s v="Sale"/>
    <s v="1485Nav80"/>
    <x v="7"/>
    <n v="80014"/>
    <s v="Miley Perry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86"/>
    <s v="Sale"/>
    <s v="1486Nav80"/>
    <x v="7"/>
    <n v="80014"/>
    <s v="Belinda Johnso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87"/>
    <s v="Sale"/>
    <s v="1487Nav80"/>
    <x v="7"/>
    <n v="80014"/>
    <s v="Ada Marti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88"/>
    <s v="Sale"/>
    <s v="1488Nav80"/>
    <x v="7"/>
    <n v="80014"/>
    <s v="Kirsten Carroll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89"/>
    <s v="Sale"/>
    <s v="1489Nav80"/>
    <x v="7"/>
    <n v="80014"/>
    <s v="Elise Elli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90"/>
    <s v="Sale"/>
    <s v="1490Nav80"/>
    <x v="7"/>
    <n v="80014"/>
    <s v="Lilianna Bak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91"/>
    <s v="Sale"/>
    <s v="1491Nav80"/>
    <x v="7"/>
    <n v="80014"/>
    <s v="Kimberly Jones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92"/>
    <s v="Sale"/>
    <s v="1492Nav80"/>
    <x v="7"/>
    <n v="80014"/>
    <s v="Heather Harper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93"/>
    <s v="Sale"/>
    <s v="1493Nav80"/>
    <x v="7"/>
    <n v="80014"/>
    <s v="Melanie Grant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94"/>
    <s v="Sale"/>
    <s v="1494Nav80"/>
    <x v="7"/>
    <n v="80014"/>
    <s v="Julia Ryan"/>
    <s v="Online Individual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95"/>
    <s v="Sale"/>
    <s v="1495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96"/>
    <s v="Sale"/>
    <s v="1496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97"/>
    <s v="Sale"/>
    <s v="1497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98"/>
    <s v="Sale"/>
    <s v="1498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499"/>
    <s v="Sale"/>
    <s v="1499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500"/>
    <s v="Sale"/>
    <s v="1500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501"/>
    <s v="Sale"/>
    <s v="1501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502"/>
    <s v="Sale"/>
    <s v="1502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503"/>
    <s v="Sale"/>
    <s v="1503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504"/>
    <s v="Sale"/>
    <s v="1504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505"/>
    <s v="Sale"/>
    <s v="1505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506"/>
    <s v="Sale"/>
    <s v="1506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507"/>
    <s v="Sale"/>
    <s v="1507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508"/>
    <s v="Sale"/>
    <s v="1508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509"/>
    <s v="Sale"/>
    <s v="1509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510"/>
    <s v="Sale"/>
    <s v="1510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511"/>
    <s v="Sale"/>
    <s v="1511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512"/>
    <s v="Sale"/>
    <s v="1512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513"/>
    <s v="Sale"/>
    <s v="1513Nav80"/>
    <x v="7"/>
    <n v="80014"/>
    <s v="Target"/>
    <s v="Retail Buyer"/>
    <x v="0"/>
    <x v="2"/>
    <x v="3"/>
    <s v="Female"/>
    <x v="1"/>
    <s v="Guatemala"/>
    <s v="Central America"/>
    <n v="25"/>
    <n v="30"/>
    <x v="5"/>
    <s v="Hub Risk"/>
    <s v="Style Risk"/>
    <s v="Risk"/>
    <s v="Low Value"/>
  </r>
  <r>
    <n v="1090"/>
    <s v="Sale"/>
    <s v="1090Woo80"/>
    <x v="4"/>
    <n v="80123"/>
    <s v="Abraham Turner"/>
    <s v="Online Individual"/>
    <x v="0"/>
    <x v="0"/>
    <x v="3"/>
    <s v="Male"/>
    <x v="2"/>
    <s v="Moldova"/>
    <s v="Eastern Europe"/>
    <n v="475"/>
    <n v="600"/>
    <x v="4"/>
    <s v="Hub Risk"/>
    <s v="-"/>
    <s v="-"/>
    <s v="High Value"/>
  </r>
  <r>
    <n v="1094"/>
    <s v="Sale"/>
    <s v="1094Woo80"/>
    <x v="4"/>
    <n v="80123"/>
    <s v="Martin Henderson"/>
    <s v="Online Individual"/>
    <x v="0"/>
    <x v="0"/>
    <x v="3"/>
    <s v="Male"/>
    <x v="2"/>
    <s v="Moldova"/>
    <s v="Eastern Europe"/>
    <n v="475"/>
    <n v="600"/>
    <x v="4"/>
    <s v="Hub Risk"/>
    <s v="-"/>
    <s v="-"/>
    <s v="High Value"/>
  </r>
  <r>
    <n v="1097"/>
    <s v="Sale"/>
    <s v="1097Woo80"/>
    <x v="4"/>
    <n v="80123"/>
    <s v="Steven Brooks"/>
    <s v="Online Individual"/>
    <x v="0"/>
    <x v="0"/>
    <x v="3"/>
    <s v="Male"/>
    <x v="2"/>
    <s v="Moldova"/>
    <s v="Eastern Europe"/>
    <n v="475"/>
    <n v="600"/>
    <x v="4"/>
    <s v="Hub Risk"/>
    <s v="-"/>
    <s v="-"/>
    <s v="High Value"/>
  </r>
  <r>
    <n v="1517"/>
    <s v="Sale"/>
    <s v="1517Bla90"/>
    <x v="0"/>
    <n v="90021"/>
    <s v="Bloomingdales"/>
    <s v="Retail Buyer"/>
    <x v="0"/>
    <x v="2"/>
    <x v="1"/>
    <s v="Female"/>
    <x v="0"/>
    <s v="Afghanistan"/>
    <s v="Middle East"/>
    <n v="150"/>
    <n v="75"/>
    <x v="0"/>
    <s v="Hub Risk"/>
    <s v="Style Risk"/>
    <s v="Risk"/>
    <s v="Low Value"/>
  </r>
  <r>
    <n v="1099"/>
    <s v="Sale"/>
    <s v="1099Woo80"/>
    <x v="4"/>
    <n v="80123"/>
    <s v="Harold Jones"/>
    <s v="Online Individual"/>
    <x v="0"/>
    <x v="0"/>
    <x v="3"/>
    <s v="Male"/>
    <x v="2"/>
    <s v="Moldova"/>
    <s v="Eastern Europe"/>
    <n v="475"/>
    <n v="600"/>
    <x v="4"/>
    <s v="Hub Risk"/>
    <s v="-"/>
    <s v="-"/>
    <s v="High Value"/>
  </r>
  <r>
    <n v="391"/>
    <s v="Sale"/>
    <s v="391Whi33"/>
    <x v="9"/>
    <n v="33101"/>
    <s v="Alexia Williams"/>
    <s v="Online Individual"/>
    <x v="0"/>
    <x v="0"/>
    <x v="2"/>
    <s v="Female"/>
    <x v="0"/>
    <s v="Azerbaijan"/>
    <s v="Middle East"/>
    <n v="1200"/>
    <n v="2000"/>
    <x v="7"/>
    <s v="-"/>
    <s v="Style Risk"/>
    <s v="-"/>
    <s v="High Value"/>
  </r>
  <r>
    <n v="451"/>
    <s v="Sale"/>
    <s v="451Whi33"/>
    <x v="9"/>
    <n v="33101"/>
    <s v="Neiman Marcus"/>
    <s v="Retail Buyer"/>
    <x v="0"/>
    <x v="0"/>
    <x v="2"/>
    <s v="Female"/>
    <x v="0"/>
    <s v="Azerbaijan"/>
    <s v="Middle East"/>
    <n v="1200"/>
    <n v="2000"/>
    <x v="7"/>
    <s v="-"/>
    <s v="Style Risk"/>
    <s v="-"/>
    <s v="High Valu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1:B15" firstHeaderRow="1" firstDataRow="1" firstDataCol="1"/>
  <pivotFields count="16">
    <pivotField showAll="0"/>
    <pivotField dataField="1" showAll="0">
      <items count="1629">
        <item x="195"/>
        <item x="196"/>
        <item x="197"/>
        <item x="198"/>
        <item x="199"/>
        <item x="200"/>
        <item x="201"/>
        <item x="202"/>
        <item x="203"/>
        <item x="204"/>
        <item x="379"/>
        <item x="205"/>
        <item x="206"/>
        <item x="207"/>
        <item x="208"/>
        <item x="209"/>
        <item x="210"/>
        <item x="211"/>
        <item x="212"/>
        <item x="213"/>
        <item x="214"/>
        <item x="24"/>
        <item x="215"/>
        <item x="216"/>
        <item x="217"/>
        <item x="218"/>
        <item x="219"/>
        <item x="220"/>
        <item x="221"/>
        <item x="222"/>
        <item x="223"/>
        <item x="224"/>
        <item x="380"/>
        <item x="225"/>
        <item x="226"/>
        <item x="227"/>
        <item x="228"/>
        <item x="229"/>
        <item x="230"/>
        <item x="231"/>
        <item x="232"/>
        <item x="233"/>
        <item x="234"/>
        <item x="381"/>
        <item x="235"/>
        <item x="236"/>
        <item x="237"/>
        <item x="238"/>
        <item x="239"/>
        <item x="240"/>
        <item x="241"/>
        <item x="242"/>
        <item x="243"/>
        <item x="244"/>
        <item x="382"/>
        <item x="245"/>
        <item x="246"/>
        <item x="247"/>
        <item x="248"/>
        <item x="249"/>
        <item x="250"/>
        <item x="251"/>
        <item x="252"/>
        <item x="253"/>
        <item x="254"/>
        <item x="383"/>
        <item x="255"/>
        <item x="256"/>
        <item x="257"/>
        <item x="258"/>
        <item x="259"/>
        <item x="260"/>
        <item x="261"/>
        <item x="262"/>
        <item x="263"/>
        <item x="264"/>
        <item x="384"/>
        <item x="265"/>
        <item x="266"/>
        <item x="267"/>
        <item x="268"/>
        <item x="269"/>
        <item x="270"/>
        <item x="271"/>
        <item x="272"/>
        <item x="273"/>
        <item x="274"/>
        <item x="385"/>
        <item x="275"/>
        <item x="276"/>
        <item x="277"/>
        <item x="278"/>
        <item x="279"/>
        <item x="280"/>
        <item x="281"/>
        <item x="282"/>
        <item x="283"/>
        <item x="284"/>
        <item x="386"/>
        <item x="285"/>
        <item x="286"/>
        <item x="287"/>
        <item x="288"/>
        <item x="289"/>
        <item x="290"/>
        <item x="291"/>
        <item x="292"/>
        <item x="293"/>
        <item x="294"/>
        <item x="387"/>
        <item x="4"/>
        <item x="295"/>
        <item x="296"/>
        <item x="297"/>
        <item x="298"/>
        <item x="299"/>
        <item x="300"/>
        <item x="301"/>
        <item x="302"/>
        <item x="303"/>
        <item x="1108"/>
        <item x="388"/>
        <item x="1109"/>
        <item x="1110"/>
        <item x="1111"/>
        <item x="1112"/>
        <item x="1113"/>
        <item x="1114"/>
        <item x="1115"/>
        <item x="1116"/>
        <item x="1117"/>
        <item x="1118"/>
        <item x="389"/>
        <item x="1119"/>
        <item x="1120"/>
        <item x="1121"/>
        <item x="1122"/>
        <item x="1123"/>
        <item x="1124"/>
        <item x="1125"/>
        <item x="1126"/>
        <item x="1127"/>
        <item x="1128"/>
        <item x="390"/>
        <item x="1129"/>
        <item x="1130"/>
        <item x="1131"/>
        <item x="1132"/>
        <item x="1133"/>
        <item x="1134"/>
        <item x="1135"/>
        <item x="1136"/>
        <item x="1137"/>
        <item x="1138"/>
        <item x="391"/>
        <item x="1139"/>
        <item x="1140"/>
        <item x="1141"/>
        <item x="1142"/>
        <item x="1143"/>
        <item x="1144"/>
        <item x="1145"/>
        <item x="1146"/>
        <item x="1147"/>
        <item x="1148"/>
        <item x="392"/>
        <item x="1149"/>
        <item x="1150"/>
        <item x="1151"/>
        <item x="1152"/>
        <item x="1153"/>
        <item x="1154"/>
        <item x="1155"/>
        <item x="1156"/>
        <item x="1157"/>
        <item x="1158"/>
        <item x="393"/>
        <item x="1159"/>
        <item x="1160"/>
        <item x="1161"/>
        <item x="1162"/>
        <item x="1163"/>
        <item x="1164"/>
        <item x="1165"/>
        <item x="1166"/>
        <item x="1167"/>
        <item x="1168"/>
        <item x="25"/>
        <item x="1169"/>
        <item x="1170"/>
        <item x="1171"/>
        <item x="1172"/>
        <item x="1173"/>
        <item x="1174"/>
        <item x="1175"/>
        <item x="1176"/>
        <item x="1177"/>
        <item x="1178"/>
        <item x="26"/>
        <item x="1179"/>
        <item x="1180"/>
        <item x="1181"/>
        <item x="1182"/>
        <item x="1183"/>
        <item x="1184"/>
        <item x="1185"/>
        <item x="1186"/>
        <item x="1187"/>
        <item x="1188"/>
        <item x="27"/>
        <item x="1189"/>
        <item x="1190"/>
        <item x="1191"/>
        <item x="1192"/>
        <item x="1193"/>
        <item x="1194"/>
        <item x="1195"/>
        <item x="1196"/>
        <item x="1197"/>
        <item x="1198"/>
        <item x="394"/>
        <item x="5"/>
        <item x="1199"/>
        <item x="1200"/>
        <item x="1201"/>
        <item x="1202"/>
        <item x="1203"/>
        <item x="1204"/>
        <item x="1205"/>
        <item x="1206"/>
        <item x="1207"/>
        <item x="1208"/>
        <item x="395"/>
        <item x="1209"/>
        <item x="1210"/>
        <item x="1211"/>
        <item x="1212"/>
        <item x="1213"/>
        <item x="1214"/>
        <item x="1215"/>
        <item x="1216"/>
        <item x="1217"/>
        <item x="1218"/>
        <item x="396"/>
        <item x="1219"/>
        <item x="1220"/>
        <item x="1221"/>
        <item x="1222"/>
        <item x="1223"/>
        <item x="1224"/>
        <item x="1225"/>
        <item x="1226"/>
        <item x="1227"/>
        <item x="1228"/>
        <item x="28"/>
        <item x="1229"/>
        <item x="1230"/>
        <item x="1231"/>
        <item x="1232"/>
        <item x="1233"/>
        <item x="1234"/>
        <item x="1235"/>
        <item x="1236"/>
        <item x="1237"/>
        <item x="1238"/>
        <item x="29"/>
        <item x="1239"/>
        <item x="1240"/>
        <item x="1241"/>
        <item x="1242"/>
        <item x="1243"/>
        <item x="1244"/>
        <item x="1245"/>
        <item x="1246"/>
        <item x="1247"/>
        <item x="1248"/>
        <item x="30"/>
        <item x="1249"/>
        <item x="1250"/>
        <item x="1251"/>
        <item x="1252"/>
        <item x="1253"/>
        <item x="1254"/>
        <item x="1255"/>
        <item x="1256"/>
        <item x="1257"/>
        <item x="1258"/>
        <item x="31"/>
        <item x="1259"/>
        <item x="1260"/>
        <item x="1261"/>
        <item x="1262"/>
        <item x="1263"/>
        <item x="1264"/>
        <item x="1265"/>
        <item x="1266"/>
        <item x="1267"/>
        <item x="1268"/>
        <item x="32"/>
        <item x="1269"/>
        <item x="1270"/>
        <item x="1271"/>
        <item x="1272"/>
        <item x="1273"/>
        <item x="1274"/>
        <item x="1275"/>
        <item x="1276"/>
        <item x="1277"/>
        <item x="1278"/>
        <item x="33"/>
        <item x="1279"/>
        <item x="1280"/>
        <item x="1281"/>
        <item x="1282"/>
        <item x="1283"/>
        <item x="1284"/>
        <item x="1285"/>
        <item x="1286"/>
        <item x="1287"/>
        <item x="1288"/>
        <item x="34"/>
        <item x="1289"/>
        <item x="1290"/>
        <item x="1291"/>
        <item x="1292"/>
        <item x="1293"/>
        <item x="1294"/>
        <item x="1295"/>
        <item x="1296"/>
        <item x="1297"/>
        <item x="1298"/>
        <item x="35"/>
        <item x="6"/>
        <item x="1299"/>
        <item x="1300"/>
        <item x="1301"/>
        <item x="1302"/>
        <item x="1303"/>
        <item x="1304"/>
        <item x="1305"/>
        <item x="1306"/>
        <item x="1307"/>
        <item x="1308"/>
        <item x="36"/>
        <item x="1309"/>
        <item x="1310"/>
        <item x="1311"/>
        <item x="1312"/>
        <item x="1313"/>
        <item x="1314"/>
        <item x="1315"/>
        <item x="1316"/>
        <item x="1317"/>
        <item x="1318"/>
        <item x="37"/>
        <item x="1319"/>
        <item x="1320"/>
        <item x="1321"/>
        <item x="1322"/>
        <item x="1323"/>
        <item x="1324"/>
        <item x="1325"/>
        <item x="1326"/>
        <item x="1327"/>
        <item x="1328"/>
        <item x="38"/>
        <item x="1329"/>
        <item x="1330"/>
        <item x="1331"/>
        <item x="1332"/>
        <item x="1333"/>
        <item x="1334"/>
        <item x="1335"/>
        <item x="1336"/>
        <item x="1337"/>
        <item x="1338"/>
        <item x="39"/>
        <item x="1339"/>
        <item x="1340"/>
        <item x="1341"/>
        <item x="1342"/>
        <item x="1343"/>
        <item x="1344"/>
        <item x="1345"/>
        <item x="1346"/>
        <item x="1347"/>
        <item x="1348"/>
        <item x="40"/>
        <item x="1349"/>
        <item x="1350"/>
        <item x="1351"/>
        <item x="1352"/>
        <item x="1353"/>
        <item x="1354"/>
        <item x="1355"/>
        <item x="1356"/>
        <item x="1357"/>
        <item x="1358"/>
        <item x="397"/>
        <item x="1359"/>
        <item x="1360"/>
        <item x="1361"/>
        <item x="1362"/>
        <item x="1363"/>
        <item x="1364"/>
        <item x="1365"/>
        <item x="1366"/>
        <item x="1367"/>
        <item x="1368"/>
        <item x="398"/>
        <item x="1369"/>
        <item x="1370"/>
        <item x="1371"/>
        <item x="1372"/>
        <item x="1373"/>
        <item x="1374"/>
        <item x="1375"/>
        <item x="1376"/>
        <item x="1377"/>
        <item x="1378"/>
        <item x="399"/>
        <item x="1379"/>
        <item x="1380"/>
        <item x="1381"/>
        <item x="1382"/>
        <item x="1383"/>
        <item x="1384"/>
        <item x="1385"/>
        <item x="1386"/>
        <item x="1387"/>
        <item x="1388"/>
        <item x="400"/>
        <item x="1389"/>
        <item x="1390"/>
        <item x="1391"/>
        <item x="1392"/>
        <item x="1393"/>
        <item x="1394"/>
        <item x="1395"/>
        <item x="1396"/>
        <item x="1397"/>
        <item x="1398"/>
        <item x="401"/>
        <item x="309"/>
        <item x="1399"/>
        <item x="1400"/>
        <item x="1401"/>
        <item x="1402"/>
        <item x="1403"/>
        <item x="1404"/>
        <item x="1405"/>
        <item x="1406"/>
        <item x="1407"/>
        <item x="1408"/>
        <item x="402"/>
        <item x="1409"/>
        <item x="1410"/>
        <item x="1411"/>
        <item x="1412"/>
        <item x="1413"/>
        <item x="1414"/>
        <item x="1415"/>
        <item x="1416"/>
        <item x="1417"/>
        <item x="1418"/>
        <item x="403"/>
        <item x="1419"/>
        <item x="1420"/>
        <item x="1421"/>
        <item x="1422"/>
        <item x="1423"/>
        <item x="1424"/>
        <item x="1425"/>
        <item x="1426"/>
        <item x="1427"/>
        <item x="1428"/>
        <item x="404"/>
        <item x="1429"/>
        <item x="1430"/>
        <item x="1431"/>
        <item x="1432"/>
        <item x="1433"/>
        <item x="1434"/>
        <item x="1435"/>
        <item x="1436"/>
        <item x="1437"/>
        <item x="1438"/>
        <item x="405"/>
        <item x="1439"/>
        <item x="1440"/>
        <item x="1441"/>
        <item x="1442"/>
        <item x="1443"/>
        <item x="1444"/>
        <item x="1445"/>
        <item x="1446"/>
        <item x="1447"/>
        <item x="1448"/>
        <item x="406"/>
        <item x="1449"/>
        <item x="1450"/>
        <item x="1451"/>
        <item x="1452"/>
        <item x="1453"/>
        <item x="1454"/>
        <item x="1455"/>
        <item x="1456"/>
        <item x="1457"/>
        <item x="1458"/>
        <item x="407"/>
        <item x="1459"/>
        <item x="1460"/>
        <item x="1461"/>
        <item x="1462"/>
        <item x="1463"/>
        <item x="1464"/>
        <item x="1465"/>
        <item x="1466"/>
        <item x="1467"/>
        <item x="1468"/>
        <item x="408"/>
        <item x="1469"/>
        <item x="1470"/>
        <item x="1471"/>
        <item x="1472"/>
        <item x="1473"/>
        <item x="1474"/>
        <item x="1475"/>
        <item x="1476"/>
        <item x="1477"/>
        <item x="1478"/>
        <item x="409"/>
        <item x="1479"/>
        <item x="1480"/>
        <item x="1481"/>
        <item x="1482"/>
        <item x="1483"/>
        <item x="1484"/>
        <item x="1485"/>
        <item x="1486"/>
        <item x="1487"/>
        <item x="1488"/>
        <item x="410"/>
        <item x="1489"/>
        <item x="1490"/>
        <item x="1491"/>
        <item x="1492"/>
        <item x="1493"/>
        <item x="1494"/>
        <item x="1495"/>
        <item x="1496"/>
        <item x="1497"/>
        <item x="1498"/>
        <item x="411"/>
        <item x="7"/>
        <item x="1499"/>
        <item x="1500"/>
        <item x="1501"/>
        <item x="1502"/>
        <item x="1503"/>
        <item x="1504"/>
        <item x="1505"/>
        <item x="1506"/>
        <item x="1507"/>
        <item x="1508"/>
        <item x="412"/>
        <item x="1509"/>
        <item x="1510"/>
        <item x="1511"/>
        <item x="1512"/>
        <item x="1513"/>
        <item x="1514"/>
        <item x="1515"/>
        <item x="1516"/>
        <item x="1517"/>
        <item x="1518"/>
        <item x="413"/>
        <item x="1519"/>
        <item x="1520"/>
        <item x="1521"/>
        <item x="1522"/>
        <item x="1523"/>
        <item x="1524"/>
        <item x="1525"/>
        <item x="1526"/>
        <item x="1527"/>
        <item x="1528"/>
        <item x="414"/>
        <item x="1529"/>
        <item x="1530"/>
        <item x="1531"/>
        <item x="1532"/>
        <item x="1533"/>
        <item x="1534"/>
        <item x="1535"/>
        <item x="1536"/>
        <item x="1537"/>
        <item x="1538"/>
        <item x="41"/>
        <item x="1539"/>
        <item x="1540"/>
        <item x="1541"/>
        <item x="1542"/>
        <item x="1543"/>
        <item x="1544"/>
        <item x="1545"/>
        <item x="1546"/>
        <item x="1547"/>
        <item x="1548"/>
        <item x="42"/>
        <item x="1549"/>
        <item x="1550"/>
        <item x="1551"/>
        <item x="1552"/>
        <item x="1553"/>
        <item x="1554"/>
        <item x="1555"/>
        <item x="1556"/>
        <item x="1557"/>
        <item x="1558"/>
        <item x="415"/>
        <item x="1559"/>
        <item x="1560"/>
        <item x="1561"/>
        <item x="1562"/>
        <item x="1563"/>
        <item x="1564"/>
        <item x="1565"/>
        <item x="1566"/>
        <item x="1567"/>
        <item x="1568"/>
        <item x="416"/>
        <item x="1569"/>
        <item x="1570"/>
        <item x="1571"/>
        <item x="1572"/>
        <item x="1573"/>
        <item x="1574"/>
        <item x="1575"/>
        <item x="1576"/>
        <item x="1577"/>
        <item x="1578"/>
        <item x="417"/>
        <item x="1579"/>
        <item x="1580"/>
        <item x="1581"/>
        <item x="1582"/>
        <item x="1583"/>
        <item x="1584"/>
        <item x="1585"/>
        <item x="1586"/>
        <item x="1587"/>
        <item x="1588"/>
        <item x="418"/>
        <item x="1589"/>
        <item x="1590"/>
        <item x="1591"/>
        <item x="1592"/>
        <item x="1593"/>
        <item x="1594"/>
        <item x="1595"/>
        <item x="1596"/>
        <item x="1597"/>
        <item x="1598"/>
        <item x="419"/>
        <item x="310"/>
        <item x="1599"/>
        <item x="1600"/>
        <item x="1601"/>
        <item x="1602"/>
        <item x="1603"/>
        <item x="1604"/>
        <item x="1605"/>
        <item x="1606"/>
        <item x="1607"/>
        <item x="1608"/>
        <item x="420"/>
        <item x="1609"/>
        <item x="1610"/>
        <item x="1611"/>
        <item x="1612"/>
        <item x="1613"/>
        <item x="1614"/>
        <item x="1615"/>
        <item x="1616"/>
        <item x="1617"/>
        <item x="1618"/>
        <item x="421"/>
        <item x="1619"/>
        <item x="1620"/>
        <item x="1621"/>
        <item x="1622"/>
        <item x="1623"/>
        <item x="1624"/>
        <item x="1625"/>
        <item x="1626"/>
        <item x="1627"/>
        <item x="422"/>
        <item x="423"/>
        <item x="424"/>
        <item x="425"/>
        <item x="426"/>
        <item x="427"/>
        <item x="428"/>
        <item x="429"/>
        <item x="311"/>
        <item x="430"/>
        <item x="43"/>
        <item x="44"/>
        <item x="45"/>
        <item x="46"/>
        <item x="47"/>
        <item x="48"/>
        <item x="431"/>
        <item x="432"/>
        <item x="49"/>
        <item x="8"/>
        <item x="433"/>
        <item x="434"/>
        <item x="435"/>
        <item x="436"/>
        <item x="437"/>
        <item x="438"/>
        <item x="439"/>
        <item x="440"/>
        <item x="441"/>
        <item x="442"/>
        <item x="312"/>
        <item x="443"/>
        <item x="444"/>
        <item x="445"/>
        <item x="446"/>
        <item x="447"/>
        <item x="448"/>
        <item x="449"/>
        <item x="450"/>
        <item x="451"/>
        <item x="452"/>
        <item x="9"/>
        <item x="304"/>
        <item x="453"/>
        <item x="454"/>
        <item x="455"/>
        <item x="50"/>
        <item x="51"/>
        <item x="52"/>
        <item x="456"/>
        <item x="457"/>
        <item x="458"/>
        <item x="459"/>
        <item x="313"/>
        <item x="460"/>
        <item x="461"/>
        <item x="462"/>
        <item x="463"/>
        <item x="464"/>
        <item x="465"/>
        <item x="466"/>
        <item x="467"/>
        <item x="468"/>
        <item x="469"/>
        <item x="10"/>
        <item x="470"/>
        <item x="471"/>
        <item x="472"/>
        <item x="473"/>
        <item x="474"/>
        <item x="475"/>
        <item x="476"/>
        <item x="477"/>
        <item x="478"/>
        <item x="479"/>
        <item x="314"/>
        <item x="480"/>
        <item x="481"/>
        <item x="482"/>
        <item x="483"/>
        <item x="484"/>
        <item x="485"/>
        <item x="486"/>
        <item x="487"/>
        <item x="488"/>
        <item x="489"/>
        <item x="11"/>
        <item x="490"/>
        <item x="491"/>
        <item x="492"/>
        <item x="493"/>
        <item x="494"/>
        <item x="495"/>
        <item x="496"/>
        <item x="497"/>
        <item x="498"/>
        <item x="499"/>
        <item x="315"/>
        <item x="500"/>
        <item x="501"/>
        <item x="502"/>
        <item x="503"/>
        <item x="504"/>
        <item x="505"/>
        <item x="506"/>
        <item x="507"/>
        <item x="508"/>
        <item x="509"/>
        <item x="12"/>
        <item x="510"/>
        <item x="511"/>
        <item x="512"/>
        <item x="513"/>
        <item x="514"/>
        <item x="515"/>
        <item x="516"/>
        <item x="517"/>
        <item x="518"/>
        <item x="519"/>
        <item x="316"/>
        <item x="520"/>
        <item x="521"/>
        <item x="522"/>
        <item x="523"/>
        <item x="524"/>
        <item x="525"/>
        <item x="526"/>
        <item x="527"/>
        <item x="528"/>
        <item x="529"/>
        <item x="317"/>
        <item x="530"/>
        <item x="531"/>
        <item x="532"/>
        <item x="533"/>
        <item x="534"/>
        <item x="535"/>
        <item x="536"/>
        <item x="537"/>
        <item x="538"/>
        <item x="539"/>
        <item x="13"/>
        <item x="540"/>
        <item x="541"/>
        <item x="542"/>
        <item x="543"/>
        <item x="544"/>
        <item x="545"/>
        <item x="546"/>
        <item x="547"/>
        <item x="548"/>
        <item x="549"/>
        <item x="14"/>
        <item x="305"/>
        <item x="550"/>
        <item x="551"/>
        <item x="552"/>
        <item x="553"/>
        <item x="554"/>
        <item x="555"/>
        <item x="556"/>
        <item x="557"/>
        <item x="558"/>
        <item x="559"/>
        <item x="15"/>
        <item x="560"/>
        <item x="561"/>
        <item x="562"/>
        <item x="563"/>
        <item x="564"/>
        <item x="565"/>
        <item x="566"/>
        <item x="567"/>
        <item x="568"/>
        <item x="569"/>
        <item x="318"/>
        <item x="570"/>
        <item x="571"/>
        <item x="572"/>
        <item x="573"/>
        <item x="574"/>
        <item x="575"/>
        <item x="576"/>
        <item x="577"/>
        <item x="578"/>
        <item x="579"/>
        <item x="16"/>
        <item x="580"/>
        <item x="581"/>
        <item x="582"/>
        <item x="583"/>
        <item x="584"/>
        <item x="585"/>
        <item x="586"/>
        <item x="587"/>
        <item x="588"/>
        <item x="589"/>
        <item x="17"/>
        <item x="590"/>
        <item x="591"/>
        <item x="592"/>
        <item x="593"/>
        <item x="594"/>
        <item x="595"/>
        <item x="596"/>
        <item x="597"/>
        <item x="598"/>
        <item x="599"/>
        <item x="18"/>
        <item x="600"/>
        <item x="601"/>
        <item x="602"/>
        <item x="603"/>
        <item x="604"/>
        <item x="605"/>
        <item x="606"/>
        <item x="607"/>
        <item x="608"/>
        <item x="609"/>
        <item x="19"/>
        <item x="610"/>
        <item x="611"/>
        <item x="612"/>
        <item x="613"/>
        <item x="614"/>
        <item x="615"/>
        <item x="616"/>
        <item x="617"/>
        <item x="618"/>
        <item x="619"/>
        <item x="20"/>
        <item x="620"/>
        <item x="621"/>
        <item x="622"/>
        <item x="623"/>
        <item x="624"/>
        <item x="625"/>
        <item x="626"/>
        <item x="627"/>
        <item x="628"/>
        <item x="629"/>
        <item x="319"/>
        <item x="630"/>
        <item x="631"/>
        <item x="632"/>
        <item x="633"/>
        <item x="634"/>
        <item x="635"/>
        <item x="636"/>
        <item x="637"/>
        <item x="638"/>
        <item x="639"/>
        <item x="320"/>
        <item x="640"/>
        <item x="641"/>
        <item x="642"/>
        <item x="643"/>
        <item x="644"/>
        <item x="645"/>
        <item x="646"/>
        <item x="647"/>
        <item x="648"/>
        <item x="649"/>
        <item x="321"/>
        <item x="0"/>
        <item x="650"/>
        <item x="651"/>
        <item x="652"/>
        <item x="653"/>
        <item x="654"/>
        <item x="655"/>
        <item x="656"/>
        <item x="657"/>
        <item x="658"/>
        <item x="659"/>
        <item x="322"/>
        <item x="660"/>
        <item x="661"/>
        <item x="662"/>
        <item x="663"/>
        <item x="664"/>
        <item x="53"/>
        <item x="665"/>
        <item x="666"/>
        <item x="667"/>
        <item x="668"/>
        <item x="323"/>
        <item x="669"/>
        <item x="670"/>
        <item x="671"/>
        <item x="672"/>
        <item x="673"/>
        <item x="674"/>
        <item x="675"/>
        <item x="676"/>
        <item x="677"/>
        <item x="678"/>
        <item x="324"/>
        <item x="679"/>
        <item x="54"/>
        <item x="55"/>
        <item x="680"/>
        <item x="681"/>
        <item x="682"/>
        <item x="683"/>
        <item x="684"/>
        <item x="685"/>
        <item x="686"/>
        <item x="325"/>
        <item x="687"/>
        <item x="688"/>
        <item x="689"/>
        <item x="690"/>
        <item x="691"/>
        <item x="692"/>
        <item x="693"/>
        <item x="694"/>
        <item x="695"/>
        <item x="696"/>
        <item x="326"/>
        <item x="697"/>
        <item x="698"/>
        <item x="699"/>
        <item x="700"/>
        <item x="701"/>
        <item x="702"/>
        <item x="703"/>
        <item x="704"/>
        <item x="56"/>
        <item x="57"/>
        <item x="327"/>
        <item x="705"/>
        <item x="706"/>
        <item x="707"/>
        <item x="58"/>
        <item x="708"/>
        <item x="59"/>
        <item x="709"/>
        <item x="710"/>
        <item x="711"/>
        <item x="60"/>
        <item x="328"/>
        <item x="712"/>
        <item x="61"/>
        <item x="713"/>
        <item x="714"/>
        <item x="715"/>
        <item x="716"/>
        <item x="62"/>
        <item x="717"/>
        <item x="718"/>
        <item x="719"/>
        <item x="329"/>
        <item x="720"/>
        <item x="721"/>
        <item x="63"/>
        <item x="64"/>
        <item x="65"/>
        <item x="722"/>
        <item x="66"/>
        <item x="67"/>
        <item x="68"/>
        <item x="69"/>
        <item x="21"/>
        <item x="723"/>
        <item x="70"/>
        <item x="724"/>
        <item x="725"/>
        <item x="726"/>
        <item x="727"/>
        <item x="728"/>
        <item x="71"/>
        <item x="72"/>
        <item x="729"/>
        <item x="330"/>
        <item x="1"/>
        <item x="730"/>
        <item x="731"/>
        <item x="73"/>
        <item x="732"/>
        <item x="733"/>
        <item x="734"/>
        <item x="735"/>
        <item x="736"/>
        <item x="737"/>
        <item x="738"/>
        <item x="331"/>
        <item x="74"/>
        <item x="75"/>
        <item x="76"/>
        <item x="739"/>
        <item x="740"/>
        <item x="77"/>
        <item x="741"/>
        <item x="742"/>
        <item x="743"/>
        <item x="744"/>
        <item x="332"/>
        <item x="745"/>
        <item x="746"/>
        <item x="747"/>
        <item x="748"/>
        <item x="749"/>
        <item x="750"/>
        <item x="751"/>
        <item x="752"/>
        <item x="753"/>
        <item x="754"/>
        <item x="333"/>
        <item x="755"/>
        <item x="756"/>
        <item x="757"/>
        <item x="758"/>
        <item x="759"/>
        <item x="760"/>
        <item x="761"/>
        <item x="762"/>
        <item x="763"/>
        <item x="764"/>
        <item x="334"/>
        <item x="765"/>
        <item x="766"/>
        <item x="767"/>
        <item x="768"/>
        <item x="769"/>
        <item x="770"/>
        <item x="771"/>
        <item x="772"/>
        <item x="773"/>
        <item x="774"/>
        <item x="335"/>
        <item x="775"/>
        <item x="776"/>
        <item x="777"/>
        <item x="778"/>
        <item x="779"/>
        <item x="780"/>
        <item x="781"/>
        <item x="782"/>
        <item x="783"/>
        <item x="784"/>
        <item x="336"/>
        <item x="785"/>
        <item x="786"/>
        <item x="787"/>
        <item x="788"/>
        <item x="789"/>
        <item x="790"/>
        <item x="791"/>
        <item x="792"/>
        <item x="793"/>
        <item x="794"/>
        <item x="337"/>
        <item x="795"/>
        <item x="796"/>
        <item x="797"/>
        <item x="798"/>
        <item x="799"/>
        <item x="78"/>
        <item x="79"/>
        <item x="80"/>
        <item x="81"/>
        <item x="82"/>
        <item x="338"/>
        <item x="83"/>
        <item x="84"/>
        <item x="85"/>
        <item x="86"/>
        <item x="87"/>
        <item x="88"/>
        <item x="89"/>
        <item x="90"/>
        <item x="91"/>
        <item x="92"/>
        <item x="339"/>
        <item x="93"/>
        <item x="94"/>
        <item x="95"/>
        <item x="96"/>
        <item x="97"/>
        <item x="98"/>
        <item x="800"/>
        <item x="99"/>
        <item x="801"/>
        <item x="802"/>
        <item x="22"/>
        <item x="306"/>
        <item x="100"/>
        <item x="803"/>
        <item x="101"/>
        <item x="804"/>
        <item x="805"/>
        <item x="806"/>
        <item x="102"/>
        <item x="103"/>
        <item x="104"/>
        <item x="105"/>
        <item x="340"/>
        <item x="807"/>
        <item x="106"/>
        <item x="808"/>
        <item x="809"/>
        <item x="810"/>
        <item x="811"/>
        <item x="812"/>
        <item x="813"/>
        <item x="814"/>
        <item x="815"/>
        <item x="341"/>
        <item x="816"/>
        <item x="817"/>
        <item x="818"/>
        <item x="819"/>
        <item x="820"/>
        <item x="821"/>
        <item x="822"/>
        <item x="823"/>
        <item x="824"/>
        <item x="825"/>
        <item x="342"/>
        <item x="826"/>
        <item x="827"/>
        <item x="828"/>
        <item x="829"/>
        <item x="830"/>
        <item x="831"/>
        <item x="832"/>
        <item x="833"/>
        <item x="834"/>
        <item x="835"/>
        <item x="343"/>
        <item x="836"/>
        <item x="837"/>
        <item x="838"/>
        <item x="839"/>
        <item x="840"/>
        <item x="841"/>
        <item x="107"/>
        <item x="108"/>
        <item x="109"/>
        <item x="110"/>
        <item x="344"/>
        <item x="842"/>
        <item x="843"/>
        <item x="844"/>
        <item x="845"/>
        <item x="846"/>
        <item x="111"/>
        <item x="112"/>
        <item x="113"/>
        <item x="114"/>
        <item x="115"/>
        <item x="345"/>
        <item x="847"/>
        <item x="848"/>
        <item x="849"/>
        <item x="116"/>
        <item x="850"/>
        <item x="851"/>
        <item x="117"/>
        <item x="852"/>
        <item x="118"/>
        <item x="853"/>
        <item x="346"/>
        <item x="119"/>
        <item x="854"/>
        <item x="120"/>
        <item x="855"/>
        <item x="121"/>
        <item x="122"/>
        <item x="123"/>
        <item x="856"/>
        <item x="857"/>
        <item x="124"/>
        <item x="23"/>
        <item x="125"/>
        <item x="126"/>
        <item x="127"/>
        <item x="128"/>
        <item x="129"/>
        <item x="858"/>
        <item x="859"/>
        <item x="860"/>
        <item x="130"/>
        <item x="131"/>
        <item x="347"/>
        <item x="132"/>
        <item x="861"/>
        <item x="862"/>
        <item x="863"/>
        <item x="864"/>
        <item x="133"/>
        <item x="865"/>
        <item x="134"/>
        <item x="135"/>
        <item x="136"/>
        <item x="348"/>
        <item x="307"/>
        <item x="137"/>
        <item x="138"/>
        <item x="139"/>
        <item x="140"/>
        <item x="141"/>
        <item x="142"/>
        <item x="866"/>
        <item x="143"/>
        <item x="867"/>
        <item x="144"/>
        <item x="349"/>
        <item x="145"/>
        <item x="146"/>
        <item x="147"/>
        <item x="148"/>
        <item x="149"/>
        <item x="150"/>
        <item x="151"/>
        <item x="152"/>
        <item x="153"/>
        <item x="868"/>
        <item x="350"/>
        <item x="869"/>
        <item x="154"/>
        <item x="870"/>
        <item x="871"/>
        <item x="872"/>
        <item x="873"/>
        <item x="155"/>
        <item x="156"/>
        <item x="157"/>
        <item x="158"/>
        <item x="351"/>
        <item x="159"/>
        <item x="160"/>
        <item x="874"/>
        <item x="875"/>
        <item x="876"/>
        <item x="161"/>
        <item x="162"/>
        <item x="163"/>
        <item x="164"/>
        <item x="877"/>
        <item x="352"/>
        <item x="878"/>
        <item x="879"/>
        <item x="165"/>
        <item x="880"/>
        <item x="881"/>
        <item x="882"/>
        <item x="883"/>
        <item x="884"/>
        <item x="885"/>
        <item x="886"/>
        <item x="353"/>
        <item x="887"/>
        <item x="888"/>
        <item x="889"/>
        <item x="890"/>
        <item x="891"/>
        <item x="892"/>
        <item x="893"/>
        <item x="894"/>
        <item x="895"/>
        <item x="896"/>
        <item x="354"/>
        <item x="897"/>
        <item x="898"/>
        <item x="899"/>
        <item x="900"/>
        <item x="901"/>
        <item x="902"/>
        <item x="903"/>
        <item x="904"/>
        <item x="905"/>
        <item x="906"/>
        <item x="355"/>
        <item x="907"/>
        <item x="908"/>
        <item x="909"/>
        <item x="910"/>
        <item x="911"/>
        <item x="912"/>
        <item x="913"/>
        <item x="914"/>
        <item x="915"/>
        <item x="916"/>
        <item x="356"/>
        <item x="917"/>
        <item x="166"/>
        <item x="918"/>
        <item x="919"/>
        <item x="920"/>
        <item x="921"/>
        <item x="922"/>
        <item x="923"/>
        <item x="924"/>
        <item x="925"/>
        <item x="357"/>
        <item x="926"/>
        <item x="927"/>
        <item x="928"/>
        <item x="929"/>
        <item x="930"/>
        <item x="931"/>
        <item x="932"/>
        <item x="933"/>
        <item x="934"/>
        <item x="935"/>
        <item x="358"/>
        <item x="2"/>
        <item x="936"/>
        <item x="937"/>
        <item x="938"/>
        <item x="939"/>
        <item x="940"/>
        <item x="941"/>
        <item x="942"/>
        <item x="943"/>
        <item x="944"/>
        <item x="945"/>
        <item x="359"/>
        <item x="946"/>
        <item x="947"/>
        <item x="948"/>
        <item x="949"/>
        <item x="950"/>
        <item x="951"/>
        <item x="952"/>
        <item x="953"/>
        <item x="954"/>
        <item x="955"/>
        <item x="360"/>
        <item x="956"/>
        <item x="957"/>
        <item x="958"/>
        <item x="959"/>
        <item x="960"/>
        <item x="961"/>
        <item x="962"/>
        <item x="963"/>
        <item x="964"/>
        <item x="965"/>
        <item x="361"/>
        <item x="966"/>
        <item x="967"/>
        <item x="968"/>
        <item x="969"/>
        <item x="970"/>
        <item x="971"/>
        <item x="972"/>
        <item x="973"/>
        <item x="974"/>
        <item x="975"/>
        <item x="362"/>
        <item x="976"/>
        <item x="977"/>
        <item x="978"/>
        <item x="979"/>
        <item x="980"/>
        <item x="981"/>
        <item x="982"/>
        <item x="983"/>
        <item x="984"/>
        <item x="985"/>
        <item x="363"/>
        <item x="986"/>
        <item x="987"/>
        <item x="988"/>
        <item x="989"/>
        <item x="990"/>
        <item x="991"/>
        <item x="992"/>
        <item x="993"/>
        <item x="994"/>
        <item x="995"/>
        <item x="364"/>
        <item x="996"/>
        <item x="997"/>
        <item x="998"/>
        <item x="999"/>
        <item x="1000"/>
        <item x="1001"/>
        <item x="1002"/>
        <item x="1003"/>
        <item x="1004"/>
        <item x="1005"/>
        <item x="365"/>
        <item x="1006"/>
        <item x="1007"/>
        <item x="1008"/>
        <item x="1009"/>
        <item x="1010"/>
        <item x="1011"/>
        <item x="1012"/>
        <item x="1013"/>
        <item x="1014"/>
        <item x="1015"/>
        <item x="366"/>
        <item x="1016"/>
        <item x="1017"/>
        <item x="1018"/>
        <item x="1019"/>
        <item x="1020"/>
        <item x="1021"/>
        <item x="1022"/>
        <item x="1023"/>
        <item x="1024"/>
        <item x="1025"/>
        <item x="367"/>
        <item x="1026"/>
        <item x="1027"/>
        <item x="1028"/>
        <item x="1029"/>
        <item x="1030"/>
        <item x="1031"/>
        <item x="1032"/>
        <item x="1033"/>
        <item x="1034"/>
        <item x="1035"/>
        <item x="368"/>
        <item x="308"/>
        <item x="1036"/>
        <item x="1037"/>
        <item x="1038"/>
        <item x="1039"/>
        <item x="1040"/>
        <item x="1041"/>
        <item x="1042"/>
        <item x="1043"/>
        <item x="1044"/>
        <item x="1045"/>
        <item x="369"/>
        <item x="1046"/>
        <item x="1047"/>
        <item x="1048"/>
        <item x="1049"/>
        <item x="1050"/>
        <item x="1051"/>
        <item x="1052"/>
        <item x="1053"/>
        <item x="1054"/>
        <item x="1055"/>
        <item x="370"/>
        <item x="1056"/>
        <item x="1057"/>
        <item x="1058"/>
        <item x="1059"/>
        <item x="1060"/>
        <item x="1061"/>
        <item x="1062"/>
        <item x="1063"/>
        <item x="1064"/>
        <item x="1065"/>
        <item x="371"/>
        <item x="1066"/>
        <item x="1067"/>
        <item x="1068"/>
        <item x="1069"/>
        <item x="1070"/>
        <item x="1071"/>
        <item x="1072"/>
        <item x="1073"/>
        <item x="1074"/>
        <item x="1075"/>
        <item x="372"/>
        <item x="1076"/>
        <item x="1077"/>
        <item x="1078"/>
        <item x="1079"/>
        <item x="1080"/>
        <item x="1081"/>
        <item x="1082"/>
        <item x="1083"/>
        <item x="1084"/>
        <item x="1085"/>
        <item x="373"/>
        <item x="1086"/>
        <item x="1087"/>
        <item x="1088"/>
        <item x="1089"/>
        <item x="1090"/>
        <item x="1091"/>
        <item x="1092"/>
        <item x="1093"/>
        <item x="1094"/>
        <item x="1095"/>
        <item x="374"/>
        <item x="1096"/>
        <item x="1097"/>
        <item x="1098"/>
        <item x="1099"/>
        <item x="1100"/>
        <item x="1101"/>
        <item x="1102"/>
        <item x="167"/>
        <item x="168"/>
        <item x="169"/>
        <item x="375"/>
        <item x="170"/>
        <item x="171"/>
        <item x="172"/>
        <item x="173"/>
        <item x="174"/>
        <item x="175"/>
        <item x="176"/>
        <item x="177"/>
        <item x="1103"/>
        <item x="178"/>
        <item x="376"/>
        <item x="1104"/>
        <item x="1105"/>
        <item x="179"/>
        <item x="1106"/>
        <item x="1107"/>
        <item x="180"/>
        <item x="181"/>
        <item x="182"/>
        <item x="183"/>
        <item x="184"/>
        <item x="377"/>
        <item x="185"/>
        <item x="186"/>
        <item x="187"/>
        <item x="188"/>
        <item x="189"/>
        <item x="190"/>
        <item x="191"/>
        <item x="192"/>
        <item x="193"/>
        <item x="194"/>
        <item x="378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sortType="descending">
      <items count="5">
        <item x="3"/>
        <item x="0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2">
    <field x="8"/>
    <field x="10"/>
  </rowFields>
  <rowItems count="14">
    <i>
      <x v="3"/>
    </i>
    <i r="1">
      <x/>
    </i>
    <i r="1">
      <x v="2"/>
    </i>
    <i r="1">
      <x v="1"/>
    </i>
    <i>
      <x/>
    </i>
    <i r="1">
      <x/>
    </i>
    <i r="1">
      <x v="2"/>
    </i>
    <i>
      <x v="2"/>
    </i>
    <i r="1">
      <x v="1"/>
    </i>
    <i r="1">
      <x/>
    </i>
    <i>
      <x v="1"/>
    </i>
    <i r="1">
      <x v="1"/>
    </i>
    <i r="1">
      <x/>
    </i>
    <i t="grand">
      <x/>
    </i>
  </rowItems>
  <colItems count="1">
    <i/>
  </colItems>
  <dataFields count="1">
    <dataField name="Count of Order_ID"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C18" firstHeaderRow="0" firstDataRow="1" firstDataCol="1" rowPageCount="2" colPageCount="1"/>
  <pivotFields count="16">
    <pivotField showAll="0"/>
    <pivotField showAll="0"/>
    <pivotField showAll="0">
      <items count="11">
        <item x="6"/>
        <item x="8"/>
        <item x="0"/>
        <item x="2"/>
        <item x="7"/>
        <item x="1"/>
        <item x="5"/>
        <item x="4"/>
        <item x="9"/>
        <item x="3"/>
        <item t="default"/>
      </items>
    </pivotField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axis="axisPage" showAll="0">
      <items count="4">
        <item x="2"/>
        <item x="0"/>
        <item x="1"/>
        <item t="default"/>
      </items>
    </pivotField>
    <pivotField axis="axisRow" showAll="0" sortType="ascending">
      <items count="5">
        <item x="3"/>
        <item x="0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dataField="1" showAll="0"/>
    <pivotField showAll="0"/>
  </pivotFields>
  <rowFields count="2">
    <field x="8"/>
    <field x="10"/>
  </rowFields>
  <rowItems count="14">
    <i>
      <x v="1"/>
    </i>
    <i r="1">
      <x/>
    </i>
    <i r="1">
      <x v="1"/>
    </i>
    <i>
      <x/>
    </i>
    <i r="1">
      <x/>
    </i>
    <i r="1">
      <x v="2"/>
    </i>
    <i>
      <x v="2"/>
    </i>
    <i r="1">
      <x/>
    </i>
    <i r="1">
      <x v="1"/>
    </i>
    <i>
      <x v="3"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2">
    <pageField fld="7" hier="-1"/>
    <pageField fld="5" hier="-1"/>
  </pageFields>
  <dataFields count="2">
    <dataField name="Sum of Inventory_Cost" fld="13" baseField="0" baseItem="0"/>
    <dataField name="Sum of Sale_Price" fld="14" baseField="0" baseItem="0"/>
  </dataFields>
  <formats count="2">
    <format dxfId="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D14" firstHeaderRow="1" firstDataRow="2" firstDataCol="1"/>
  <pivotFields count="20">
    <pivotField showAll="0"/>
    <pivotField dataField="1" showAll="0">
      <items count="1629">
        <item x="195"/>
        <item x="196"/>
        <item x="197"/>
        <item x="198"/>
        <item x="199"/>
        <item x="200"/>
        <item x="201"/>
        <item x="202"/>
        <item x="203"/>
        <item x="204"/>
        <item x="379"/>
        <item x="205"/>
        <item x="206"/>
        <item x="207"/>
        <item x="208"/>
        <item x="209"/>
        <item x="210"/>
        <item x="211"/>
        <item x="212"/>
        <item x="213"/>
        <item x="214"/>
        <item x="24"/>
        <item x="215"/>
        <item x="216"/>
        <item x="217"/>
        <item x="218"/>
        <item x="219"/>
        <item x="220"/>
        <item x="221"/>
        <item x="222"/>
        <item x="223"/>
        <item x="224"/>
        <item x="380"/>
        <item x="225"/>
        <item x="226"/>
        <item x="227"/>
        <item x="228"/>
        <item x="229"/>
        <item x="230"/>
        <item x="231"/>
        <item x="232"/>
        <item x="233"/>
        <item x="234"/>
        <item x="381"/>
        <item x="235"/>
        <item x="236"/>
        <item x="237"/>
        <item x="238"/>
        <item x="239"/>
        <item x="240"/>
        <item x="241"/>
        <item x="242"/>
        <item x="243"/>
        <item x="244"/>
        <item x="382"/>
        <item x="245"/>
        <item x="246"/>
        <item x="247"/>
        <item x="248"/>
        <item x="249"/>
        <item x="250"/>
        <item x="251"/>
        <item x="252"/>
        <item x="253"/>
        <item x="254"/>
        <item x="383"/>
        <item x="255"/>
        <item x="256"/>
        <item x="257"/>
        <item x="258"/>
        <item x="259"/>
        <item x="260"/>
        <item x="261"/>
        <item x="262"/>
        <item x="263"/>
        <item x="264"/>
        <item x="384"/>
        <item x="265"/>
        <item x="266"/>
        <item x="267"/>
        <item x="268"/>
        <item x="269"/>
        <item x="270"/>
        <item x="271"/>
        <item x="272"/>
        <item x="273"/>
        <item x="274"/>
        <item x="385"/>
        <item x="275"/>
        <item x="276"/>
        <item x="277"/>
        <item x="278"/>
        <item x="279"/>
        <item x="280"/>
        <item x="281"/>
        <item x="282"/>
        <item x="283"/>
        <item x="284"/>
        <item x="386"/>
        <item x="285"/>
        <item x="286"/>
        <item x="287"/>
        <item x="288"/>
        <item x="289"/>
        <item x="290"/>
        <item x="291"/>
        <item x="292"/>
        <item x="293"/>
        <item x="294"/>
        <item x="387"/>
        <item x="4"/>
        <item x="295"/>
        <item x="296"/>
        <item x="297"/>
        <item x="298"/>
        <item x="299"/>
        <item x="300"/>
        <item x="301"/>
        <item x="302"/>
        <item x="303"/>
        <item x="1108"/>
        <item x="388"/>
        <item x="1109"/>
        <item x="1110"/>
        <item x="1111"/>
        <item x="1112"/>
        <item x="1113"/>
        <item x="1114"/>
        <item x="1115"/>
        <item x="1116"/>
        <item x="1117"/>
        <item x="1118"/>
        <item x="389"/>
        <item x="1119"/>
        <item x="1120"/>
        <item x="1121"/>
        <item x="1122"/>
        <item x="1123"/>
        <item x="1124"/>
        <item x="1125"/>
        <item x="1126"/>
        <item x="1127"/>
        <item x="1128"/>
        <item x="390"/>
        <item x="1129"/>
        <item x="1130"/>
        <item x="1131"/>
        <item x="1132"/>
        <item x="1133"/>
        <item x="1134"/>
        <item x="1135"/>
        <item x="1136"/>
        <item x="1137"/>
        <item x="1138"/>
        <item x="391"/>
        <item x="1139"/>
        <item x="1140"/>
        <item x="1141"/>
        <item x="1142"/>
        <item x="1143"/>
        <item x="1144"/>
        <item x="1145"/>
        <item x="1146"/>
        <item x="1147"/>
        <item x="1148"/>
        <item x="392"/>
        <item x="1149"/>
        <item x="1150"/>
        <item x="1151"/>
        <item x="1152"/>
        <item x="1153"/>
        <item x="1154"/>
        <item x="1155"/>
        <item x="1156"/>
        <item x="1157"/>
        <item x="1158"/>
        <item x="393"/>
        <item x="1159"/>
        <item x="1160"/>
        <item x="1161"/>
        <item x="1162"/>
        <item x="1163"/>
        <item x="1164"/>
        <item x="1165"/>
        <item x="1166"/>
        <item x="1167"/>
        <item x="1168"/>
        <item x="25"/>
        <item x="1169"/>
        <item x="1170"/>
        <item x="1171"/>
        <item x="1172"/>
        <item x="1173"/>
        <item x="1174"/>
        <item x="1175"/>
        <item x="1176"/>
        <item x="1177"/>
        <item x="1178"/>
        <item x="26"/>
        <item x="1179"/>
        <item x="1180"/>
        <item x="1181"/>
        <item x="1182"/>
        <item x="1183"/>
        <item x="1184"/>
        <item x="1185"/>
        <item x="1186"/>
        <item x="1187"/>
        <item x="1188"/>
        <item x="27"/>
        <item x="1189"/>
        <item x="1190"/>
        <item x="1191"/>
        <item x="1192"/>
        <item x="1193"/>
        <item x="1194"/>
        <item x="1195"/>
        <item x="1196"/>
        <item x="1197"/>
        <item x="1198"/>
        <item x="394"/>
        <item x="5"/>
        <item x="1199"/>
        <item x="1200"/>
        <item x="1201"/>
        <item x="1202"/>
        <item x="1203"/>
        <item x="1204"/>
        <item x="1205"/>
        <item x="1206"/>
        <item x="1207"/>
        <item x="1208"/>
        <item x="395"/>
        <item x="1209"/>
        <item x="1210"/>
        <item x="1211"/>
        <item x="1212"/>
        <item x="1213"/>
        <item x="1214"/>
        <item x="1215"/>
        <item x="1216"/>
        <item x="1217"/>
        <item x="1218"/>
        <item x="396"/>
        <item x="1219"/>
        <item x="1220"/>
        <item x="1221"/>
        <item x="1222"/>
        <item x="1223"/>
        <item x="1224"/>
        <item x="1225"/>
        <item x="1226"/>
        <item x="1227"/>
        <item x="1228"/>
        <item x="28"/>
        <item x="1229"/>
        <item x="1230"/>
        <item x="1231"/>
        <item x="1232"/>
        <item x="1233"/>
        <item x="1234"/>
        <item x="1235"/>
        <item x="1236"/>
        <item x="1237"/>
        <item x="1238"/>
        <item x="29"/>
        <item x="1239"/>
        <item x="1240"/>
        <item x="1241"/>
        <item x="1242"/>
        <item x="1243"/>
        <item x="1244"/>
        <item x="1245"/>
        <item x="1246"/>
        <item x="1247"/>
        <item x="1248"/>
        <item x="30"/>
        <item x="1249"/>
        <item x="1250"/>
        <item x="1251"/>
        <item x="1252"/>
        <item x="1253"/>
        <item x="1254"/>
        <item x="1255"/>
        <item x="1256"/>
        <item x="1257"/>
        <item x="1258"/>
        <item x="31"/>
        <item x="1259"/>
        <item x="1260"/>
        <item x="1261"/>
        <item x="1262"/>
        <item x="1263"/>
        <item x="1264"/>
        <item x="1265"/>
        <item x="1266"/>
        <item x="1267"/>
        <item x="1268"/>
        <item x="32"/>
        <item x="1269"/>
        <item x="1270"/>
        <item x="1271"/>
        <item x="1272"/>
        <item x="1273"/>
        <item x="1274"/>
        <item x="1275"/>
        <item x="1276"/>
        <item x="1277"/>
        <item x="1278"/>
        <item x="33"/>
        <item x="1279"/>
        <item x="1280"/>
        <item x="1281"/>
        <item x="1282"/>
        <item x="1283"/>
        <item x="1284"/>
        <item x="1285"/>
        <item x="1286"/>
        <item x="1287"/>
        <item x="1288"/>
        <item x="34"/>
        <item x="1289"/>
        <item x="1290"/>
        <item x="1291"/>
        <item x="1292"/>
        <item x="1293"/>
        <item x="1294"/>
        <item x="1295"/>
        <item x="1296"/>
        <item x="1297"/>
        <item x="1298"/>
        <item x="35"/>
        <item x="6"/>
        <item x="1299"/>
        <item x="1300"/>
        <item x="1301"/>
        <item x="1302"/>
        <item x="1303"/>
        <item x="1304"/>
        <item x="1305"/>
        <item x="1306"/>
        <item x="1307"/>
        <item x="1308"/>
        <item x="36"/>
        <item x="1309"/>
        <item x="1310"/>
        <item x="1311"/>
        <item x="1312"/>
        <item x="1313"/>
        <item x="1314"/>
        <item x="1315"/>
        <item x="1316"/>
        <item x="1317"/>
        <item x="1318"/>
        <item x="37"/>
        <item x="1319"/>
        <item x="1320"/>
        <item x="1321"/>
        <item x="1322"/>
        <item x="1323"/>
        <item x="1324"/>
        <item x="1325"/>
        <item x="1326"/>
        <item x="1327"/>
        <item x="1328"/>
        <item x="38"/>
        <item x="1329"/>
        <item x="1330"/>
        <item x="1331"/>
        <item x="1332"/>
        <item x="1333"/>
        <item x="1334"/>
        <item x="1335"/>
        <item x="1336"/>
        <item x="1337"/>
        <item x="1338"/>
        <item x="39"/>
        <item x="1339"/>
        <item x="1340"/>
        <item x="1341"/>
        <item x="1342"/>
        <item x="1343"/>
        <item x="1344"/>
        <item x="1345"/>
        <item x="1346"/>
        <item x="1347"/>
        <item x="1348"/>
        <item x="40"/>
        <item x="1349"/>
        <item x="1350"/>
        <item x="1351"/>
        <item x="1352"/>
        <item x="1353"/>
        <item x="1354"/>
        <item x="1355"/>
        <item x="1356"/>
        <item x="1357"/>
        <item x="1358"/>
        <item x="397"/>
        <item x="1359"/>
        <item x="1360"/>
        <item x="1361"/>
        <item x="1362"/>
        <item x="1363"/>
        <item x="1364"/>
        <item x="1365"/>
        <item x="1366"/>
        <item x="1367"/>
        <item x="1368"/>
        <item x="398"/>
        <item x="1369"/>
        <item x="1370"/>
        <item x="1371"/>
        <item x="1372"/>
        <item x="1373"/>
        <item x="1374"/>
        <item x="1375"/>
        <item x="1376"/>
        <item x="1377"/>
        <item x="1378"/>
        <item x="399"/>
        <item x="1379"/>
        <item x="1380"/>
        <item x="1381"/>
        <item x="1382"/>
        <item x="1383"/>
        <item x="1384"/>
        <item x="1385"/>
        <item x="1386"/>
        <item x="1387"/>
        <item x="1388"/>
        <item x="400"/>
        <item x="1389"/>
        <item x="1390"/>
        <item x="1391"/>
        <item x="1392"/>
        <item x="1393"/>
        <item x="1394"/>
        <item x="1395"/>
        <item x="1396"/>
        <item x="1397"/>
        <item x="1398"/>
        <item x="401"/>
        <item x="309"/>
        <item x="1399"/>
        <item x="1400"/>
        <item x="1401"/>
        <item x="1402"/>
        <item x="1403"/>
        <item x="1404"/>
        <item x="1405"/>
        <item x="1406"/>
        <item x="1407"/>
        <item x="1408"/>
        <item x="402"/>
        <item x="1409"/>
        <item x="1410"/>
        <item x="1411"/>
        <item x="1412"/>
        <item x="1413"/>
        <item x="1414"/>
        <item x="1415"/>
        <item x="1416"/>
        <item x="1417"/>
        <item x="1418"/>
        <item x="403"/>
        <item x="1419"/>
        <item x="1420"/>
        <item x="1421"/>
        <item x="1422"/>
        <item x="1423"/>
        <item x="1424"/>
        <item x="1425"/>
        <item x="1426"/>
        <item x="1427"/>
        <item x="1428"/>
        <item x="404"/>
        <item x="1429"/>
        <item x="1430"/>
        <item x="1431"/>
        <item x="1432"/>
        <item x="1433"/>
        <item x="1434"/>
        <item x="1435"/>
        <item x="1436"/>
        <item x="1437"/>
        <item x="1438"/>
        <item x="405"/>
        <item x="1439"/>
        <item x="1440"/>
        <item x="1441"/>
        <item x="1442"/>
        <item x="1443"/>
        <item x="1444"/>
        <item x="1445"/>
        <item x="1446"/>
        <item x="1447"/>
        <item x="1448"/>
        <item x="406"/>
        <item x="1449"/>
        <item x="1450"/>
        <item x="1451"/>
        <item x="1452"/>
        <item x="1453"/>
        <item x="1454"/>
        <item x="1455"/>
        <item x="1456"/>
        <item x="1457"/>
        <item x="1458"/>
        <item x="407"/>
        <item x="1459"/>
        <item x="1460"/>
        <item x="1461"/>
        <item x="1462"/>
        <item x="1463"/>
        <item x="1464"/>
        <item x="1465"/>
        <item x="1466"/>
        <item x="1467"/>
        <item x="1468"/>
        <item x="408"/>
        <item x="1469"/>
        <item x="1470"/>
        <item x="1471"/>
        <item x="1472"/>
        <item x="1473"/>
        <item x="1474"/>
        <item x="1475"/>
        <item x="1476"/>
        <item x="1477"/>
        <item x="1478"/>
        <item x="409"/>
        <item x="1479"/>
        <item x="1480"/>
        <item x="1481"/>
        <item x="1482"/>
        <item x="1483"/>
        <item x="1484"/>
        <item x="1485"/>
        <item x="1486"/>
        <item x="1487"/>
        <item x="1488"/>
        <item x="410"/>
        <item x="1489"/>
        <item x="1490"/>
        <item x="1491"/>
        <item x="1492"/>
        <item x="1493"/>
        <item x="1494"/>
        <item x="1495"/>
        <item x="1496"/>
        <item x="1497"/>
        <item x="1498"/>
        <item x="411"/>
        <item x="7"/>
        <item x="1499"/>
        <item x="1500"/>
        <item x="1501"/>
        <item x="1502"/>
        <item x="1503"/>
        <item x="1504"/>
        <item x="1505"/>
        <item x="1506"/>
        <item x="1507"/>
        <item x="1508"/>
        <item x="412"/>
        <item x="1509"/>
        <item x="1510"/>
        <item x="1511"/>
        <item x="1512"/>
        <item x="1513"/>
        <item x="1514"/>
        <item x="1515"/>
        <item x="1516"/>
        <item x="1517"/>
        <item x="1518"/>
        <item x="413"/>
        <item x="1519"/>
        <item x="1520"/>
        <item x="1521"/>
        <item x="1522"/>
        <item x="1523"/>
        <item x="1524"/>
        <item x="1525"/>
        <item x="1526"/>
        <item x="1527"/>
        <item x="1528"/>
        <item x="414"/>
        <item x="1529"/>
        <item x="1530"/>
        <item x="1531"/>
        <item x="1532"/>
        <item x="1533"/>
        <item x="1534"/>
        <item x="1535"/>
        <item x="1536"/>
        <item x="1537"/>
        <item x="1538"/>
        <item x="41"/>
        <item x="1539"/>
        <item x="1540"/>
        <item x="1541"/>
        <item x="1542"/>
        <item x="1543"/>
        <item x="1544"/>
        <item x="1545"/>
        <item x="1546"/>
        <item x="1547"/>
        <item x="1548"/>
        <item x="42"/>
        <item x="1549"/>
        <item x="1550"/>
        <item x="1551"/>
        <item x="1552"/>
        <item x="1553"/>
        <item x="1554"/>
        <item x="1555"/>
        <item x="1556"/>
        <item x="1557"/>
        <item x="1558"/>
        <item x="415"/>
        <item x="1559"/>
        <item x="1560"/>
        <item x="1561"/>
        <item x="1562"/>
        <item x="1563"/>
        <item x="1564"/>
        <item x="1565"/>
        <item x="1566"/>
        <item x="1567"/>
        <item x="1568"/>
        <item x="416"/>
        <item x="1569"/>
        <item x="1570"/>
        <item x="1571"/>
        <item x="1572"/>
        <item x="1573"/>
        <item x="1574"/>
        <item x="1575"/>
        <item x="1576"/>
        <item x="1577"/>
        <item x="1578"/>
        <item x="417"/>
        <item x="1579"/>
        <item x="1580"/>
        <item x="1581"/>
        <item x="1582"/>
        <item x="1583"/>
        <item x="1584"/>
        <item x="1585"/>
        <item x="1586"/>
        <item x="1587"/>
        <item x="1588"/>
        <item x="418"/>
        <item x="1589"/>
        <item x="1590"/>
        <item x="1591"/>
        <item x="1592"/>
        <item x="1593"/>
        <item x="1594"/>
        <item x="1595"/>
        <item x="1596"/>
        <item x="1597"/>
        <item x="1598"/>
        <item x="419"/>
        <item x="310"/>
        <item x="1599"/>
        <item x="1600"/>
        <item x="1601"/>
        <item x="1602"/>
        <item x="1603"/>
        <item x="1604"/>
        <item x="1605"/>
        <item x="1606"/>
        <item x="1607"/>
        <item x="1608"/>
        <item x="420"/>
        <item x="1609"/>
        <item x="1610"/>
        <item x="1611"/>
        <item x="1612"/>
        <item x="1613"/>
        <item x="1614"/>
        <item x="1615"/>
        <item x="1616"/>
        <item x="1617"/>
        <item x="1618"/>
        <item x="421"/>
        <item x="1619"/>
        <item x="1620"/>
        <item x="1621"/>
        <item x="1622"/>
        <item x="1623"/>
        <item x="1624"/>
        <item x="1625"/>
        <item x="1626"/>
        <item x="1627"/>
        <item x="422"/>
        <item x="423"/>
        <item x="424"/>
        <item x="425"/>
        <item x="426"/>
        <item x="427"/>
        <item x="428"/>
        <item x="429"/>
        <item x="311"/>
        <item x="430"/>
        <item x="43"/>
        <item x="44"/>
        <item x="45"/>
        <item x="46"/>
        <item x="47"/>
        <item x="48"/>
        <item x="431"/>
        <item x="432"/>
        <item x="49"/>
        <item x="8"/>
        <item x="433"/>
        <item x="434"/>
        <item x="435"/>
        <item x="436"/>
        <item x="437"/>
        <item x="438"/>
        <item x="439"/>
        <item x="440"/>
        <item x="441"/>
        <item x="442"/>
        <item x="312"/>
        <item x="443"/>
        <item x="444"/>
        <item x="445"/>
        <item x="446"/>
        <item x="447"/>
        <item x="448"/>
        <item x="449"/>
        <item x="450"/>
        <item x="451"/>
        <item x="452"/>
        <item x="9"/>
        <item x="304"/>
        <item x="453"/>
        <item x="454"/>
        <item x="455"/>
        <item x="50"/>
        <item x="51"/>
        <item x="52"/>
        <item x="456"/>
        <item x="457"/>
        <item x="458"/>
        <item x="459"/>
        <item x="313"/>
        <item x="460"/>
        <item x="461"/>
        <item x="462"/>
        <item x="463"/>
        <item x="464"/>
        <item x="465"/>
        <item x="466"/>
        <item x="467"/>
        <item x="468"/>
        <item x="469"/>
        <item x="10"/>
        <item x="470"/>
        <item x="471"/>
        <item x="472"/>
        <item x="473"/>
        <item x="474"/>
        <item x="475"/>
        <item x="476"/>
        <item x="477"/>
        <item x="478"/>
        <item x="479"/>
        <item x="314"/>
        <item x="480"/>
        <item x="481"/>
        <item x="482"/>
        <item x="483"/>
        <item x="484"/>
        <item x="485"/>
        <item x="486"/>
        <item x="487"/>
        <item x="488"/>
        <item x="489"/>
        <item x="11"/>
        <item x="490"/>
        <item x="491"/>
        <item x="492"/>
        <item x="493"/>
        <item x="494"/>
        <item x="495"/>
        <item x="496"/>
        <item x="497"/>
        <item x="498"/>
        <item x="499"/>
        <item x="315"/>
        <item x="500"/>
        <item x="501"/>
        <item x="502"/>
        <item x="503"/>
        <item x="504"/>
        <item x="505"/>
        <item x="506"/>
        <item x="507"/>
        <item x="508"/>
        <item x="509"/>
        <item x="12"/>
        <item x="510"/>
        <item x="511"/>
        <item x="512"/>
        <item x="513"/>
        <item x="514"/>
        <item x="515"/>
        <item x="516"/>
        <item x="517"/>
        <item x="518"/>
        <item x="519"/>
        <item x="316"/>
        <item x="520"/>
        <item x="521"/>
        <item x="522"/>
        <item x="523"/>
        <item x="524"/>
        <item x="525"/>
        <item x="526"/>
        <item x="527"/>
        <item x="528"/>
        <item x="529"/>
        <item x="317"/>
        <item x="530"/>
        <item x="531"/>
        <item x="532"/>
        <item x="533"/>
        <item x="534"/>
        <item x="535"/>
        <item x="536"/>
        <item x="537"/>
        <item x="538"/>
        <item x="539"/>
        <item x="13"/>
        <item x="540"/>
        <item x="541"/>
        <item x="542"/>
        <item x="543"/>
        <item x="544"/>
        <item x="545"/>
        <item x="546"/>
        <item x="547"/>
        <item x="548"/>
        <item x="549"/>
        <item x="14"/>
        <item x="305"/>
        <item x="550"/>
        <item x="551"/>
        <item x="552"/>
        <item x="553"/>
        <item x="554"/>
        <item x="555"/>
        <item x="556"/>
        <item x="557"/>
        <item x="558"/>
        <item x="559"/>
        <item x="15"/>
        <item x="560"/>
        <item x="561"/>
        <item x="562"/>
        <item x="563"/>
        <item x="564"/>
        <item x="565"/>
        <item x="566"/>
        <item x="567"/>
        <item x="568"/>
        <item x="569"/>
        <item x="318"/>
        <item x="570"/>
        <item x="571"/>
        <item x="572"/>
        <item x="573"/>
        <item x="574"/>
        <item x="575"/>
        <item x="576"/>
        <item x="577"/>
        <item x="578"/>
        <item x="579"/>
        <item x="16"/>
        <item x="580"/>
        <item x="581"/>
        <item x="582"/>
        <item x="583"/>
        <item x="584"/>
        <item x="585"/>
        <item x="586"/>
        <item x="587"/>
        <item x="588"/>
        <item x="589"/>
        <item x="17"/>
        <item x="590"/>
        <item x="591"/>
        <item x="592"/>
        <item x="593"/>
        <item x="594"/>
        <item x="595"/>
        <item x="596"/>
        <item x="597"/>
        <item x="598"/>
        <item x="599"/>
        <item x="18"/>
        <item x="600"/>
        <item x="601"/>
        <item x="602"/>
        <item x="603"/>
        <item x="604"/>
        <item x="605"/>
        <item x="606"/>
        <item x="607"/>
        <item x="608"/>
        <item x="609"/>
        <item x="19"/>
        <item x="610"/>
        <item x="611"/>
        <item x="612"/>
        <item x="613"/>
        <item x="614"/>
        <item x="615"/>
        <item x="616"/>
        <item x="617"/>
        <item x="618"/>
        <item x="619"/>
        <item x="20"/>
        <item x="620"/>
        <item x="621"/>
        <item x="622"/>
        <item x="623"/>
        <item x="624"/>
        <item x="625"/>
        <item x="626"/>
        <item x="627"/>
        <item x="628"/>
        <item x="629"/>
        <item x="319"/>
        <item x="630"/>
        <item x="631"/>
        <item x="632"/>
        <item x="633"/>
        <item x="634"/>
        <item x="635"/>
        <item x="636"/>
        <item x="637"/>
        <item x="638"/>
        <item x="639"/>
        <item x="320"/>
        <item x="640"/>
        <item x="641"/>
        <item x="642"/>
        <item x="643"/>
        <item x="644"/>
        <item x="645"/>
        <item x="646"/>
        <item x="647"/>
        <item x="648"/>
        <item x="649"/>
        <item x="321"/>
        <item x="0"/>
        <item x="650"/>
        <item x="651"/>
        <item x="652"/>
        <item x="653"/>
        <item x="654"/>
        <item x="655"/>
        <item x="656"/>
        <item x="657"/>
        <item x="658"/>
        <item x="659"/>
        <item x="322"/>
        <item x="660"/>
        <item x="661"/>
        <item x="662"/>
        <item x="663"/>
        <item x="664"/>
        <item x="53"/>
        <item x="665"/>
        <item x="666"/>
        <item x="667"/>
        <item x="668"/>
        <item x="323"/>
        <item x="669"/>
        <item x="670"/>
        <item x="671"/>
        <item x="672"/>
        <item x="673"/>
        <item x="674"/>
        <item x="675"/>
        <item x="676"/>
        <item x="677"/>
        <item x="678"/>
        <item x="324"/>
        <item x="679"/>
        <item x="54"/>
        <item x="55"/>
        <item x="680"/>
        <item x="681"/>
        <item x="682"/>
        <item x="683"/>
        <item x="684"/>
        <item x="685"/>
        <item x="686"/>
        <item x="325"/>
        <item x="687"/>
        <item x="688"/>
        <item x="689"/>
        <item x="690"/>
        <item x="691"/>
        <item x="692"/>
        <item x="693"/>
        <item x="694"/>
        <item x="695"/>
        <item x="696"/>
        <item x="326"/>
        <item x="697"/>
        <item x="698"/>
        <item x="699"/>
        <item x="700"/>
        <item x="701"/>
        <item x="702"/>
        <item x="703"/>
        <item x="704"/>
        <item x="56"/>
        <item x="57"/>
        <item x="327"/>
        <item x="705"/>
        <item x="706"/>
        <item x="707"/>
        <item x="58"/>
        <item x="708"/>
        <item x="59"/>
        <item x="709"/>
        <item x="710"/>
        <item x="711"/>
        <item x="60"/>
        <item x="328"/>
        <item x="712"/>
        <item x="61"/>
        <item x="713"/>
        <item x="714"/>
        <item x="715"/>
        <item x="716"/>
        <item x="62"/>
        <item x="717"/>
        <item x="718"/>
        <item x="719"/>
        <item x="329"/>
        <item x="720"/>
        <item x="721"/>
        <item x="63"/>
        <item x="64"/>
        <item x="65"/>
        <item x="722"/>
        <item x="66"/>
        <item x="67"/>
        <item x="68"/>
        <item x="69"/>
        <item x="21"/>
        <item x="723"/>
        <item x="70"/>
        <item x="724"/>
        <item x="725"/>
        <item x="726"/>
        <item x="727"/>
        <item x="728"/>
        <item x="71"/>
        <item x="72"/>
        <item x="729"/>
        <item x="330"/>
        <item x="1"/>
        <item x="730"/>
        <item x="731"/>
        <item x="73"/>
        <item x="732"/>
        <item x="733"/>
        <item x="734"/>
        <item x="735"/>
        <item x="736"/>
        <item x="737"/>
        <item x="738"/>
        <item x="331"/>
        <item x="74"/>
        <item x="75"/>
        <item x="76"/>
        <item x="739"/>
        <item x="740"/>
        <item x="77"/>
        <item x="741"/>
        <item x="742"/>
        <item x="743"/>
        <item x="744"/>
        <item x="332"/>
        <item x="745"/>
        <item x="746"/>
        <item x="747"/>
        <item x="748"/>
        <item x="749"/>
        <item x="750"/>
        <item x="751"/>
        <item x="752"/>
        <item x="753"/>
        <item x="754"/>
        <item x="333"/>
        <item x="755"/>
        <item x="756"/>
        <item x="757"/>
        <item x="758"/>
        <item x="759"/>
        <item x="760"/>
        <item x="761"/>
        <item x="762"/>
        <item x="763"/>
        <item x="764"/>
        <item x="334"/>
        <item x="765"/>
        <item x="766"/>
        <item x="767"/>
        <item x="768"/>
        <item x="769"/>
        <item x="770"/>
        <item x="771"/>
        <item x="772"/>
        <item x="773"/>
        <item x="774"/>
        <item x="335"/>
        <item x="775"/>
        <item x="776"/>
        <item x="777"/>
        <item x="778"/>
        <item x="779"/>
        <item x="780"/>
        <item x="781"/>
        <item x="782"/>
        <item x="783"/>
        <item x="784"/>
        <item x="336"/>
        <item x="785"/>
        <item x="786"/>
        <item x="787"/>
        <item x="788"/>
        <item x="789"/>
        <item x="790"/>
        <item x="791"/>
        <item x="792"/>
        <item x="793"/>
        <item x="794"/>
        <item x="337"/>
        <item x="795"/>
        <item x="796"/>
        <item x="797"/>
        <item x="798"/>
        <item x="799"/>
        <item x="78"/>
        <item x="79"/>
        <item x="80"/>
        <item x="81"/>
        <item x="82"/>
        <item x="338"/>
        <item x="83"/>
        <item x="84"/>
        <item x="85"/>
        <item x="86"/>
        <item x="87"/>
        <item x="88"/>
        <item x="89"/>
        <item x="90"/>
        <item x="91"/>
        <item x="92"/>
        <item x="339"/>
        <item x="93"/>
        <item x="94"/>
        <item x="95"/>
        <item x="96"/>
        <item x="97"/>
        <item x="98"/>
        <item x="800"/>
        <item x="99"/>
        <item x="801"/>
        <item x="802"/>
        <item x="22"/>
        <item x="306"/>
        <item x="100"/>
        <item x="803"/>
        <item x="101"/>
        <item x="804"/>
        <item x="805"/>
        <item x="806"/>
        <item x="102"/>
        <item x="103"/>
        <item x="104"/>
        <item x="105"/>
        <item x="340"/>
        <item x="807"/>
        <item x="106"/>
        <item x="808"/>
        <item x="809"/>
        <item x="810"/>
        <item x="811"/>
        <item x="812"/>
        <item x="813"/>
        <item x="814"/>
        <item x="815"/>
        <item x="341"/>
        <item x="816"/>
        <item x="817"/>
        <item x="818"/>
        <item x="819"/>
        <item x="820"/>
        <item x="821"/>
        <item x="822"/>
        <item x="823"/>
        <item x="824"/>
        <item x="825"/>
        <item x="342"/>
        <item x="826"/>
        <item x="827"/>
        <item x="828"/>
        <item x="829"/>
        <item x="830"/>
        <item x="831"/>
        <item x="832"/>
        <item x="833"/>
        <item x="834"/>
        <item x="835"/>
        <item x="343"/>
        <item x="836"/>
        <item x="837"/>
        <item x="838"/>
        <item x="839"/>
        <item x="840"/>
        <item x="841"/>
        <item x="107"/>
        <item x="108"/>
        <item x="109"/>
        <item x="110"/>
        <item x="344"/>
        <item x="842"/>
        <item x="843"/>
        <item x="844"/>
        <item x="845"/>
        <item x="846"/>
        <item x="111"/>
        <item x="112"/>
        <item x="113"/>
        <item x="114"/>
        <item x="115"/>
        <item x="345"/>
        <item x="847"/>
        <item x="848"/>
        <item x="849"/>
        <item x="116"/>
        <item x="850"/>
        <item x="851"/>
        <item x="117"/>
        <item x="852"/>
        <item x="118"/>
        <item x="853"/>
        <item x="346"/>
        <item x="119"/>
        <item x="854"/>
        <item x="120"/>
        <item x="855"/>
        <item x="121"/>
        <item x="122"/>
        <item x="123"/>
        <item x="856"/>
        <item x="857"/>
        <item x="124"/>
        <item x="23"/>
        <item x="125"/>
        <item x="126"/>
        <item x="127"/>
        <item x="128"/>
        <item x="129"/>
        <item x="858"/>
        <item x="859"/>
        <item x="860"/>
        <item x="130"/>
        <item x="131"/>
        <item x="347"/>
        <item x="132"/>
        <item x="861"/>
        <item x="862"/>
        <item x="863"/>
        <item x="864"/>
        <item x="133"/>
        <item x="865"/>
        <item x="134"/>
        <item x="135"/>
        <item x="136"/>
        <item x="348"/>
        <item x="307"/>
        <item x="137"/>
        <item x="138"/>
        <item x="139"/>
        <item x="140"/>
        <item x="141"/>
        <item x="142"/>
        <item x="866"/>
        <item x="143"/>
        <item x="867"/>
        <item x="144"/>
        <item x="349"/>
        <item x="145"/>
        <item x="146"/>
        <item x="147"/>
        <item x="148"/>
        <item x="149"/>
        <item x="150"/>
        <item x="151"/>
        <item x="152"/>
        <item x="153"/>
        <item x="868"/>
        <item x="350"/>
        <item x="869"/>
        <item x="154"/>
        <item x="870"/>
        <item x="871"/>
        <item x="872"/>
        <item x="873"/>
        <item x="155"/>
        <item x="156"/>
        <item x="157"/>
        <item x="158"/>
        <item x="351"/>
        <item x="159"/>
        <item x="160"/>
        <item x="874"/>
        <item x="875"/>
        <item x="876"/>
        <item x="161"/>
        <item x="162"/>
        <item x="163"/>
        <item x="164"/>
        <item x="877"/>
        <item x="352"/>
        <item x="878"/>
        <item x="879"/>
        <item x="165"/>
        <item x="880"/>
        <item x="881"/>
        <item x="882"/>
        <item x="883"/>
        <item x="884"/>
        <item x="885"/>
        <item x="886"/>
        <item x="353"/>
        <item x="887"/>
        <item x="888"/>
        <item x="889"/>
        <item x="890"/>
        <item x="891"/>
        <item x="892"/>
        <item x="893"/>
        <item x="894"/>
        <item x="895"/>
        <item x="896"/>
        <item x="354"/>
        <item x="897"/>
        <item x="898"/>
        <item x="899"/>
        <item x="900"/>
        <item x="901"/>
        <item x="902"/>
        <item x="903"/>
        <item x="904"/>
        <item x="905"/>
        <item x="906"/>
        <item x="355"/>
        <item x="907"/>
        <item x="908"/>
        <item x="909"/>
        <item x="910"/>
        <item x="911"/>
        <item x="912"/>
        <item x="913"/>
        <item x="914"/>
        <item x="915"/>
        <item x="916"/>
        <item x="356"/>
        <item x="917"/>
        <item x="166"/>
        <item x="918"/>
        <item x="919"/>
        <item x="920"/>
        <item x="921"/>
        <item x="922"/>
        <item x="923"/>
        <item x="924"/>
        <item x="925"/>
        <item x="357"/>
        <item x="926"/>
        <item x="927"/>
        <item x="928"/>
        <item x="929"/>
        <item x="930"/>
        <item x="931"/>
        <item x="932"/>
        <item x="933"/>
        <item x="934"/>
        <item x="935"/>
        <item x="358"/>
        <item x="2"/>
        <item x="936"/>
        <item x="937"/>
        <item x="938"/>
        <item x="939"/>
        <item x="940"/>
        <item x="941"/>
        <item x="942"/>
        <item x="943"/>
        <item x="944"/>
        <item x="945"/>
        <item x="359"/>
        <item x="946"/>
        <item x="947"/>
        <item x="948"/>
        <item x="949"/>
        <item x="950"/>
        <item x="951"/>
        <item x="952"/>
        <item x="953"/>
        <item x="954"/>
        <item x="955"/>
        <item x="360"/>
        <item x="956"/>
        <item x="957"/>
        <item x="958"/>
        <item x="959"/>
        <item x="960"/>
        <item x="961"/>
        <item x="962"/>
        <item x="963"/>
        <item x="964"/>
        <item x="965"/>
        <item x="361"/>
        <item x="966"/>
        <item x="967"/>
        <item x="968"/>
        <item x="969"/>
        <item x="970"/>
        <item x="971"/>
        <item x="972"/>
        <item x="973"/>
        <item x="974"/>
        <item x="975"/>
        <item x="362"/>
        <item x="976"/>
        <item x="977"/>
        <item x="978"/>
        <item x="979"/>
        <item x="980"/>
        <item x="981"/>
        <item x="982"/>
        <item x="983"/>
        <item x="984"/>
        <item x="985"/>
        <item x="363"/>
        <item x="986"/>
        <item x="987"/>
        <item x="988"/>
        <item x="989"/>
        <item x="990"/>
        <item x="991"/>
        <item x="992"/>
        <item x="993"/>
        <item x="994"/>
        <item x="995"/>
        <item x="364"/>
        <item x="996"/>
        <item x="997"/>
        <item x="998"/>
        <item x="999"/>
        <item x="1000"/>
        <item x="1001"/>
        <item x="1002"/>
        <item x="1003"/>
        <item x="1004"/>
        <item x="1005"/>
        <item x="365"/>
        <item x="1006"/>
        <item x="1007"/>
        <item x="1008"/>
        <item x="1009"/>
        <item x="1010"/>
        <item x="1011"/>
        <item x="1012"/>
        <item x="1013"/>
        <item x="1014"/>
        <item x="1015"/>
        <item x="366"/>
        <item x="1016"/>
        <item x="1017"/>
        <item x="1018"/>
        <item x="1019"/>
        <item x="1020"/>
        <item x="1021"/>
        <item x="1022"/>
        <item x="1023"/>
        <item x="1024"/>
        <item x="1025"/>
        <item x="367"/>
        <item x="1026"/>
        <item x="1027"/>
        <item x="1028"/>
        <item x="1029"/>
        <item x="1030"/>
        <item x="1031"/>
        <item x="1032"/>
        <item x="1033"/>
        <item x="1034"/>
        <item x="1035"/>
        <item x="368"/>
        <item x="308"/>
        <item x="1036"/>
        <item x="1037"/>
        <item x="1038"/>
        <item x="1039"/>
        <item x="1040"/>
        <item x="1041"/>
        <item x="1042"/>
        <item x="1043"/>
        <item x="1044"/>
        <item x="1045"/>
        <item x="369"/>
        <item x="1046"/>
        <item x="1047"/>
        <item x="1048"/>
        <item x="1049"/>
        <item x="1050"/>
        <item x="1051"/>
        <item x="1052"/>
        <item x="1053"/>
        <item x="1054"/>
        <item x="1055"/>
        <item x="370"/>
        <item x="1056"/>
        <item x="1057"/>
        <item x="1058"/>
        <item x="1059"/>
        <item x="1060"/>
        <item x="1061"/>
        <item x="1062"/>
        <item x="1063"/>
        <item x="1064"/>
        <item x="1065"/>
        <item x="371"/>
        <item x="1066"/>
        <item x="1067"/>
        <item x="1068"/>
        <item x="1069"/>
        <item x="1070"/>
        <item x="1071"/>
        <item x="1072"/>
        <item x="1073"/>
        <item x="1074"/>
        <item x="1075"/>
        <item x="372"/>
        <item x="1076"/>
        <item x="1077"/>
        <item x="1078"/>
        <item x="1079"/>
        <item x="1080"/>
        <item x="1081"/>
        <item x="1082"/>
        <item x="1083"/>
        <item x="1084"/>
        <item x="1085"/>
        <item x="373"/>
        <item x="1086"/>
        <item x="1087"/>
        <item x="1088"/>
        <item x="1089"/>
        <item x="1090"/>
        <item x="1091"/>
        <item x="1092"/>
        <item x="1093"/>
        <item x="1094"/>
        <item x="1095"/>
        <item x="374"/>
        <item x="1096"/>
        <item x="1097"/>
        <item x="1098"/>
        <item x="1099"/>
        <item x="1100"/>
        <item x="1101"/>
        <item x="1102"/>
        <item x="167"/>
        <item x="168"/>
        <item x="169"/>
        <item x="375"/>
        <item x="170"/>
        <item x="171"/>
        <item x="172"/>
        <item x="173"/>
        <item x="174"/>
        <item x="175"/>
        <item x="176"/>
        <item x="177"/>
        <item x="1103"/>
        <item x="178"/>
        <item x="376"/>
        <item x="1104"/>
        <item x="1105"/>
        <item x="179"/>
        <item x="1106"/>
        <item x="1107"/>
        <item x="180"/>
        <item x="181"/>
        <item x="182"/>
        <item x="183"/>
        <item x="184"/>
        <item x="377"/>
        <item x="185"/>
        <item x="186"/>
        <item x="187"/>
        <item x="188"/>
        <item x="189"/>
        <item x="190"/>
        <item x="191"/>
        <item x="192"/>
        <item x="193"/>
        <item x="194"/>
        <item x="378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0"/>
        <item sd="0" x="2"/>
        <item sd="0" x="1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axis="axisCol" showAll="0">
      <items count="3">
        <item x="0"/>
        <item x="1"/>
        <item t="default"/>
      </items>
    </pivotField>
  </pivotFields>
  <rowFields count="2">
    <field x="8"/>
    <field x="10"/>
  </rowFields>
  <rowItems count="9">
    <i>
      <x/>
    </i>
    <i r="1">
      <x/>
    </i>
    <i r="1">
      <x v="2"/>
    </i>
    <i>
      <x v="1"/>
    </i>
    <i r="1">
      <x/>
    </i>
    <i r="1">
      <x v="1"/>
    </i>
    <i>
      <x v="2"/>
    </i>
    <i>
      <x v="3"/>
    </i>
    <i t="grand">
      <x/>
    </i>
  </rowItems>
  <colFields count="1">
    <field x="19"/>
  </colFields>
  <colItems count="3">
    <i>
      <x/>
    </i>
    <i>
      <x v="1"/>
    </i>
    <i t="grand">
      <x/>
    </i>
  </colItems>
  <dataFields count="1">
    <dataField name="Count of Order_ID" fld="1" subtotal="count" baseField="0" baseItem="0"/>
  </dataFields>
  <chartFormats count="3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D2CFA0-EAE1-F94A-80DD-B759A30B9AA3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4:B15" firstHeaderRow="1" firstDataRow="1" firstDataCol="1" rowPageCount="2" colPageCount="1"/>
  <pivotFields count="21">
    <pivotField showAll="0"/>
    <pivotField showAll="0"/>
    <pivotField showAll="0"/>
    <pivotField axis="axisRow" showAll="0" sortType="ascending">
      <items count="11">
        <item x="0"/>
        <item x="8"/>
        <item x="1"/>
        <item x="3"/>
        <item x="7"/>
        <item x="2"/>
        <item x="6"/>
        <item x="5"/>
        <item x="9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2">
        <item x="0"/>
        <item t="default"/>
      </items>
    </pivotField>
    <pivotField axis="axisPage" showAll="0">
      <items count="4">
        <item x="2"/>
        <item x="0"/>
        <item x="1"/>
        <item t="default"/>
      </items>
    </pivotField>
    <pivotField axis="axisPage" showAll="0" sortType="descending">
      <items count="5">
        <item x="0"/>
        <item x="2"/>
        <item x="1"/>
        <item x="3"/>
        <item t="default"/>
      </items>
    </pivotField>
    <pivotField showAll="0"/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dataField="1" showAll="0">
      <items count="9">
        <item x="0"/>
        <item x="5"/>
        <item x="1"/>
        <item x="2"/>
        <item x="6"/>
        <item x="3"/>
        <item x="4"/>
        <item x="7"/>
        <item t="default"/>
      </items>
    </pivotField>
    <pivotField showAll="0"/>
    <pivotField showAll="0"/>
    <pivotField showAll="0"/>
    <pivotField showAll="0"/>
  </pivotFields>
  <rowFields count="1">
    <field x="3"/>
  </rowFields>
  <rowItems count="11">
    <i>
      <x/>
    </i>
    <i>
      <x v="5"/>
    </i>
    <i>
      <x v="2"/>
    </i>
    <i>
      <x v="4"/>
    </i>
    <i>
      <x v="3"/>
    </i>
    <i>
      <x v="6"/>
    </i>
    <i>
      <x v="1"/>
    </i>
    <i>
      <x v="9"/>
    </i>
    <i>
      <x v="7"/>
    </i>
    <i>
      <x v="8"/>
    </i>
    <i t="grand">
      <x/>
    </i>
  </rowItems>
  <colItems count="1">
    <i/>
  </colItems>
  <pageFields count="2">
    <pageField fld="8" hier="-1"/>
    <pageField fld="9" hier="-1"/>
  </pageFields>
  <dataFields count="1">
    <dataField name="Sum of profit" fld="16" baseField="0" baseItem="0"/>
  </dataFields>
  <chartFormats count="1">
    <chartFormat chart="0" format="9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FC0628-C578-4D42-A100-2A15970D1CB1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B39" firstHeaderRow="1" firstDataRow="1" firstDataCol="1"/>
  <pivotFields count="21">
    <pivotField showAll="0"/>
    <pivotField showAll="0"/>
    <pivotField showAll="0"/>
    <pivotField axis="axisRow" showAll="0">
      <items count="11">
        <item x="0"/>
        <item x="8"/>
        <item x="1"/>
        <item x="3"/>
        <item x="7"/>
        <item x="2"/>
        <item x="6"/>
        <item x="5"/>
        <item x="9"/>
        <item x="4"/>
        <item t="default"/>
      </items>
    </pivotField>
    <pivotField showAll="0"/>
    <pivotField showAll="0"/>
    <pivotField showAll="0"/>
    <pivotField dataField="1" showAll="0"/>
    <pivotField showAll="0"/>
    <pivotField axis="axisRow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9"/>
  </rowFields>
  <rowItems count="38">
    <i>
      <x/>
    </i>
    <i r="1">
      <x v="1"/>
    </i>
    <i r="1">
      <x v="2"/>
    </i>
    <i r="1">
      <x v="3"/>
    </i>
    <i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 v="2"/>
    </i>
    <i r="1">
      <x v="3"/>
    </i>
    <i>
      <x v="4"/>
    </i>
    <i r="1">
      <x/>
    </i>
    <i r="1">
      <x v="2"/>
    </i>
    <i r="1">
      <x v="3"/>
    </i>
    <i>
      <x v="5"/>
    </i>
    <i r="1">
      <x/>
    </i>
    <i r="1">
      <x v="1"/>
    </i>
    <i r="1">
      <x v="2"/>
    </i>
    <i r="1">
      <x v="3"/>
    </i>
    <i>
      <x v="6"/>
    </i>
    <i r="1">
      <x/>
    </i>
    <i r="1">
      <x v="1"/>
    </i>
    <i r="1">
      <x v="2"/>
    </i>
    <i r="1">
      <x v="3"/>
    </i>
    <i>
      <x v="7"/>
    </i>
    <i r="1">
      <x/>
    </i>
    <i r="1">
      <x v="3"/>
    </i>
    <i>
      <x v="8"/>
    </i>
    <i r="1">
      <x v="2"/>
    </i>
    <i>
      <x v="9"/>
    </i>
    <i r="1">
      <x/>
    </i>
    <i r="1">
      <x v="3"/>
    </i>
    <i t="grand">
      <x/>
    </i>
  </rowItems>
  <colItems count="1">
    <i/>
  </colItems>
  <dataFields count="1">
    <dataField name="Sum of Units" fld="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5"/>
  <sheetViews>
    <sheetView zoomScale="75" workbookViewId="0">
      <selection activeCell="L29" sqref="L29"/>
    </sheetView>
  </sheetViews>
  <sheetFormatPr baseColWidth="10" defaultRowHeight="16" x14ac:dyDescent="0.2"/>
  <cols>
    <col min="1" max="1" width="18.5" bestFit="1" customWidth="1"/>
    <col min="2" max="2" width="16.83203125" bestFit="1" customWidth="1"/>
    <col min="3" max="3" width="21.1640625" bestFit="1" customWidth="1"/>
  </cols>
  <sheetData>
    <row r="1" spans="1:2" x14ac:dyDescent="0.2">
      <c r="A1" s="8" t="s">
        <v>2285</v>
      </c>
      <c r="B1" t="s">
        <v>2286</v>
      </c>
    </row>
    <row r="2" spans="1:2" x14ac:dyDescent="0.2">
      <c r="A2" s="9" t="s">
        <v>2276</v>
      </c>
      <c r="B2">
        <v>750</v>
      </c>
    </row>
    <row r="3" spans="1:2" x14ac:dyDescent="0.2">
      <c r="A3" s="10" t="s">
        <v>2287</v>
      </c>
      <c r="B3">
        <v>442</v>
      </c>
    </row>
    <row r="4" spans="1:2" x14ac:dyDescent="0.2">
      <c r="A4" s="10" t="s">
        <v>2289</v>
      </c>
      <c r="B4">
        <v>286</v>
      </c>
    </row>
    <row r="5" spans="1:2" x14ac:dyDescent="0.2">
      <c r="A5" s="10" t="s">
        <v>2288</v>
      </c>
      <c r="B5">
        <v>22</v>
      </c>
    </row>
    <row r="6" spans="1:2" x14ac:dyDescent="0.2">
      <c r="A6" s="9" t="s">
        <v>2278</v>
      </c>
      <c r="B6">
        <v>567</v>
      </c>
    </row>
    <row r="7" spans="1:2" x14ac:dyDescent="0.2">
      <c r="A7" s="10" t="s">
        <v>2287</v>
      </c>
      <c r="B7">
        <v>550</v>
      </c>
    </row>
    <row r="8" spans="1:2" x14ac:dyDescent="0.2">
      <c r="A8" s="10" t="s">
        <v>2289</v>
      </c>
      <c r="B8">
        <v>17</v>
      </c>
    </row>
    <row r="9" spans="1:2" x14ac:dyDescent="0.2">
      <c r="A9" s="9" t="s">
        <v>2277</v>
      </c>
      <c r="B9">
        <v>254</v>
      </c>
    </row>
    <row r="10" spans="1:2" x14ac:dyDescent="0.2">
      <c r="A10" s="10" t="s">
        <v>2288</v>
      </c>
      <c r="B10">
        <v>241</v>
      </c>
    </row>
    <row r="11" spans="1:2" x14ac:dyDescent="0.2">
      <c r="A11" s="10" t="s">
        <v>2287</v>
      </c>
      <c r="B11">
        <v>13</v>
      </c>
    </row>
    <row r="12" spans="1:2" x14ac:dyDescent="0.2">
      <c r="A12" s="9" t="s">
        <v>2275</v>
      </c>
      <c r="B12">
        <v>57</v>
      </c>
    </row>
    <row r="13" spans="1:2" x14ac:dyDescent="0.2">
      <c r="A13" s="10" t="s">
        <v>2288</v>
      </c>
      <c r="B13">
        <v>49</v>
      </c>
    </row>
    <row r="14" spans="1:2" x14ac:dyDescent="0.2">
      <c r="A14" s="10" t="s">
        <v>2287</v>
      </c>
      <c r="B14">
        <v>8</v>
      </c>
    </row>
    <row r="15" spans="1:2" x14ac:dyDescent="0.2">
      <c r="A15" s="9" t="s">
        <v>2283</v>
      </c>
      <c r="B15">
        <v>1628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18"/>
  <sheetViews>
    <sheetView zoomScale="62" workbookViewId="0">
      <selection activeCell="E16" sqref="E16"/>
    </sheetView>
  </sheetViews>
  <sheetFormatPr baseColWidth="10" defaultRowHeight="16" x14ac:dyDescent="0.2"/>
  <cols>
    <col min="1" max="1" width="18.5" bestFit="1" customWidth="1"/>
    <col min="2" max="2" width="20" bestFit="1" customWidth="1"/>
    <col min="3" max="3" width="16" bestFit="1" customWidth="1"/>
    <col min="4" max="4" width="18.5" bestFit="1" customWidth="1"/>
  </cols>
  <sheetData>
    <row r="1" spans="1:3" x14ac:dyDescent="0.2">
      <c r="A1" s="8" t="s">
        <v>8</v>
      </c>
      <c r="B1" t="s">
        <v>2292</v>
      </c>
    </row>
    <row r="2" spans="1:3" x14ac:dyDescent="0.2">
      <c r="A2" s="8" t="s">
        <v>6</v>
      </c>
      <c r="B2" t="s">
        <v>2292</v>
      </c>
    </row>
    <row r="4" spans="1:3" x14ac:dyDescent="0.2">
      <c r="A4" s="8" t="s">
        <v>2285</v>
      </c>
      <c r="B4" t="s">
        <v>2290</v>
      </c>
      <c r="C4" t="s">
        <v>2291</v>
      </c>
    </row>
    <row r="5" spans="1:3" x14ac:dyDescent="0.2">
      <c r="A5" s="9" t="s">
        <v>2275</v>
      </c>
      <c r="B5">
        <v>7535</v>
      </c>
      <c r="C5">
        <v>3970</v>
      </c>
    </row>
    <row r="6" spans="1:3" x14ac:dyDescent="0.2">
      <c r="A6" s="10" t="s">
        <v>2287</v>
      </c>
      <c r="B6">
        <v>185</v>
      </c>
      <c r="C6">
        <v>295</v>
      </c>
    </row>
    <row r="7" spans="1:3" x14ac:dyDescent="0.2">
      <c r="A7" s="10" t="s">
        <v>2288</v>
      </c>
      <c r="B7">
        <v>7350</v>
      </c>
      <c r="C7">
        <v>3675</v>
      </c>
    </row>
    <row r="8" spans="1:3" x14ac:dyDescent="0.2">
      <c r="A8" s="9" t="s">
        <v>2278</v>
      </c>
      <c r="B8">
        <v>19205</v>
      </c>
      <c r="C8">
        <v>24550</v>
      </c>
    </row>
    <row r="9" spans="1:3" x14ac:dyDescent="0.2">
      <c r="A9" s="10" t="s">
        <v>2287</v>
      </c>
      <c r="B9">
        <v>12005</v>
      </c>
      <c r="C9">
        <v>15400</v>
      </c>
    </row>
    <row r="10" spans="1:3" x14ac:dyDescent="0.2">
      <c r="A10" s="10" t="s">
        <v>2289</v>
      </c>
      <c r="B10">
        <v>7200</v>
      </c>
      <c r="C10">
        <v>9150</v>
      </c>
    </row>
    <row r="11" spans="1:3" x14ac:dyDescent="0.2">
      <c r="A11" s="9" t="s">
        <v>2277</v>
      </c>
      <c r="B11">
        <v>65250</v>
      </c>
      <c r="C11">
        <v>105155</v>
      </c>
    </row>
    <row r="12" spans="1:3" x14ac:dyDescent="0.2">
      <c r="A12" s="10" t="s">
        <v>2287</v>
      </c>
      <c r="B12">
        <v>225</v>
      </c>
      <c r="C12">
        <v>355</v>
      </c>
    </row>
    <row r="13" spans="1:3" x14ac:dyDescent="0.2">
      <c r="A13" s="10" t="s">
        <v>2288</v>
      </c>
      <c r="B13">
        <v>65025</v>
      </c>
      <c r="C13">
        <v>104800</v>
      </c>
    </row>
    <row r="14" spans="1:3" x14ac:dyDescent="0.2">
      <c r="A14" s="9" t="s">
        <v>2276</v>
      </c>
      <c r="B14">
        <v>127390</v>
      </c>
      <c r="C14">
        <v>164940</v>
      </c>
    </row>
    <row r="15" spans="1:3" x14ac:dyDescent="0.2">
      <c r="A15" s="10" t="s">
        <v>2287</v>
      </c>
      <c r="B15">
        <v>12165</v>
      </c>
      <c r="C15">
        <v>18740</v>
      </c>
    </row>
    <row r="16" spans="1:3" x14ac:dyDescent="0.2">
      <c r="A16" s="10" t="s">
        <v>2288</v>
      </c>
      <c r="B16">
        <v>6750</v>
      </c>
      <c r="C16">
        <v>7450</v>
      </c>
    </row>
    <row r="17" spans="1:3" x14ac:dyDescent="0.2">
      <c r="A17" s="10" t="s">
        <v>2289</v>
      </c>
      <c r="B17">
        <v>108475</v>
      </c>
      <c r="C17">
        <v>138750</v>
      </c>
    </row>
    <row r="18" spans="1:3" x14ac:dyDescent="0.2">
      <c r="A18" s="9" t="s">
        <v>2283</v>
      </c>
      <c r="B18">
        <v>219380</v>
      </c>
      <c r="C18">
        <v>298615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D14"/>
  <sheetViews>
    <sheetView zoomScale="75" workbookViewId="0">
      <selection activeCell="E21" sqref="E21"/>
    </sheetView>
  </sheetViews>
  <sheetFormatPr baseColWidth="10" defaultRowHeight="16" x14ac:dyDescent="0.2"/>
  <cols>
    <col min="1" max="1" width="18.5" bestFit="1" customWidth="1"/>
    <col min="2" max="2" width="15.5" bestFit="1" customWidth="1"/>
    <col min="3" max="3" width="9.6640625" bestFit="1" customWidth="1"/>
    <col min="4" max="4" width="10.83203125" bestFit="1" customWidth="1"/>
  </cols>
  <sheetData>
    <row r="4" spans="1:4" x14ac:dyDescent="0.2">
      <c r="A4" s="8" t="s">
        <v>2286</v>
      </c>
      <c r="B4" s="8" t="s">
        <v>2297</v>
      </c>
    </row>
    <row r="5" spans="1:4" x14ac:dyDescent="0.2">
      <c r="A5" s="8" t="s">
        <v>2285</v>
      </c>
      <c r="B5" t="s">
        <v>2298</v>
      </c>
      <c r="C5" t="s">
        <v>2299</v>
      </c>
      <c r="D5" t="s">
        <v>2283</v>
      </c>
    </row>
    <row r="6" spans="1:4" x14ac:dyDescent="0.2">
      <c r="A6" s="9" t="s">
        <v>2278</v>
      </c>
      <c r="B6">
        <v>138</v>
      </c>
      <c r="C6">
        <v>429</v>
      </c>
      <c r="D6">
        <v>567</v>
      </c>
    </row>
    <row r="7" spans="1:4" x14ac:dyDescent="0.2">
      <c r="A7" s="10" t="s">
        <v>2287</v>
      </c>
      <c r="B7">
        <v>121</v>
      </c>
      <c r="C7">
        <v>429</v>
      </c>
      <c r="D7">
        <v>550</v>
      </c>
    </row>
    <row r="8" spans="1:4" x14ac:dyDescent="0.2">
      <c r="A8" s="10" t="s">
        <v>2289</v>
      </c>
      <c r="B8">
        <v>17</v>
      </c>
      <c r="D8">
        <v>17</v>
      </c>
    </row>
    <row r="9" spans="1:4" x14ac:dyDescent="0.2">
      <c r="A9" s="9" t="s">
        <v>2275</v>
      </c>
      <c r="B9">
        <v>8</v>
      </c>
      <c r="C9">
        <v>49</v>
      </c>
      <c r="D9">
        <v>57</v>
      </c>
    </row>
    <row r="10" spans="1:4" x14ac:dyDescent="0.2">
      <c r="A10" s="10" t="s">
        <v>2287</v>
      </c>
      <c r="B10">
        <v>8</v>
      </c>
      <c r="D10">
        <v>8</v>
      </c>
    </row>
    <row r="11" spans="1:4" x14ac:dyDescent="0.2">
      <c r="A11" s="10" t="s">
        <v>2288</v>
      </c>
      <c r="C11">
        <v>49</v>
      </c>
      <c r="D11">
        <v>49</v>
      </c>
    </row>
    <row r="12" spans="1:4" x14ac:dyDescent="0.2">
      <c r="A12" s="9" t="s">
        <v>2277</v>
      </c>
      <c r="B12">
        <v>249</v>
      </c>
      <c r="C12">
        <v>5</v>
      </c>
      <c r="D12">
        <v>254</v>
      </c>
    </row>
    <row r="13" spans="1:4" x14ac:dyDescent="0.2">
      <c r="A13" s="9" t="s">
        <v>2276</v>
      </c>
      <c r="B13">
        <v>740</v>
      </c>
      <c r="C13">
        <v>10</v>
      </c>
      <c r="D13">
        <v>750</v>
      </c>
    </row>
    <row r="14" spans="1:4" x14ac:dyDescent="0.2">
      <c r="A14" s="9" t="s">
        <v>2283</v>
      </c>
      <c r="B14">
        <v>1135</v>
      </c>
      <c r="C14">
        <v>493</v>
      </c>
      <c r="D14">
        <v>1628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filterMode="1"/>
  <dimension ref="A1:U1630"/>
  <sheetViews>
    <sheetView tabSelected="1" workbookViewId="0">
      <pane ySplit="2" topLeftCell="A3" activePane="bottomLeft" state="frozen"/>
      <selection activeCell="B1" sqref="B1"/>
      <selection pane="bottomLeft" activeCell="V53" sqref="V53"/>
    </sheetView>
  </sheetViews>
  <sheetFormatPr baseColWidth="10" defaultRowHeight="16" x14ac:dyDescent="0.2"/>
  <cols>
    <col min="1" max="1" width="13.5" style="2" bestFit="1" customWidth="1"/>
    <col min="2" max="2" width="7.1640625" style="2" bestFit="1" customWidth="1"/>
    <col min="3" max="3" width="11" style="2" bestFit="1" customWidth="1"/>
    <col min="4" max="4" width="24.6640625" style="2" bestFit="1" customWidth="1"/>
    <col min="5" max="5" width="10.6640625" style="2" bestFit="1" customWidth="1"/>
    <col min="6" max="6" width="20.1640625" style="2" bestFit="1" customWidth="1"/>
    <col min="7" max="7" width="14.83203125" style="2" bestFit="1" customWidth="1"/>
    <col min="8" max="8" width="5.5" style="2" bestFit="1" customWidth="1"/>
    <col min="9" max="9" width="13.5" style="2" bestFit="1" customWidth="1"/>
    <col min="10" max="10" width="13.33203125" style="2" customWidth="1"/>
    <col min="11" max="11" width="22.5" customWidth="1"/>
    <col min="12" max="13" width="13.33203125" bestFit="1" customWidth="1"/>
    <col min="14" max="14" width="17.83203125" bestFit="1" customWidth="1"/>
    <col min="15" max="15" width="13.1640625" bestFit="1" customWidth="1"/>
    <col min="16" max="16" width="9.6640625" bestFit="1" customWidth="1"/>
    <col min="21" max="21" width="23.33203125" customWidth="1"/>
  </cols>
  <sheetData>
    <row r="1" spans="1:21" x14ac:dyDescent="0.2">
      <c r="L1">
        <v>3</v>
      </c>
      <c r="M1">
        <v>4</v>
      </c>
      <c r="N1">
        <v>5</v>
      </c>
      <c r="O1">
        <v>6</v>
      </c>
      <c r="P1">
        <v>7</v>
      </c>
    </row>
    <row r="2" spans="1:21" x14ac:dyDescent="0.2">
      <c r="A2" s="3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5" t="s">
        <v>2268</v>
      </c>
      <c r="K2" s="5" t="s">
        <v>2269</v>
      </c>
      <c r="L2" s="5" t="s">
        <v>2270</v>
      </c>
      <c r="M2" s="5" t="s">
        <v>2271</v>
      </c>
      <c r="N2" s="5" t="s">
        <v>2272</v>
      </c>
      <c r="O2" s="5" t="s">
        <v>2273</v>
      </c>
      <c r="P2" s="5" t="s">
        <v>2274</v>
      </c>
      <c r="Q2" s="5" t="s">
        <v>2279</v>
      </c>
      <c r="R2" s="5" t="s">
        <v>2293</v>
      </c>
      <c r="S2" s="5" t="s">
        <v>2294</v>
      </c>
      <c r="T2" s="5" t="s">
        <v>2295</v>
      </c>
      <c r="U2" s="5" t="s">
        <v>2296</v>
      </c>
    </row>
    <row r="3" spans="1:21" x14ac:dyDescent="0.2">
      <c r="A3" s="2">
        <v>65</v>
      </c>
      <c r="B3" s="2" t="s">
        <v>9</v>
      </c>
      <c r="C3" s="2" t="s">
        <v>557</v>
      </c>
      <c r="D3" s="2" t="s">
        <v>558</v>
      </c>
      <c r="E3" s="2">
        <v>10001</v>
      </c>
      <c r="F3" s="2" t="s">
        <v>35</v>
      </c>
      <c r="G3" s="2" t="s">
        <v>36</v>
      </c>
      <c r="H3" s="2">
        <v>1</v>
      </c>
      <c r="I3" s="2" t="s">
        <v>14</v>
      </c>
      <c r="J3" s="2" t="str">
        <f>VLOOKUP(E3,[1]LL_Hub!$A$1:$B$13,2,FALSE)</f>
        <v>New York</v>
      </c>
      <c r="K3" t="str">
        <f>VLOOKUP(D3,'[2]product Table data'!$A$2:$B$12,2,FALSE)</f>
        <v>Female</v>
      </c>
      <c r="L3" t="str">
        <f>VLOOKUP($D3,'[2]product Table data'!$A$2:$G$12,L$1,FALSE)</f>
        <v>Fancy Sheek</v>
      </c>
      <c r="M3" t="str">
        <f>VLOOKUP($D3,'[2]product Table data'!$A$2:$G$12,M$1,FALSE)</f>
        <v>Afghanistan</v>
      </c>
      <c r="N3" t="str">
        <f>VLOOKUP($D3,'[2]product Table data'!$A$2:$G$12,N$1,FALSE)</f>
        <v>Middle East</v>
      </c>
      <c r="O3">
        <f>VLOOKUP($D3,'[2]product Table data'!$A$2:$G$12,O$1,FALSE)</f>
        <v>150</v>
      </c>
      <c r="P3">
        <f>VLOOKUP($D3,'[2]product Table data'!$A$2:$G$12,P$1,FALSE)</f>
        <v>75</v>
      </c>
      <c r="Q3">
        <f t="shared" ref="Q3:Q66" si="0">P3-O3</f>
        <v>-75</v>
      </c>
      <c r="R3" t="str">
        <f t="shared" ref="R3:R66" si="1">IF(OR(J3="Los Angeles",J3="Denver"),"Hub Risk","-")</f>
        <v>-</v>
      </c>
      <c r="S3" t="str">
        <f t="shared" ref="S3:S66" si="2">IF(OR(L3="Casual n Light",L3="Fancy Sheek"),"Style Risk","-")</f>
        <v>Style Risk</v>
      </c>
      <c r="T3" t="str">
        <f t="shared" ref="T3:T66" si="3">IF(AND(R3="Hub Risk", S3="Style Risk"), "Risk", "-")</f>
        <v>-</v>
      </c>
      <c r="U3" t="str">
        <f t="shared" ref="U3:U66" si="4">IF(Q3&lt;=5, "Low Value", "High Value")</f>
        <v>Low Value</v>
      </c>
    </row>
    <row r="4" spans="1:21" hidden="1" x14ac:dyDescent="0.2">
      <c r="A4" s="2">
        <v>4</v>
      </c>
      <c r="B4" s="2" t="s">
        <v>9</v>
      </c>
      <c r="C4" s="2" t="s">
        <v>15</v>
      </c>
      <c r="D4" s="2" t="s">
        <v>11</v>
      </c>
      <c r="E4" s="2">
        <v>10001</v>
      </c>
      <c r="F4" s="2" t="s">
        <v>16</v>
      </c>
      <c r="G4" s="2" t="s">
        <v>13</v>
      </c>
      <c r="H4" s="2">
        <v>1</v>
      </c>
      <c r="I4" s="2" t="s">
        <v>17</v>
      </c>
      <c r="J4" s="2" t="str">
        <f>VLOOKUP(E4,[1]LL_Hub!$A$1:$B$13,2,FALSE)</f>
        <v>New York</v>
      </c>
      <c r="K4" t="str">
        <f>VLOOKUP(D4,'[2]product Table data'!$A$2:$B$12,2,FALSE)</f>
        <v>Male</v>
      </c>
      <c r="L4" t="str">
        <f>VLOOKUP($D4,'[2]product Table data'!$A$2:$G$12,L$1,FALSE)</f>
        <v>Casual n Light</v>
      </c>
      <c r="M4" t="str">
        <f>VLOOKUP($D4,'[2]product Table data'!$A$2:$G$12,M$1,FALSE)</f>
        <v>Ethiopia</v>
      </c>
      <c r="N4" t="str">
        <f>VLOOKUP($D4,'[2]product Table data'!$A$2:$G$12,N$1,FALSE)</f>
        <v>Africa</v>
      </c>
      <c r="O4">
        <f>VLOOKUP($D4,'[2]product Table data'!$A$2:$G$12,O$1,FALSE)</f>
        <v>10</v>
      </c>
      <c r="P4">
        <f>VLOOKUP($D4,'[2]product Table data'!$A$2:$G$12,P$1,FALSE)</f>
        <v>20</v>
      </c>
      <c r="Q4">
        <f t="shared" si="0"/>
        <v>10</v>
      </c>
      <c r="R4" t="str">
        <f t="shared" si="1"/>
        <v>-</v>
      </c>
      <c r="S4" t="str">
        <f t="shared" si="2"/>
        <v>Style Risk</v>
      </c>
      <c r="T4" t="str">
        <f t="shared" si="3"/>
        <v>-</v>
      </c>
      <c r="U4" t="str">
        <f t="shared" si="4"/>
        <v>High Value</v>
      </c>
    </row>
    <row r="5" spans="1:21" hidden="1" x14ac:dyDescent="0.2">
      <c r="A5" s="2">
        <v>7</v>
      </c>
      <c r="B5" s="2" t="s">
        <v>9</v>
      </c>
      <c r="C5" s="2" t="s">
        <v>18</v>
      </c>
      <c r="D5" s="2" t="s">
        <v>19</v>
      </c>
      <c r="E5" s="2">
        <v>10001</v>
      </c>
      <c r="F5" s="2" t="s">
        <v>20</v>
      </c>
      <c r="G5" s="2" t="s">
        <v>13</v>
      </c>
      <c r="H5" s="2">
        <v>1</v>
      </c>
      <c r="I5" s="2" t="s">
        <v>17</v>
      </c>
      <c r="J5" s="2" t="str">
        <f>VLOOKUP(E5,[1]LL_Hub!$A$1:$B$13,2,FALSE)</f>
        <v>New York</v>
      </c>
      <c r="K5" t="str">
        <f>VLOOKUP(D5,'[2]product Table data'!$A$2:$B$12,2,FALSE)</f>
        <v>Male</v>
      </c>
      <c r="L5" t="str">
        <f>VLOOKUP($D5,'[2]product Table data'!$A$2:$G$12,L$1,FALSE)</f>
        <v>Casual n Light</v>
      </c>
      <c r="M5" t="str">
        <f>VLOOKUP($D5,'[2]product Table data'!$A$2:$G$12,M$1,FALSE)</f>
        <v>Kenya</v>
      </c>
      <c r="N5" t="str">
        <f>VLOOKUP($D5,'[2]product Table data'!$A$2:$G$12,N$1,FALSE)</f>
        <v>Africa</v>
      </c>
      <c r="O5">
        <f>VLOOKUP($D5,'[2]product Table data'!$A$2:$G$12,O$1,FALSE)</f>
        <v>15</v>
      </c>
      <c r="P5">
        <f>VLOOKUP($D5,'[2]product Table data'!$A$2:$G$12,P$1,FALSE)</f>
        <v>30</v>
      </c>
      <c r="Q5">
        <f t="shared" si="0"/>
        <v>15</v>
      </c>
      <c r="R5" t="str">
        <f t="shared" si="1"/>
        <v>-</v>
      </c>
      <c r="S5" t="str">
        <f t="shared" si="2"/>
        <v>Style Risk</v>
      </c>
      <c r="T5" t="str">
        <f t="shared" si="3"/>
        <v>-</v>
      </c>
      <c r="U5" t="str">
        <f t="shared" si="4"/>
        <v>High Value</v>
      </c>
    </row>
    <row r="6" spans="1:21" hidden="1" x14ac:dyDescent="0.2">
      <c r="A6" s="2">
        <v>9</v>
      </c>
      <c r="B6" s="2" t="s">
        <v>9</v>
      </c>
      <c r="C6" s="2" t="s">
        <v>21</v>
      </c>
      <c r="D6" s="2" t="s">
        <v>22</v>
      </c>
      <c r="E6" s="2">
        <v>10001</v>
      </c>
      <c r="F6" s="2" t="s">
        <v>23</v>
      </c>
      <c r="G6" s="2" t="s">
        <v>13</v>
      </c>
      <c r="H6" s="2">
        <v>1</v>
      </c>
      <c r="I6" s="2" t="s">
        <v>17</v>
      </c>
      <c r="J6" s="2" t="str">
        <f>VLOOKUP(E6,[1]LL_Hub!$A$1:$B$13,2,FALSE)</f>
        <v>New York</v>
      </c>
      <c r="K6" t="str">
        <f>VLOOKUP(D6,'[2]product Table data'!$A$2:$B$12,2,FALSE)</f>
        <v>Male</v>
      </c>
      <c r="L6" t="str">
        <f>VLOOKUP($D6,'[2]product Table data'!$A$2:$G$12,L$1,FALSE)</f>
        <v>Fancy Sheek</v>
      </c>
      <c r="M6" t="str">
        <f>VLOOKUP($D6,'[2]product Table data'!$A$2:$G$12,M$1,FALSE)</f>
        <v>Afghanistan</v>
      </c>
      <c r="N6" t="str">
        <f>VLOOKUP($D6,'[2]product Table data'!$A$2:$G$12,N$1,FALSE)</f>
        <v>Middle East</v>
      </c>
      <c r="O6">
        <f>VLOOKUP($D6,'[2]product Table data'!$A$2:$G$12,O$1,FALSE)</f>
        <v>450</v>
      </c>
      <c r="P6">
        <f>VLOOKUP($D6,'[2]product Table data'!$A$2:$G$12,P$1,FALSE)</f>
        <v>550</v>
      </c>
      <c r="Q6">
        <f t="shared" si="0"/>
        <v>100</v>
      </c>
      <c r="R6" t="str">
        <f t="shared" si="1"/>
        <v>-</v>
      </c>
      <c r="S6" t="str">
        <f t="shared" si="2"/>
        <v>Style Risk</v>
      </c>
      <c r="T6" t="str">
        <f t="shared" si="3"/>
        <v>-</v>
      </c>
      <c r="U6" t="str">
        <f t="shared" si="4"/>
        <v>High Value</v>
      </c>
    </row>
    <row r="7" spans="1:21" hidden="1" x14ac:dyDescent="0.2">
      <c r="A7" s="2">
        <v>10</v>
      </c>
      <c r="B7" s="2" t="s">
        <v>9</v>
      </c>
      <c r="C7" s="2" t="s">
        <v>24</v>
      </c>
      <c r="D7" s="2" t="s">
        <v>19</v>
      </c>
      <c r="E7" s="2">
        <v>10001</v>
      </c>
      <c r="F7" s="2" t="s">
        <v>25</v>
      </c>
      <c r="G7" s="2" t="s">
        <v>13</v>
      </c>
      <c r="H7" s="2">
        <v>1</v>
      </c>
      <c r="I7" s="2" t="s">
        <v>17</v>
      </c>
      <c r="J7" s="2" t="str">
        <f>VLOOKUP(E7,[1]LL_Hub!$A$1:$B$13,2,FALSE)</f>
        <v>New York</v>
      </c>
      <c r="K7" t="str">
        <f>VLOOKUP(D7,'[2]product Table data'!$A$2:$B$12,2,FALSE)</f>
        <v>Male</v>
      </c>
      <c r="L7" t="str">
        <f>VLOOKUP($D7,'[2]product Table data'!$A$2:$G$12,L$1,FALSE)</f>
        <v>Casual n Light</v>
      </c>
      <c r="M7" t="str">
        <f>VLOOKUP($D7,'[2]product Table data'!$A$2:$G$12,M$1,FALSE)</f>
        <v>Kenya</v>
      </c>
      <c r="N7" t="str">
        <f>VLOOKUP($D7,'[2]product Table data'!$A$2:$G$12,N$1,FALSE)</f>
        <v>Africa</v>
      </c>
      <c r="O7">
        <f>VLOOKUP($D7,'[2]product Table data'!$A$2:$G$12,O$1,FALSE)</f>
        <v>15</v>
      </c>
      <c r="P7">
        <f>VLOOKUP($D7,'[2]product Table data'!$A$2:$G$12,P$1,FALSE)</f>
        <v>30</v>
      </c>
      <c r="Q7">
        <f t="shared" si="0"/>
        <v>15</v>
      </c>
      <c r="R7" t="str">
        <f t="shared" si="1"/>
        <v>-</v>
      </c>
      <c r="S7" t="str">
        <f t="shared" si="2"/>
        <v>Style Risk</v>
      </c>
      <c r="T7" t="str">
        <f t="shared" si="3"/>
        <v>-</v>
      </c>
      <c r="U7" t="str">
        <f t="shared" si="4"/>
        <v>High Value</v>
      </c>
    </row>
    <row r="8" spans="1:21" hidden="1" x14ac:dyDescent="0.2">
      <c r="A8" s="2">
        <v>11</v>
      </c>
      <c r="B8" s="2" t="s">
        <v>9</v>
      </c>
      <c r="C8" s="2" t="s">
        <v>26</v>
      </c>
      <c r="D8" s="2" t="s">
        <v>22</v>
      </c>
      <c r="E8" s="2">
        <v>10001</v>
      </c>
      <c r="F8" s="2" t="s">
        <v>27</v>
      </c>
      <c r="G8" s="2" t="s">
        <v>13</v>
      </c>
      <c r="H8" s="2">
        <v>1</v>
      </c>
      <c r="I8" s="2" t="s">
        <v>17</v>
      </c>
      <c r="J8" s="2" t="str">
        <f>VLOOKUP(E8,[1]LL_Hub!$A$1:$B$13,2,FALSE)</f>
        <v>New York</v>
      </c>
      <c r="K8" t="str">
        <f>VLOOKUP(D8,'[2]product Table data'!$A$2:$B$12,2,FALSE)</f>
        <v>Male</v>
      </c>
      <c r="L8" t="str">
        <f>VLOOKUP($D8,'[2]product Table data'!$A$2:$G$12,L$1,FALSE)</f>
        <v>Fancy Sheek</v>
      </c>
      <c r="M8" t="str">
        <f>VLOOKUP($D8,'[2]product Table data'!$A$2:$G$12,M$1,FALSE)</f>
        <v>Afghanistan</v>
      </c>
      <c r="N8" t="str">
        <f>VLOOKUP($D8,'[2]product Table data'!$A$2:$G$12,N$1,FALSE)</f>
        <v>Middle East</v>
      </c>
      <c r="O8">
        <f>VLOOKUP($D8,'[2]product Table data'!$A$2:$G$12,O$1,FALSE)</f>
        <v>450</v>
      </c>
      <c r="P8">
        <f>VLOOKUP($D8,'[2]product Table data'!$A$2:$G$12,P$1,FALSE)</f>
        <v>550</v>
      </c>
      <c r="Q8">
        <f t="shared" si="0"/>
        <v>100</v>
      </c>
      <c r="R8" t="str">
        <f t="shared" si="1"/>
        <v>-</v>
      </c>
      <c r="S8" t="str">
        <f t="shared" si="2"/>
        <v>Style Risk</v>
      </c>
      <c r="T8" t="str">
        <f t="shared" si="3"/>
        <v>-</v>
      </c>
      <c r="U8" t="str">
        <f t="shared" si="4"/>
        <v>High Value</v>
      </c>
    </row>
    <row r="9" spans="1:21" hidden="1" x14ac:dyDescent="0.2">
      <c r="A9" s="2">
        <v>12</v>
      </c>
      <c r="B9" s="2" t="s">
        <v>9</v>
      </c>
      <c r="C9" s="2" t="s">
        <v>28</v>
      </c>
      <c r="D9" s="2" t="s">
        <v>19</v>
      </c>
      <c r="E9" s="2">
        <v>10001</v>
      </c>
      <c r="F9" s="2" t="s">
        <v>29</v>
      </c>
      <c r="G9" s="2" t="s">
        <v>13</v>
      </c>
      <c r="H9" s="2">
        <v>1</v>
      </c>
      <c r="I9" s="2" t="s">
        <v>17</v>
      </c>
      <c r="J9" s="2" t="str">
        <f>VLOOKUP(E9,[1]LL_Hub!$A$1:$B$13,2,FALSE)</f>
        <v>New York</v>
      </c>
      <c r="K9" t="str">
        <f>VLOOKUP(D9,'[2]product Table data'!$A$2:$B$12,2,FALSE)</f>
        <v>Male</v>
      </c>
      <c r="L9" t="str">
        <f>VLOOKUP($D9,'[2]product Table data'!$A$2:$G$12,L$1,FALSE)</f>
        <v>Casual n Light</v>
      </c>
      <c r="M9" t="str">
        <f>VLOOKUP($D9,'[2]product Table data'!$A$2:$G$12,M$1,FALSE)</f>
        <v>Kenya</v>
      </c>
      <c r="N9" t="str">
        <f>VLOOKUP($D9,'[2]product Table data'!$A$2:$G$12,N$1,FALSE)</f>
        <v>Africa</v>
      </c>
      <c r="O9">
        <f>VLOOKUP($D9,'[2]product Table data'!$A$2:$G$12,O$1,FALSE)</f>
        <v>15</v>
      </c>
      <c r="P9">
        <f>VLOOKUP($D9,'[2]product Table data'!$A$2:$G$12,P$1,FALSE)</f>
        <v>30</v>
      </c>
      <c r="Q9">
        <f t="shared" si="0"/>
        <v>15</v>
      </c>
      <c r="R9" t="str">
        <f t="shared" si="1"/>
        <v>-</v>
      </c>
      <c r="S9" t="str">
        <f t="shared" si="2"/>
        <v>Style Risk</v>
      </c>
      <c r="T9" t="str">
        <f t="shared" si="3"/>
        <v>-</v>
      </c>
      <c r="U9" t="str">
        <f t="shared" si="4"/>
        <v>High Value</v>
      </c>
    </row>
    <row r="10" spans="1:21" hidden="1" x14ac:dyDescent="0.2">
      <c r="A10" s="2">
        <v>14</v>
      </c>
      <c r="B10" s="2" t="s">
        <v>9</v>
      </c>
      <c r="C10" s="2" t="s">
        <v>30</v>
      </c>
      <c r="D10" s="2" t="s">
        <v>19</v>
      </c>
      <c r="E10" s="2">
        <v>10001</v>
      </c>
      <c r="F10" s="2" t="s">
        <v>31</v>
      </c>
      <c r="G10" s="2" t="s">
        <v>13</v>
      </c>
      <c r="H10" s="2">
        <v>1</v>
      </c>
      <c r="I10" s="2" t="s">
        <v>17</v>
      </c>
      <c r="J10" s="2" t="str">
        <f>VLOOKUP(E10,[1]LL_Hub!$A$1:$B$13,2,FALSE)</f>
        <v>New York</v>
      </c>
      <c r="K10" t="str">
        <f>VLOOKUP(D10,'[2]product Table data'!$A$2:$B$12,2,FALSE)</f>
        <v>Male</v>
      </c>
      <c r="L10" t="str">
        <f>VLOOKUP($D10,'[2]product Table data'!$A$2:$G$12,L$1,FALSE)</f>
        <v>Casual n Light</v>
      </c>
      <c r="M10" t="str">
        <f>VLOOKUP($D10,'[2]product Table data'!$A$2:$G$12,M$1,FALSE)</f>
        <v>Kenya</v>
      </c>
      <c r="N10" t="str">
        <f>VLOOKUP($D10,'[2]product Table data'!$A$2:$G$12,N$1,FALSE)</f>
        <v>Africa</v>
      </c>
      <c r="O10">
        <f>VLOOKUP($D10,'[2]product Table data'!$A$2:$G$12,O$1,FALSE)</f>
        <v>15</v>
      </c>
      <c r="P10">
        <f>VLOOKUP($D10,'[2]product Table data'!$A$2:$G$12,P$1,FALSE)</f>
        <v>30</v>
      </c>
      <c r="Q10">
        <f t="shared" si="0"/>
        <v>15</v>
      </c>
      <c r="R10" t="str">
        <f t="shared" si="1"/>
        <v>-</v>
      </c>
      <c r="S10" t="str">
        <f t="shared" si="2"/>
        <v>Style Risk</v>
      </c>
      <c r="T10" t="str">
        <f t="shared" si="3"/>
        <v>-</v>
      </c>
      <c r="U10" t="str">
        <f t="shared" si="4"/>
        <v>High Value</v>
      </c>
    </row>
    <row r="11" spans="1:21" hidden="1" x14ac:dyDescent="0.2">
      <c r="A11" s="2">
        <v>17</v>
      </c>
      <c r="B11" s="2" t="s">
        <v>9</v>
      </c>
      <c r="C11" s="2" t="s">
        <v>32</v>
      </c>
      <c r="D11" s="2" t="s">
        <v>22</v>
      </c>
      <c r="E11" s="2">
        <v>10001</v>
      </c>
      <c r="F11" s="2" t="s">
        <v>33</v>
      </c>
      <c r="G11" s="2" t="s">
        <v>13</v>
      </c>
      <c r="H11" s="2">
        <v>1</v>
      </c>
      <c r="I11" s="2" t="s">
        <v>17</v>
      </c>
      <c r="J11" s="2" t="str">
        <f>VLOOKUP(E11,[1]LL_Hub!$A$1:$B$13,2,FALSE)</f>
        <v>New York</v>
      </c>
      <c r="K11" t="str">
        <f>VLOOKUP(D11,'[2]product Table data'!$A$2:$B$12,2,FALSE)</f>
        <v>Male</v>
      </c>
      <c r="L11" t="str">
        <f>VLOOKUP($D11,'[2]product Table data'!$A$2:$G$12,L$1,FALSE)</f>
        <v>Fancy Sheek</v>
      </c>
      <c r="M11" t="str">
        <f>VLOOKUP($D11,'[2]product Table data'!$A$2:$G$12,M$1,FALSE)</f>
        <v>Afghanistan</v>
      </c>
      <c r="N11" t="str">
        <f>VLOOKUP($D11,'[2]product Table data'!$A$2:$G$12,N$1,FALSE)</f>
        <v>Middle East</v>
      </c>
      <c r="O11">
        <f>VLOOKUP($D11,'[2]product Table data'!$A$2:$G$12,O$1,FALSE)</f>
        <v>450</v>
      </c>
      <c r="P11">
        <f>VLOOKUP($D11,'[2]product Table data'!$A$2:$G$12,P$1,FALSE)</f>
        <v>550</v>
      </c>
      <c r="Q11">
        <f t="shared" si="0"/>
        <v>100</v>
      </c>
      <c r="R11" t="str">
        <f t="shared" si="1"/>
        <v>-</v>
      </c>
      <c r="S11" t="str">
        <f t="shared" si="2"/>
        <v>Style Risk</v>
      </c>
      <c r="T11" t="str">
        <f t="shared" si="3"/>
        <v>-</v>
      </c>
      <c r="U11" t="str">
        <f t="shared" si="4"/>
        <v>High Value</v>
      </c>
    </row>
    <row r="12" spans="1:21" hidden="1" x14ac:dyDescent="0.2">
      <c r="A12" s="2">
        <v>19</v>
      </c>
      <c r="B12" s="2" t="s">
        <v>9</v>
      </c>
      <c r="C12" s="2" t="s">
        <v>34</v>
      </c>
      <c r="D12" s="2" t="s">
        <v>22</v>
      </c>
      <c r="E12" s="2">
        <v>10001</v>
      </c>
      <c r="F12" s="2" t="s">
        <v>35</v>
      </c>
      <c r="G12" s="2" t="s">
        <v>36</v>
      </c>
      <c r="H12" s="2">
        <v>1</v>
      </c>
      <c r="I12" s="2" t="s">
        <v>17</v>
      </c>
      <c r="J12" s="2" t="str">
        <f>VLOOKUP(E12,[1]LL_Hub!$A$1:$B$13,2,FALSE)</f>
        <v>New York</v>
      </c>
      <c r="K12" t="str">
        <f>VLOOKUP(D12,'[2]product Table data'!$A$2:$B$12,2,FALSE)</f>
        <v>Male</v>
      </c>
      <c r="L12" t="str">
        <f>VLOOKUP($D12,'[2]product Table data'!$A$2:$G$12,L$1,FALSE)</f>
        <v>Fancy Sheek</v>
      </c>
      <c r="M12" t="str">
        <f>VLOOKUP($D12,'[2]product Table data'!$A$2:$G$12,M$1,FALSE)</f>
        <v>Afghanistan</v>
      </c>
      <c r="N12" t="str">
        <f>VLOOKUP($D12,'[2]product Table data'!$A$2:$G$12,N$1,FALSE)</f>
        <v>Middle East</v>
      </c>
      <c r="O12">
        <f>VLOOKUP($D12,'[2]product Table data'!$A$2:$G$12,O$1,FALSE)</f>
        <v>450</v>
      </c>
      <c r="P12">
        <f>VLOOKUP($D12,'[2]product Table data'!$A$2:$G$12,P$1,FALSE)</f>
        <v>550</v>
      </c>
      <c r="Q12">
        <f t="shared" si="0"/>
        <v>100</v>
      </c>
      <c r="R12" t="str">
        <f t="shared" si="1"/>
        <v>-</v>
      </c>
      <c r="S12" t="str">
        <f t="shared" si="2"/>
        <v>Style Risk</v>
      </c>
      <c r="T12" t="str">
        <f t="shared" si="3"/>
        <v>-</v>
      </c>
      <c r="U12" t="str">
        <f t="shared" si="4"/>
        <v>High Value</v>
      </c>
    </row>
    <row r="13" spans="1:21" hidden="1" x14ac:dyDescent="0.2">
      <c r="A13" s="2">
        <v>21</v>
      </c>
      <c r="B13" s="2" t="s">
        <v>9</v>
      </c>
      <c r="C13" s="2" t="s">
        <v>37</v>
      </c>
      <c r="D13" s="2" t="s">
        <v>22</v>
      </c>
      <c r="E13" s="2">
        <v>10001</v>
      </c>
      <c r="F13" s="2" t="s">
        <v>38</v>
      </c>
      <c r="G13" s="2" t="s">
        <v>36</v>
      </c>
      <c r="H13" s="2">
        <v>1</v>
      </c>
      <c r="I13" s="2" t="s">
        <v>39</v>
      </c>
      <c r="J13" s="2" t="str">
        <f>VLOOKUP(E13,[1]LL_Hub!$A$1:$B$13,2,FALSE)</f>
        <v>New York</v>
      </c>
      <c r="K13" t="str">
        <f>VLOOKUP(D13,'[2]product Table data'!$A$2:$B$12,2,FALSE)</f>
        <v>Male</v>
      </c>
      <c r="L13" t="str">
        <f>VLOOKUP($D13,'[2]product Table data'!$A$2:$G$12,L$1,FALSE)</f>
        <v>Fancy Sheek</v>
      </c>
      <c r="M13" t="str">
        <f>VLOOKUP($D13,'[2]product Table data'!$A$2:$G$12,M$1,FALSE)</f>
        <v>Afghanistan</v>
      </c>
      <c r="N13" t="str">
        <f>VLOOKUP($D13,'[2]product Table data'!$A$2:$G$12,N$1,FALSE)</f>
        <v>Middle East</v>
      </c>
      <c r="O13">
        <f>VLOOKUP($D13,'[2]product Table data'!$A$2:$G$12,O$1,FALSE)</f>
        <v>450</v>
      </c>
      <c r="P13">
        <f>VLOOKUP($D13,'[2]product Table data'!$A$2:$G$12,P$1,FALSE)</f>
        <v>550</v>
      </c>
      <c r="Q13">
        <f t="shared" si="0"/>
        <v>100</v>
      </c>
      <c r="R13" t="str">
        <f t="shared" si="1"/>
        <v>-</v>
      </c>
      <c r="S13" t="str">
        <f t="shared" si="2"/>
        <v>Style Risk</v>
      </c>
      <c r="T13" t="str">
        <f t="shared" si="3"/>
        <v>-</v>
      </c>
      <c r="U13" t="str">
        <f t="shared" si="4"/>
        <v>High Value</v>
      </c>
    </row>
    <row r="14" spans="1:21" hidden="1" x14ac:dyDescent="0.2">
      <c r="A14" s="2">
        <v>23</v>
      </c>
      <c r="B14" s="2" t="s">
        <v>9</v>
      </c>
      <c r="C14" s="2" t="s">
        <v>40</v>
      </c>
      <c r="D14" s="2" t="s">
        <v>41</v>
      </c>
      <c r="E14" s="2">
        <v>10001</v>
      </c>
      <c r="F14" s="2" t="s">
        <v>42</v>
      </c>
      <c r="G14" s="2" t="s">
        <v>36</v>
      </c>
      <c r="H14" s="2">
        <v>1</v>
      </c>
      <c r="I14" s="2" t="s">
        <v>39</v>
      </c>
      <c r="J14" s="2" t="str">
        <f>VLOOKUP(E14,[1]LL_Hub!$A$1:$B$13,2,FALSE)</f>
        <v>New York</v>
      </c>
      <c r="K14" t="str">
        <f>VLOOKUP(D14,'[2]product Table data'!$A$2:$B$12,2,FALSE)</f>
        <v>Male</v>
      </c>
      <c r="L14" t="str">
        <f>VLOOKUP($D14,'[2]product Table data'!$A$2:$G$12,L$1,FALSE)</f>
        <v>Winter Warmth</v>
      </c>
      <c r="M14" t="str">
        <f>VLOOKUP($D14,'[2]product Table data'!$A$2:$G$12,M$1,FALSE)</f>
        <v>Moldova</v>
      </c>
      <c r="N14" t="str">
        <f>VLOOKUP($D14,'[2]product Table data'!$A$2:$G$12,N$1,FALSE)</f>
        <v>Eastern Europe</v>
      </c>
      <c r="O14">
        <f>VLOOKUP($D14,'[2]product Table data'!$A$2:$G$12,O$1,FALSE)</f>
        <v>475</v>
      </c>
      <c r="P14">
        <f>VLOOKUP($D14,'[2]product Table data'!$A$2:$G$12,P$1,FALSE)</f>
        <v>600</v>
      </c>
      <c r="Q14">
        <f t="shared" si="0"/>
        <v>125</v>
      </c>
      <c r="R14" t="str">
        <f t="shared" si="1"/>
        <v>-</v>
      </c>
      <c r="S14" t="str">
        <f t="shared" si="2"/>
        <v>-</v>
      </c>
      <c r="T14" t="str">
        <f t="shared" si="3"/>
        <v>-</v>
      </c>
      <c r="U14" t="str">
        <f t="shared" si="4"/>
        <v>High Value</v>
      </c>
    </row>
    <row r="15" spans="1:21" hidden="1" x14ac:dyDescent="0.2">
      <c r="A15" s="2">
        <v>25</v>
      </c>
      <c r="B15" s="2" t="s">
        <v>9</v>
      </c>
      <c r="C15" s="2" t="s">
        <v>43</v>
      </c>
      <c r="D15" s="2" t="s">
        <v>19</v>
      </c>
      <c r="E15" s="2">
        <v>10001</v>
      </c>
      <c r="F15" s="2" t="s">
        <v>35</v>
      </c>
      <c r="G15" s="2" t="s">
        <v>36</v>
      </c>
      <c r="H15" s="2">
        <v>1</v>
      </c>
      <c r="I15" s="2" t="s">
        <v>17</v>
      </c>
      <c r="J15" s="2" t="str">
        <f>VLOOKUP(E15,[1]LL_Hub!$A$1:$B$13,2,FALSE)</f>
        <v>New York</v>
      </c>
      <c r="K15" t="str">
        <f>VLOOKUP(D15,'[2]product Table data'!$A$2:$B$12,2,FALSE)</f>
        <v>Male</v>
      </c>
      <c r="L15" t="str">
        <f>VLOOKUP($D15,'[2]product Table data'!$A$2:$G$12,L$1,FALSE)</f>
        <v>Casual n Light</v>
      </c>
      <c r="M15" t="str">
        <f>VLOOKUP($D15,'[2]product Table data'!$A$2:$G$12,M$1,FALSE)</f>
        <v>Kenya</v>
      </c>
      <c r="N15" t="str">
        <f>VLOOKUP($D15,'[2]product Table data'!$A$2:$G$12,N$1,FALSE)</f>
        <v>Africa</v>
      </c>
      <c r="O15">
        <f>VLOOKUP($D15,'[2]product Table data'!$A$2:$G$12,O$1,FALSE)</f>
        <v>15</v>
      </c>
      <c r="P15">
        <f>VLOOKUP($D15,'[2]product Table data'!$A$2:$G$12,P$1,FALSE)</f>
        <v>30</v>
      </c>
      <c r="Q15">
        <f t="shared" si="0"/>
        <v>15</v>
      </c>
      <c r="R15" t="str">
        <f t="shared" si="1"/>
        <v>-</v>
      </c>
      <c r="S15" t="str">
        <f t="shared" si="2"/>
        <v>Style Risk</v>
      </c>
      <c r="T15" t="str">
        <f t="shared" si="3"/>
        <v>-</v>
      </c>
      <c r="U15" t="str">
        <f t="shared" si="4"/>
        <v>High Value</v>
      </c>
    </row>
    <row r="16" spans="1:21" hidden="1" x14ac:dyDescent="0.2">
      <c r="A16" s="2">
        <v>28</v>
      </c>
      <c r="B16" s="2" t="s">
        <v>9</v>
      </c>
      <c r="C16" s="2" t="s">
        <v>44</v>
      </c>
      <c r="D16" s="2" t="s">
        <v>45</v>
      </c>
      <c r="E16" s="2">
        <v>10001</v>
      </c>
      <c r="F16" s="2" t="s">
        <v>35</v>
      </c>
      <c r="G16" s="2" t="s">
        <v>36</v>
      </c>
      <c r="H16" s="2">
        <v>1</v>
      </c>
      <c r="I16" s="2" t="s">
        <v>39</v>
      </c>
      <c r="J16" s="2" t="str">
        <f>VLOOKUP(E16,[1]LL_Hub!$A$1:$B$13,2,FALSE)</f>
        <v>New York</v>
      </c>
      <c r="K16" t="str">
        <f>VLOOKUP(D16,'[2]product Table data'!$A$2:$B$12,2,FALSE)</f>
        <v>Female</v>
      </c>
      <c r="L16" t="str">
        <f>VLOOKUP($D16,'[2]product Table data'!$A$2:$G$12,L$1,FALSE)</f>
        <v>Winter Warmth</v>
      </c>
      <c r="M16" t="str">
        <f>VLOOKUP($D16,'[2]product Table data'!$A$2:$G$12,M$1,FALSE)</f>
        <v>Romania</v>
      </c>
      <c r="N16" t="str">
        <f>VLOOKUP($D16,'[2]product Table data'!$A$2:$G$12,N$1,FALSE)</f>
        <v>Eastern Europe</v>
      </c>
      <c r="O16">
        <f>VLOOKUP($D16,'[2]product Table data'!$A$2:$G$12,O$1,FALSE)</f>
        <v>350</v>
      </c>
      <c r="P16">
        <f>VLOOKUP($D16,'[2]product Table data'!$A$2:$G$12,P$1,FALSE)</f>
        <v>450</v>
      </c>
      <c r="Q16">
        <f t="shared" si="0"/>
        <v>100</v>
      </c>
      <c r="R16" t="str">
        <f t="shared" si="1"/>
        <v>-</v>
      </c>
      <c r="S16" t="str">
        <f t="shared" si="2"/>
        <v>-</v>
      </c>
      <c r="T16" t="str">
        <f t="shared" si="3"/>
        <v>-</v>
      </c>
      <c r="U16" t="str">
        <f t="shared" si="4"/>
        <v>High Value</v>
      </c>
    </row>
    <row r="17" spans="1:21" hidden="1" x14ac:dyDescent="0.2">
      <c r="A17" s="2">
        <v>29</v>
      </c>
      <c r="B17" s="2" t="s">
        <v>9</v>
      </c>
      <c r="C17" s="2" t="s">
        <v>46</v>
      </c>
      <c r="D17" s="2" t="s">
        <v>41</v>
      </c>
      <c r="E17" s="2">
        <v>10001</v>
      </c>
      <c r="F17" s="2" t="s">
        <v>42</v>
      </c>
      <c r="G17" s="2" t="s">
        <v>36</v>
      </c>
      <c r="H17" s="2">
        <v>1</v>
      </c>
      <c r="I17" s="2" t="s">
        <v>39</v>
      </c>
      <c r="J17" s="2" t="str">
        <f>VLOOKUP(E17,[1]LL_Hub!$A$1:$B$13,2,FALSE)</f>
        <v>New York</v>
      </c>
      <c r="K17" t="str">
        <f>VLOOKUP(D17,'[2]product Table data'!$A$2:$B$12,2,FALSE)</f>
        <v>Male</v>
      </c>
      <c r="L17" t="str">
        <f>VLOOKUP($D17,'[2]product Table data'!$A$2:$G$12,L$1,FALSE)</f>
        <v>Winter Warmth</v>
      </c>
      <c r="M17" t="str">
        <f>VLOOKUP($D17,'[2]product Table data'!$A$2:$G$12,M$1,FALSE)</f>
        <v>Moldova</v>
      </c>
      <c r="N17" t="str">
        <f>VLOOKUP($D17,'[2]product Table data'!$A$2:$G$12,N$1,FALSE)</f>
        <v>Eastern Europe</v>
      </c>
      <c r="O17">
        <f>VLOOKUP($D17,'[2]product Table data'!$A$2:$G$12,O$1,FALSE)</f>
        <v>475</v>
      </c>
      <c r="P17">
        <f>VLOOKUP($D17,'[2]product Table data'!$A$2:$G$12,P$1,FALSE)</f>
        <v>600</v>
      </c>
      <c r="Q17">
        <f t="shared" si="0"/>
        <v>125</v>
      </c>
      <c r="R17" t="str">
        <f t="shared" si="1"/>
        <v>-</v>
      </c>
      <c r="S17" t="str">
        <f t="shared" si="2"/>
        <v>-</v>
      </c>
      <c r="T17" t="str">
        <f t="shared" si="3"/>
        <v>-</v>
      </c>
      <c r="U17" t="str">
        <f t="shared" si="4"/>
        <v>High Value</v>
      </c>
    </row>
    <row r="18" spans="1:21" hidden="1" x14ac:dyDescent="0.2">
      <c r="A18" s="2">
        <v>30</v>
      </c>
      <c r="B18" s="2" t="s">
        <v>9</v>
      </c>
      <c r="C18" s="2" t="s">
        <v>47</v>
      </c>
      <c r="D18" s="2" t="s">
        <v>41</v>
      </c>
      <c r="E18" s="2">
        <v>10001</v>
      </c>
      <c r="F18" s="2" t="s">
        <v>42</v>
      </c>
      <c r="G18" s="2" t="s">
        <v>36</v>
      </c>
      <c r="H18" s="2">
        <v>1</v>
      </c>
      <c r="I18" s="2" t="s">
        <v>39</v>
      </c>
      <c r="J18" s="2" t="str">
        <f>VLOOKUP(E18,[1]LL_Hub!$A$1:$B$13,2,FALSE)</f>
        <v>New York</v>
      </c>
      <c r="K18" t="str">
        <f>VLOOKUP(D18,'[2]product Table data'!$A$2:$B$12,2,FALSE)</f>
        <v>Male</v>
      </c>
      <c r="L18" t="str">
        <f>VLOOKUP($D18,'[2]product Table data'!$A$2:$G$12,L$1,FALSE)</f>
        <v>Winter Warmth</v>
      </c>
      <c r="M18" t="str">
        <f>VLOOKUP($D18,'[2]product Table data'!$A$2:$G$12,M$1,FALSE)</f>
        <v>Moldova</v>
      </c>
      <c r="N18" t="str">
        <f>VLOOKUP($D18,'[2]product Table data'!$A$2:$G$12,N$1,FALSE)</f>
        <v>Eastern Europe</v>
      </c>
      <c r="O18">
        <f>VLOOKUP($D18,'[2]product Table data'!$A$2:$G$12,O$1,FALSE)</f>
        <v>475</v>
      </c>
      <c r="P18">
        <f>VLOOKUP($D18,'[2]product Table data'!$A$2:$G$12,P$1,FALSE)</f>
        <v>600</v>
      </c>
      <c r="Q18">
        <f t="shared" si="0"/>
        <v>125</v>
      </c>
      <c r="R18" t="str">
        <f t="shared" si="1"/>
        <v>-</v>
      </c>
      <c r="S18" t="str">
        <f t="shared" si="2"/>
        <v>-</v>
      </c>
      <c r="T18" t="str">
        <f t="shared" si="3"/>
        <v>-</v>
      </c>
      <c r="U18" t="str">
        <f t="shared" si="4"/>
        <v>High Value</v>
      </c>
    </row>
    <row r="19" spans="1:21" hidden="1" x14ac:dyDescent="0.2">
      <c r="A19" s="2">
        <v>32</v>
      </c>
      <c r="B19" s="2" t="s">
        <v>9</v>
      </c>
      <c r="C19" s="2" t="s">
        <v>48</v>
      </c>
      <c r="D19" s="2" t="s">
        <v>45</v>
      </c>
      <c r="E19" s="2">
        <v>10001</v>
      </c>
      <c r="F19" s="2" t="s">
        <v>35</v>
      </c>
      <c r="G19" s="2" t="s">
        <v>36</v>
      </c>
      <c r="H19" s="2">
        <v>1</v>
      </c>
      <c r="I19" s="2" t="s">
        <v>39</v>
      </c>
      <c r="J19" s="2" t="str">
        <f>VLOOKUP(E19,[1]LL_Hub!$A$1:$B$13,2,FALSE)</f>
        <v>New York</v>
      </c>
      <c r="K19" t="str">
        <f>VLOOKUP(D19,'[2]product Table data'!$A$2:$B$12,2,FALSE)</f>
        <v>Female</v>
      </c>
      <c r="L19" t="str">
        <f>VLOOKUP($D19,'[2]product Table data'!$A$2:$G$12,L$1,FALSE)</f>
        <v>Winter Warmth</v>
      </c>
      <c r="M19" t="str">
        <f>VLOOKUP($D19,'[2]product Table data'!$A$2:$G$12,M$1,FALSE)</f>
        <v>Romania</v>
      </c>
      <c r="N19" t="str">
        <f>VLOOKUP($D19,'[2]product Table data'!$A$2:$G$12,N$1,FALSE)</f>
        <v>Eastern Europe</v>
      </c>
      <c r="O19">
        <f>VLOOKUP($D19,'[2]product Table data'!$A$2:$G$12,O$1,FALSE)</f>
        <v>350</v>
      </c>
      <c r="P19">
        <f>VLOOKUP($D19,'[2]product Table data'!$A$2:$G$12,P$1,FALSE)</f>
        <v>450</v>
      </c>
      <c r="Q19">
        <f t="shared" si="0"/>
        <v>100</v>
      </c>
      <c r="R19" t="str">
        <f t="shared" si="1"/>
        <v>-</v>
      </c>
      <c r="S19" t="str">
        <f t="shared" si="2"/>
        <v>-</v>
      </c>
      <c r="T19" t="str">
        <f t="shared" si="3"/>
        <v>-</v>
      </c>
      <c r="U19" t="str">
        <f t="shared" si="4"/>
        <v>High Value</v>
      </c>
    </row>
    <row r="20" spans="1:21" hidden="1" x14ac:dyDescent="0.2">
      <c r="A20" s="2">
        <v>33</v>
      </c>
      <c r="B20" s="2" t="s">
        <v>9</v>
      </c>
      <c r="C20" s="2" t="s">
        <v>49</v>
      </c>
      <c r="D20" s="2" t="s">
        <v>45</v>
      </c>
      <c r="E20" s="2">
        <v>10001</v>
      </c>
      <c r="F20" s="2" t="s">
        <v>35</v>
      </c>
      <c r="G20" s="2" t="s">
        <v>36</v>
      </c>
      <c r="H20" s="2">
        <v>1</v>
      </c>
      <c r="I20" s="2" t="s">
        <v>39</v>
      </c>
      <c r="J20" s="2" t="str">
        <f>VLOOKUP(E20,[1]LL_Hub!$A$1:$B$13,2,FALSE)</f>
        <v>New York</v>
      </c>
      <c r="K20" t="str">
        <f>VLOOKUP(D20,'[2]product Table data'!$A$2:$B$12,2,FALSE)</f>
        <v>Female</v>
      </c>
      <c r="L20" t="str">
        <f>VLOOKUP($D20,'[2]product Table data'!$A$2:$G$12,L$1,FALSE)</f>
        <v>Winter Warmth</v>
      </c>
      <c r="M20" t="str">
        <f>VLOOKUP($D20,'[2]product Table data'!$A$2:$G$12,M$1,FALSE)</f>
        <v>Romania</v>
      </c>
      <c r="N20" t="str">
        <f>VLOOKUP($D20,'[2]product Table data'!$A$2:$G$12,N$1,FALSE)</f>
        <v>Eastern Europe</v>
      </c>
      <c r="O20">
        <f>VLOOKUP($D20,'[2]product Table data'!$A$2:$G$12,O$1,FALSE)</f>
        <v>350</v>
      </c>
      <c r="P20">
        <f>VLOOKUP($D20,'[2]product Table data'!$A$2:$G$12,P$1,FALSE)</f>
        <v>450</v>
      </c>
      <c r="Q20">
        <f t="shared" si="0"/>
        <v>100</v>
      </c>
      <c r="R20" t="str">
        <f t="shared" si="1"/>
        <v>-</v>
      </c>
      <c r="S20" t="str">
        <f t="shared" si="2"/>
        <v>-</v>
      </c>
      <c r="T20" t="str">
        <f t="shared" si="3"/>
        <v>-</v>
      </c>
      <c r="U20" t="str">
        <f t="shared" si="4"/>
        <v>High Value</v>
      </c>
    </row>
    <row r="21" spans="1:21" hidden="1" x14ac:dyDescent="0.2">
      <c r="A21" s="2">
        <v>34</v>
      </c>
      <c r="B21" s="2" t="s">
        <v>9</v>
      </c>
      <c r="C21" s="2" t="s">
        <v>50</v>
      </c>
      <c r="D21" s="2" t="s">
        <v>45</v>
      </c>
      <c r="E21" s="2">
        <v>10001</v>
      </c>
      <c r="F21" s="2" t="s">
        <v>35</v>
      </c>
      <c r="G21" s="2" t="s">
        <v>36</v>
      </c>
      <c r="H21" s="2">
        <v>1</v>
      </c>
      <c r="I21" s="2" t="s">
        <v>39</v>
      </c>
      <c r="J21" s="2" t="str">
        <f>VLOOKUP(E21,[1]LL_Hub!$A$1:$B$13,2,FALSE)</f>
        <v>New York</v>
      </c>
      <c r="K21" t="str">
        <f>VLOOKUP(D21,'[2]product Table data'!$A$2:$B$12,2,FALSE)</f>
        <v>Female</v>
      </c>
      <c r="L21" t="str">
        <f>VLOOKUP($D21,'[2]product Table data'!$A$2:$G$12,L$1,FALSE)</f>
        <v>Winter Warmth</v>
      </c>
      <c r="M21" t="str">
        <f>VLOOKUP($D21,'[2]product Table data'!$A$2:$G$12,M$1,FALSE)</f>
        <v>Romania</v>
      </c>
      <c r="N21" t="str">
        <f>VLOOKUP($D21,'[2]product Table data'!$A$2:$G$12,N$1,FALSE)</f>
        <v>Eastern Europe</v>
      </c>
      <c r="O21">
        <f>VLOOKUP($D21,'[2]product Table data'!$A$2:$G$12,O$1,FALSE)</f>
        <v>350</v>
      </c>
      <c r="P21">
        <f>VLOOKUP($D21,'[2]product Table data'!$A$2:$G$12,P$1,FALSE)</f>
        <v>450</v>
      </c>
      <c r="Q21">
        <f t="shared" si="0"/>
        <v>100</v>
      </c>
      <c r="R21" t="str">
        <f t="shared" si="1"/>
        <v>-</v>
      </c>
      <c r="S21" t="str">
        <f t="shared" si="2"/>
        <v>-</v>
      </c>
      <c r="T21" t="str">
        <f t="shared" si="3"/>
        <v>-</v>
      </c>
      <c r="U21" t="str">
        <f t="shared" si="4"/>
        <v>High Value</v>
      </c>
    </row>
    <row r="22" spans="1:21" hidden="1" x14ac:dyDescent="0.2">
      <c r="A22" s="2">
        <v>35</v>
      </c>
      <c r="B22" s="2" t="s">
        <v>9</v>
      </c>
      <c r="C22" s="2" t="s">
        <v>51</v>
      </c>
      <c r="D22" s="2" t="s">
        <v>45</v>
      </c>
      <c r="E22" s="2">
        <v>10001</v>
      </c>
      <c r="F22" s="2" t="s">
        <v>35</v>
      </c>
      <c r="G22" s="2" t="s">
        <v>36</v>
      </c>
      <c r="H22" s="2">
        <v>1</v>
      </c>
      <c r="I22" s="2" t="s">
        <v>39</v>
      </c>
      <c r="J22" s="2" t="str">
        <f>VLOOKUP(E22,[1]LL_Hub!$A$1:$B$13,2,FALSE)</f>
        <v>New York</v>
      </c>
      <c r="K22" t="str">
        <f>VLOOKUP(D22,'[2]product Table data'!$A$2:$B$12,2,FALSE)</f>
        <v>Female</v>
      </c>
      <c r="L22" t="str">
        <f>VLOOKUP($D22,'[2]product Table data'!$A$2:$G$12,L$1,FALSE)</f>
        <v>Winter Warmth</v>
      </c>
      <c r="M22" t="str">
        <f>VLOOKUP($D22,'[2]product Table data'!$A$2:$G$12,M$1,FALSE)</f>
        <v>Romania</v>
      </c>
      <c r="N22" t="str">
        <f>VLOOKUP($D22,'[2]product Table data'!$A$2:$G$12,N$1,FALSE)</f>
        <v>Eastern Europe</v>
      </c>
      <c r="O22">
        <f>VLOOKUP($D22,'[2]product Table data'!$A$2:$G$12,O$1,FALSE)</f>
        <v>350</v>
      </c>
      <c r="P22">
        <f>VLOOKUP($D22,'[2]product Table data'!$A$2:$G$12,P$1,FALSE)</f>
        <v>450</v>
      </c>
      <c r="Q22">
        <f t="shared" si="0"/>
        <v>100</v>
      </c>
      <c r="R22" t="str">
        <f t="shared" si="1"/>
        <v>-</v>
      </c>
      <c r="S22" t="str">
        <f t="shared" si="2"/>
        <v>-</v>
      </c>
      <c r="T22" t="str">
        <f t="shared" si="3"/>
        <v>-</v>
      </c>
      <c r="U22" t="str">
        <f t="shared" si="4"/>
        <v>High Value</v>
      </c>
    </row>
    <row r="23" spans="1:21" hidden="1" x14ac:dyDescent="0.2">
      <c r="A23" s="2">
        <v>36</v>
      </c>
      <c r="B23" s="2" t="s">
        <v>9</v>
      </c>
      <c r="C23" s="2" t="s">
        <v>52</v>
      </c>
      <c r="D23" s="2" t="s">
        <v>19</v>
      </c>
      <c r="E23" s="2">
        <v>10001</v>
      </c>
      <c r="F23" s="2" t="s">
        <v>35</v>
      </c>
      <c r="G23" s="2" t="s">
        <v>36</v>
      </c>
      <c r="H23" s="2">
        <v>1</v>
      </c>
      <c r="I23" s="2" t="s">
        <v>17</v>
      </c>
      <c r="J23" s="2" t="str">
        <f>VLOOKUP(E23,[1]LL_Hub!$A$1:$B$13,2,FALSE)</f>
        <v>New York</v>
      </c>
      <c r="K23" t="str">
        <f>VLOOKUP(D23,'[2]product Table data'!$A$2:$B$12,2,FALSE)</f>
        <v>Male</v>
      </c>
      <c r="L23" t="str">
        <f>VLOOKUP($D23,'[2]product Table data'!$A$2:$G$12,L$1,FALSE)</f>
        <v>Casual n Light</v>
      </c>
      <c r="M23" t="str">
        <f>VLOOKUP($D23,'[2]product Table data'!$A$2:$G$12,M$1,FALSE)</f>
        <v>Kenya</v>
      </c>
      <c r="N23" t="str">
        <f>VLOOKUP($D23,'[2]product Table data'!$A$2:$G$12,N$1,FALSE)</f>
        <v>Africa</v>
      </c>
      <c r="O23">
        <f>VLOOKUP($D23,'[2]product Table data'!$A$2:$G$12,O$1,FALSE)</f>
        <v>15</v>
      </c>
      <c r="P23">
        <f>VLOOKUP($D23,'[2]product Table data'!$A$2:$G$12,P$1,FALSE)</f>
        <v>30</v>
      </c>
      <c r="Q23">
        <f t="shared" si="0"/>
        <v>15</v>
      </c>
      <c r="R23" t="str">
        <f t="shared" si="1"/>
        <v>-</v>
      </c>
      <c r="S23" t="str">
        <f t="shared" si="2"/>
        <v>Style Risk</v>
      </c>
      <c r="T23" t="str">
        <f t="shared" si="3"/>
        <v>-</v>
      </c>
      <c r="U23" t="str">
        <f t="shared" si="4"/>
        <v>High Value</v>
      </c>
    </row>
    <row r="24" spans="1:21" hidden="1" x14ac:dyDescent="0.2">
      <c r="A24" s="2">
        <v>48</v>
      </c>
      <c r="B24" s="2" t="s">
        <v>9</v>
      </c>
      <c r="C24" s="2" t="s">
        <v>53</v>
      </c>
      <c r="D24" s="2" t="s">
        <v>41</v>
      </c>
      <c r="E24" s="2">
        <v>10001</v>
      </c>
      <c r="F24" s="2" t="s">
        <v>42</v>
      </c>
      <c r="G24" s="2" t="s">
        <v>36</v>
      </c>
      <c r="H24" s="2">
        <v>1</v>
      </c>
      <c r="I24" s="2" t="s">
        <v>39</v>
      </c>
      <c r="J24" s="2" t="str">
        <f>VLOOKUP(E24,[1]LL_Hub!$A$1:$B$13,2,FALSE)</f>
        <v>New York</v>
      </c>
      <c r="K24" t="str">
        <f>VLOOKUP(D24,'[2]product Table data'!$A$2:$B$12,2,FALSE)</f>
        <v>Male</v>
      </c>
      <c r="L24" t="str">
        <f>VLOOKUP($D24,'[2]product Table data'!$A$2:$G$12,L$1,FALSE)</f>
        <v>Winter Warmth</v>
      </c>
      <c r="M24" t="str">
        <f>VLOOKUP($D24,'[2]product Table data'!$A$2:$G$12,M$1,FALSE)</f>
        <v>Moldova</v>
      </c>
      <c r="N24" t="str">
        <f>VLOOKUP($D24,'[2]product Table data'!$A$2:$G$12,N$1,FALSE)</f>
        <v>Eastern Europe</v>
      </c>
      <c r="O24">
        <f>VLOOKUP($D24,'[2]product Table data'!$A$2:$G$12,O$1,FALSE)</f>
        <v>475</v>
      </c>
      <c r="P24">
        <f>VLOOKUP($D24,'[2]product Table data'!$A$2:$G$12,P$1,FALSE)</f>
        <v>600</v>
      </c>
      <c r="Q24">
        <f t="shared" si="0"/>
        <v>125</v>
      </c>
      <c r="R24" t="str">
        <f t="shared" si="1"/>
        <v>-</v>
      </c>
      <c r="S24" t="str">
        <f t="shared" si="2"/>
        <v>-</v>
      </c>
      <c r="T24" t="str">
        <f t="shared" si="3"/>
        <v>-</v>
      </c>
      <c r="U24" t="str">
        <f t="shared" si="4"/>
        <v>High Value</v>
      </c>
    </row>
    <row r="25" spans="1:21" hidden="1" x14ac:dyDescent="0.2">
      <c r="A25" s="2">
        <v>59</v>
      </c>
      <c r="B25" s="2" t="s">
        <v>9</v>
      </c>
      <c r="C25" s="2" t="s">
        <v>54</v>
      </c>
      <c r="D25" s="2" t="s">
        <v>41</v>
      </c>
      <c r="E25" s="2">
        <v>10001</v>
      </c>
      <c r="F25" s="2" t="s">
        <v>42</v>
      </c>
      <c r="G25" s="2" t="s">
        <v>36</v>
      </c>
      <c r="H25" s="2">
        <v>1</v>
      </c>
      <c r="I25" s="2" t="s">
        <v>39</v>
      </c>
      <c r="J25" s="2" t="str">
        <f>VLOOKUP(E25,[1]LL_Hub!$A$1:$B$13,2,FALSE)</f>
        <v>New York</v>
      </c>
      <c r="K25" t="str">
        <f>VLOOKUP(D25,'[2]product Table data'!$A$2:$B$12,2,FALSE)</f>
        <v>Male</v>
      </c>
      <c r="L25" t="str">
        <f>VLOOKUP($D25,'[2]product Table data'!$A$2:$G$12,L$1,FALSE)</f>
        <v>Winter Warmth</v>
      </c>
      <c r="M25" t="str">
        <f>VLOOKUP($D25,'[2]product Table data'!$A$2:$G$12,M$1,FALSE)</f>
        <v>Moldova</v>
      </c>
      <c r="N25" t="str">
        <f>VLOOKUP($D25,'[2]product Table data'!$A$2:$G$12,N$1,FALSE)</f>
        <v>Eastern Europe</v>
      </c>
      <c r="O25">
        <f>VLOOKUP($D25,'[2]product Table data'!$A$2:$G$12,O$1,FALSE)</f>
        <v>475</v>
      </c>
      <c r="P25">
        <f>VLOOKUP($D25,'[2]product Table data'!$A$2:$G$12,P$1,FALSE)</f>
        <v>600</v>
      </c>
      <c r="Q25">
        <f t="shared" si="0"/>
        <v>125</v>
      </c>
      <c r="R25" t="str">
        <f t="shared" si="1"/>
        <v>-</v>
      </c>
      <c r="S25" t="str">
        <f t="shared" si="2"/>
        <v>-</v>
      </c>
      <c r="T25" t="str">
        <f t="shared" si="3"/>
        <v>-</v>
      </c>
      <c r="U25" t="str">
        <f t="shared" si="4"/>
        <v>High Value</v>
      </c>
    </row>
    <row r="26" spans="1:21" hidden="1" x14ac:dyDescent="0.2">
      <c r="A26" s="2">
        <v>67</v>
      </c>
      <c r="B26" s="2" t="s">
        <v>9</v>
      </c>
      <c r="C26" s="2" t="s">
        <v>55</v>
      </c>
      <c r="D26" s="2" t="s">
        <v>41</v>
      </c>
      <c r="E26" s="2">
        <v>10001</v>
      </c>
      <c r="F26" s="2" t="s">
        <v>42</v>
      </c>
      <c r="G26" s="2" t="s">
        <v>36</v>
      </c>
      <c r="H26" s="2">
        <v>1</v>
      </c>
      <c r="I26" s="2" t="s">
        <v>39</v>
      </c>
      <c r="J26" s="2" t="str">
        <f>VLOOKUP(E26,[1]LL_Hub!$A$1:$B$13,2,FALSE)</f>
        <v>New York</v>
      </c>
      <c r="K26" t="str">
        <f>VLOOKUP(D26,'[2]product Table data'!$A$2:$B$12,2,FALSE)</f>
        <v>Male</v>
      </c>
      <c r="L26" t="str">
        <f>VLOOKUP($D26,'[2]product Table data'!$A$2:$G$12,L$1,FALSE)</f>
        <v>Winter Warmth</v>
      </c>
      <c r="M26" t="str">
        <f>VLOOKUP($D26,'[2]product Table data'!$A$2:$G$12,M$1,FALSE)</f>
        <v>Moldova</v>
      </c>
      <c r="N26" t="str">
        <f>VLOOKUP($D26,'[2]product Table data'!$A$2:$G$12,N$1,FALSE)</f>
        <v>Eastern Europe</v>
      </c>
      <c r="O26">
        <f>VLOOKUP($D26,'[2]product Table data'!$A$2:$G$12,O$1,FALSE)</f>
        <v>475</v>
      </c>
      <c r="P26">
        <f>VLOOKUP($D26,'[2]product Table data'!$A$2:$G$12,P$1,FALSE)</f>
        <v>600</v>
      </c>
      <c r="Q26">
        <f t="shared" si="0"/>
        <v>125</v>
      </c>
      <c r="R26" t="str">
        <f t="shared" si="1"/>
        <v>-</v>
      </c>
      <c r="S26" t="str">
        <f t="shared" si="2"/>
        <v>-</v>
      </c>
      <c r="T26" t="str">
        <f t="shared" si="3"/>
        <v>-</v>
      </c>
      <c r="U26" t="str">
        <f t="shared" si="4"/>
        <v>High Value</v>
      </c>
    </row>
    <row r="27" spans="1:21" hidden="1" x14ac:dyDescent="0.2">
      <c r="A27" s="2">
        <v>101</v>
      </c>
      <c r="B27" s="2" t="s">
        <v>9</v>
      </c>
      <c r="C27" s="2" t="s">
        <v>56</v>
      </c>
      <c r="D27" s="2" t="s">
        <v>22</v>
      </c>
      <c r="E27" s="2">
        <v>10013</v>
      </c>
      <c r="F27" s="2" t="s">
        <v>38</v>
      </c>
      <c r="G27" s="2" t="s">
        <v>36</v>
      </c>
      <c r="H27" s="2">
        <v>1</v>
      </c>
      <c r="I27" s="2" t="s">
        <v>39</v>
      </c>
      <c r="J27" s="2" t="str">
        <f>VLOOKUP(E27,[1]LL_Hub!$A$1:$B$13,2,FALSE)</f>
        <v>New York</v>
      </c>
      <c r="K27" t="str">
        <f>VLOOKUP(D27,'[2]product Table data'!$A$2:$B$12,2,FALSE)</f>
        <v>Male</v>
      </c>
      <c r="L27" t="str">
        <f>VLOOKUP($D27,'[2]product Table data'!$A$2:$G$12,L$1,FALSE)</f>
        <v>Fancy Sheek</v>
      </c>
      <c r="M27" t="str">
        <f>VLOOKUP($D27,'[2]product Table data'!$A$2:$G$12,M$1,FALSE)</f>
        <v>Afghanistan</v>
      </c>
      <c r="N27" t="str">
        <f>VLOOKUP($D27,'[2]product Table data'!$A$2:$G$12,N$1,FALSE)</f>
        <v>Middle East</v>
      </c>
      <c r="O27">
        <f>VLOOKUP($D27,'[2]product Table data'!$A$2:$G$12,O$1,FALSE)</f>
        <v>450</v>
      </c>
      <c r="P27">
        <f>VLOOKUP($D27,'[2]product Table data'!$A$2:$G$12,P$1,FALSE)</f>
        <v>550</v>
      </c>
      <c r="Q27">
        <f t="shared" si="0"/>
        <v>100</v>
      </c>
      <c r="R27" t="str">
        <f t="shared" si="1"/>
        <v>-</v>
      </c>
      <c r="S27" t="str">
        <f t="shared" si="2"/>
        <v>Style Risk</v>
      </c>
      <c r="T27" t="str">
        <f t="shared" si="3"/>
        <v>-</v>
      </c>
      <c r="U27" t="str">
        <f t="shared" si="4"/>
        <v>High Value</v>
      </c>
    </row>
    <row r="28" spans="1:21" hidden="1" x14ac:dyDescent="0.2">
      <c r="A28" s="2">
        <v>116</v>
      </c>
      <c r="B28" s="2" t="s">
        <v>9</v>
      </c>
      <c r="C28" s="2" t="s">
        <v>57</v>
      </c>
      <c r="D28" s="2" t="s">
        <v>19</v>
      </c>
      <c r="E28" s="2">
        <v>10013</v>
      </c>
      <c r="F28" s="2" t="s">
        <v>35</v>
      </c>
      <c r="G28" s="2" t="s">
        <v>36</v>
      </c>
      <c r="H28" s="2">
        <v>1</v>
      </c>
      <c r="I28" s="2" t="s">
        <v>39</v>
      </c>
      <c r="J28" s="2" t="str">
        <f>VLOOKUP(E28,[1]LL_Hub!$A$1:$B$13,2,FALSE)</f>
        <v>New York</v>
      </c>
      <c r="K28" t="str">
        <f>VLOOKUP(D28,'[2]product Table data'!$A$2:$B$12,2,FALSE)</f>
        <v>Male</v>
      </c>
      <c r="L28" t="str">
        <f>VLOOKUP($D28,'[2]product Table data'!$A$2:$G$12,L$1,FALSE)</f>
        <v>Casual n Light</v>
      </c>
      <c r="M28" t="str">
        <f>VLOOKUP($D28,'[2]product Table data'!$A$2:$G$12,M$1,FALSE)</f>
        <v>Kenya</v>
      </c>
      <c r="N28" t="str">
        <f>VLOOKUP($D28,'[2]product Table data'!$A$2:$G$12,N$1,FALSE)</f>
        <v>Africa</v>
      </c>
      <c r="O28">
        <f>VLOOKUP($D28,'[2]product Table data'!$A$2:$G$12,O$1,FALSE)</f>
        <v>15</v>
      </c>
      <c r="P28">
        <f>VLOOKUP($D28,'[2]product Table data'!$A$2:$G$12,P$1,FALSE)</f>
        <v>30</v>
      </c>
      <c r="Q28">
        <f t="shared" si="0"/>
        <v>15</v>
      </c>
      <c r="R28" t="str">
        <f t="shared" si="1"/>
        <v>-</v>
      </c>
      <c r="S28" t="str">
        <f t="shared" si="2"/>
        <v>Style Risk</v>
      </c>
      <c r="T28" t="str">
        <f t="shared" si="3"/>
        <v>-</v>
      </c>
      <c r="U28" t="str">
        <f t="shared" si="4"/>
        <v>High Value</v>
      </c>
    </row>
    <row r="29" spans="1:21" x14ac:dyDescent="0.2">
      <c r="A29" s="2">
        <v>69</v>
      </c>
      <c r="B29" s="2" t="s">
        <v>9</v>
      </c>
      <c r="C29" s="2" t="s">
        <v>561</v>
      </c>
      <c r="D29" s="2" t="s">
        <v>558</v>
      </c>
      <c r="E29" s="2">
        <v>10001</v>
      </c>
      <c r="F29" s="2" t="s">
        <v>35</v>
      </c>
      <c r="G29" s="2" t="s">
        <v>36</v>
      </c>
      <c r="H29" s="2">
        <v>1</v>
      </c>
      <c r="I29" s="2" t="s">
        <v>14</v>
      </c>
      <c r="J29" s="2" t="str">
        <f>VLOOKUP(E29,[1]LL_Hub!$A$1:$B$13,2,FALSE)</f>
        <v>New York</v>
      </c>
      <c r="K29" t="str">
        <f>VLOOKUP(D29,'[2]product Table data'!$A$2:$B$12,2,FALSE)</f>
        <v>Female</v>
      </c>
      <c r="L29" t="str">
        <f>VLOOKUP($D29,'[2]product Table data'!$A$2:$G$12,L$1,FALSE)</f>
        <v>Fancy Sheek</v>
      </c>
      <c r="M29" t="str">
        <f>VLOOKUP($D29,'[2]product Table data'!$A$2:$G$12,M$1,FALSE)</f>
        <v>Afghanistan</v>
      </c>
      <c r="N29" t="str">
        <f>VLOOKUP($D29,'[2]product Table data'!$A$2:$G$12,N$1,FALSE)</f>
        <v>Middle East</v>
      </c>
      <c r="O29">
        <f>VLOOKUP($D29,'[2]product Table data'!$A$2:$G$12,O$1,FALSE)</f>
        <v>150</v>
      </c>
      <c r="P29">
        <f>VLOOKUP($D29,'[2]product Table data'!$A$2:$G$12,P$1,FALSE)</f>
        <v>75</v>
      </c>
      <c r="Q29">
        <f t="shared" si="0"/>
        <v>-75</v>
      </c>
      <c r="R29" t="str">
        <f t="shared" si="1"/>
        <v>-</v>
      </c>
      <c r="S29" t="str">
        <f t="shared" si="2"/>
        <v>Style Risk</v>
      </c>
      <c r="T29" t="str">
        <f t="shared" si="3"/>
        <v>-</v>
      </c>
      <c r="U29" t="str">
        <f t="shared" si="4"/>
        <v>Low Value</v>
      </c>
    </row>
    <row r="30" spans="1:21" hidden="1" x14ac:dyDescent="0.2">
      <c r="A30" s="2">
        <v>118</v>
      </c>
      <c r="B30" s="2" t="s">
        <v>9</v>
      </c>
      <c r="C30" s="2" t="s">
        <v>59</v>
      </c>
      <c r="D30" s="2" t="s">
        <v>41</v>
      </c>
      <c r="E30" s="2">
        <v>10022</v>
      </c>
      <c r="F30" s="2" t="s">
        <v>42</v>
      </c>
      <c r="G30" s="2" t="s">
        <v>36</v>
      </c>
      <c r="H30" s="2">
        <v>1</v>
      </c>
      <c r="I30" s="2" t="s">
        <v>39</v>
      </c>
      <c r="J30" s="2" t="str">
        <f>VLOOKUP(E30,[1]LL_Hub!$A$1:$B$13,2,FALSE)</f>
        <v>New York</v>
      </c>
      <c r="K30" t="str">
        <f>VLOOKUP(D30,'[2]product Table data'!$A$2:$B$12,2,FALSE)</f>
        <v>Male</v>
      </c>
      <c r="L30" t="str">
        <f>VLOOKUP($D30,'[2]product Table data'!$A$2:$G$12,L$1,FALSE)</f>
        <v>Winter Warmth</v>
      </c>
      <c r="M30" t="str">
        <f>VLOOKUP($D30,'[2]product Table data'!$A$2:$G$12,M$1,FALSE)</f>
        <v>Moldova</v>
      </c>
      <c r="N30" t="str">
        <f>VLOOKUP($D30,'[2]product Table data'!$A$2:$G$12,N$1,FALSE)</f>
        <v>Eastern Europe</v>
      </c>
      <c r="O30">
        <f>VLOOKUP($D30,'[2]product Table data'!$A$2:$G$12,O$1,FALSE)</f>
        <v>475</v>
      </c>
      <c r="P30">
        <f>VLOOKUP($D30,'[2]product Table data'!$A$2:$G$12,P$1,FALSE)</f>
        <v>600</v>
      </c>
      <c r="Q30">
        <f t="shared" si="0"/>
        <v>125</v>
      </c>
      <c r="R30" t="str">
        <f t="shared" si="1"/>
        <v>-</v>
      </c>
      <c r="S30" t="str">
        <f t="shared" si="2"/>
        <v>-</v>
      </c>
      <c r="T30" t="str">
        <f t="shared" si="3"/>
        <v>-</v>
      </c>
      <c r="U30" t="str">
        <f t="shared" si="4"/>
        <v>High Value</v>
      </c>
    </row>
    <row r="31" spans="1:21" hidden="1" x14ac:dyDescent="0.2">
      <c r="A31" s="2">
        <v>122</v>
      </c>
      <c r="B31" s="2" t="s">
        <v>9</v>
      </c>
      <c r="C31" s="2" t="s">
        <v>60</v>
      </c>
      <c r="D31" s="2" t="s">
        <v>41</v>
      </c>
      <c r="E31" s="2">
        <v>10022</v>
      </c>
      <c r="F31" s="2" t="s">
        <v>42</v>
      </c>
      <c r="G31" s="2" t="s">
        <v>36</v>
      </c>
      <c r="H31" s="2">
        <v>1</v>
      </c>
      <c r="I31" s="2" t="s">
        <v>39</v>
      </c>
      <c r="J31" s="2" t="str">
        <f>VLOOKUP(E31,[1]LL_Hub!$A$1:$B$13,2,FALSE)</f>
        <v>New York</v>
      </c>
      <c r="K31" t="str">
        <f>VLOOKUP(D31,'[2]product Table data'!$A$2:$B$12,2,FALSE)</f>
        <v>Male</v>
      </c>
      <c r="L31" t="str">
        <f>VLOOKUP($D31,'[2]product Table data'!$A$2:$G$12,L$1,FALSE)</f>
        <v>Winter Warmth</v>
      </c>
      <c r="M31" t="str">
        <f>VLOOKUP($D31,'[2]product Table data'!$A$2:$G$12,M$1,FALSE)</f>
        <v>Moldova</v>
      </c>
      <c r="N31" t="str">
        <f>VLOOKUP($D31,'[2]product Table data'!$A$2:$G$12,N$1,FALSE)</f>
        <v>Eastern Europe</v>
      </c>
      <c r="O31">
        <f>VLOOKUP($D31,'[2]product Table data'!$A$2:$G$12,O$1,FALSE)</f>
        <v>475</v>
      </c>
      <c r="P31">
        <f>VLOOKUP($D31,'[2]product Table data'!$A$2:$G$12,P$1,FALSE)</f>
        <v>600</v>
      </c>
      <c r="Q31">
        <f t="shared" si="0"/>
        <v>125</v>
      </c>
      <c r="R31" t="str">
        <f t="shared" si="1"/>
        <v>-</v>
      </c>
      <c r="S31" t="str">
        <f t="shared" si="2"/>
        <v>-</v>
      </c>
      <c r="T31" t="str">
        <f t="shared" si="3"/>
        <v>-</v>
      </c>
      <c r="U31" t="str">
        <f t="shared" si="4"/>
        <v>High Value</v>
      </c>
    </row>
    <row r="32" spans="1:21" hidden="1" x14ac:dyDescent="0.2">
      <c r="A32" s="2">
        <v>123</v>
      </c>
      <c r="B32" s="2" t="s">
        <v>9</v>
      </c>
      <c r="C32" s="2" t="s">
        <v>61</v>
      </c>
      <c r="D32" s="2" t="s">
        <v>41</v>
      </c>
      <c r="E32" s="2">
        <v>10022</v>
      </c>
      <c r="F32" s="2" t="s">
        <v>42</v>
      </c>
      <c r="G32" s="2" t="s">
        <v>36</v>
      </c>
      <c r="H32" s="2">
        <v>1</v>
      </c>
      <c r="I32" s="2" t="s">
        <v>39</v>
      </c>
      <c r="J32" s="2" t="str">
        <f>VLOOKUP(E32,[1]LL_Hub!$A$1:$B$13,2,FALSE)</f>
        <v>New York</v>
      </c>
      <c r="K32" t="str">
        <f>VLOOKUP(D32,'[2]product Table data'!$A$2:$B$12,2,FALSE)</f>
        <v>Male</v>
      </c>
      <c r="L32" t="str">
        <f>VLOOKUP($D32,'[2]product Table data'!$A$2:$G$12,L$1,FALSE)</f>
        <v>Winter Warmth</v>
      </c>
      <c r="M32" t="str">
        <f>VLOOKUP($D32,'[2]product Table data'!$A$2:$G$12,M$1,FALSE)</f>
        <v>Moldova</v>
      </c>
      <c r="N32" t="str">
        <f>VLOOKUP($D32,'[2]product Table data'!$A$2:$G$12,N$1,FALSE)</f>
        <v>Eastern Europe</v>
      </c>
      <c r="O32">
        <f>VLOOKUP($D32,'[2]product Table data'!$A$2:$G$12,O$1,FALSE)</f>
        <v>475</v>
      </c>
      <c r="P32">
        <f>VLOOKUP($D32,'[2]product Table data'!$A$2:$G$12,P$1,FALSE)</f>
        <v>600</v>
      </c>
      <c r="Q32">
        <f t="shared" si="0"/>
        <v>125</v>
      </c>
      <c r="R32" t="str">
        <f t="shared" si="1"/>
        <v>-</v>
      </c>
      <c r="S32" t="str">
        <f t="shared" si="2"/>
        <v>-</v>
      </c>
      <c r="T32" t="str">
        <f t="shared" si="3"/>
        <v>-</v>
      </c>
      <c r="U32" t="str">
        <f t="shared" si="4"/>
        <v>High Value</v>
      </c>
    </row>
    <row r="33" spans="1:21" x14ac:dyDescent="0.2">
      <c r="A33" s="2">
        <v>74</v>
      </c>
      <c r="B33" s="2" t="s">
        <v>9</v>
      </c>
      <c r="C33" s="2" t="s">
        <v>570</v>
      </c>
      <c r="D33" s="2" t="s">
        <v>558</v>
      </c>
      <c r="E33" s="2">
        <v>10001</v>
      </c>
      <c r="F33" s="2" t="s">
        <v>571</v>
      </c>
      <c r="G33" s="2" t="s">
        <v>13</v>
      </c>
      <c r="H33" s="2">
        <v>1</v>
      </c>
      <c r="I33" s="2" t="s">
        <v>14</v>
      </c>
      <c r="J33" s="2" t="str">
        <f>VLOOKUP(E33,[1]LL_Hub!$A$1:$B$13,2,FALSE)</f>
        <v>New York</v>
      </c>
      <c r="K33" t="str">
        <f>VLOOKUP(D33,'[2]product Table data'!$A$2:$B$12,2,FALSE)</f>
        <v>Female</v>
      </c>
      <c r="L33" t="str">
        <f>VLOOKUP($D33,'[2]product Table data'!$A$2:$G$12,L$1,FALSE)</f>
        <v>Fancy Sheek</v>
      </c>
      <c r="M33" t="str">
        <f>VLOOKUP($D33,'[2]product Table data'!$A$2:$G$12,M$1,FALSE)</f>
        <v>Afghanistan</v>
      </c>
      <c r="N33" t="str">
        <f>VLOOKUP($D33,'[2]product Table data'!$A$2:$G$12,N$1,FALSE)</f>
        <v>Middle East</v>
      </c>
      <c r="O33">
        <f>VLOOKUP($D33,'[2]product Table data'!$A$2:$G$12,O$1,FALSE)</f>
        <v>150</v>
      </c>
      <c r="P33">
        <f>VLOOKUP($D33,'[2]product Table data'!$A$2:$G$12,P$1,FALSE)</f>
        <v>75</v>
      </c>
      <c r="Q33">
        <f t="shared" si="0"/>
        <v>-75</v>
      </c>
      <c r="R33" t="str">
        <f t="shared" si="1"/>
        <v>-</v>
      </c>
      <c r="S33" t="str">
        <f t="shared" si="2"/>
        <v>Style Risk</v>
      </c>
      <c r="T33" t="str">
        <f t="shared" si="3"/>
        <v>-</v>
      </c>
      <c r="U33" t="str">
        <f t="shared" si="4"/>
        <v>Low Value</v>
      </c>
    </row>
    <row r="34" spans="1:21" hidden="1" x14ac:dyDescent="0.2">
      <c r="A34" s="2">
        <v>125</v>
      </c>
      <c r="B34" s="2" t="s">
        <v>9</v>
      </c>
      <c r="C34" s="2" t="s">
        <v>63</v>
      </c>
      <c r="D34" s="2" t="s">
        <v>11</v>
      </c>
      <c r="E34" s="2">
        <v>10022</v>
      </c>
      <c r="F34" s="2" t="s">
        <v>35</v>
      </c>
      <c r="G34" s="2" t="s">
        <v>36</v>
      </c>
      <c r="H34" s="2">
        <v>1</v>
      </c>
      <c r="I34" s="2" t="s">
        <v>17</v>
      </c>
      <c r="J34" s="2" t="str">
        <f>VLOOKUP(E34,[1]LL_Hub!$A$1:$B$13,2,FALSE)</f>
        <v>New York</v>
      </c>
      <c r="K34" t="str">
        <f>VLOOKUP(D34,'[2]product Table data'!$A$2:$B$12,2,FALSE)</f>
        <v>Male</v>
      </c>
      <c r="L34" t="str">
        <f>VLOOKUP($D34,'[2]product Table data'!$A$2:$G$12,L$1,FALSE)</f>
        <v>Casual n Light</v>
      </c>
      <c r="M34" t="str">
        <f>VLOOKUP($D34,'[2]product Table data'!$A$2:$G$12,M$1,FALSE)</f>
        <v>Ethiopia</v>
      </c>
      <c r="N34" t="str">
        <f>VLOOKUP($D34,'[2]product Table data'!$A$2:$G$12,N$1,FALSE)</f>
        <v>Africa</v>
      </c>
      <c r="O34">
        <f>VLOOKUP($D34,'[2]product Table data'!$A$2:$G$12,O$1,FALSE)</f>
        <v>10</v>
      </c>
      <c r="P34">
        <f>VLOOKUP($D34,'[2]product Table data'!$A$2:$G$12,P$1,FALSE)</f>
        <v>20</v>
      </c>
      <c r="Q34">
        <f t="shared" si="0"/>
        <v>10</v>
      </c>
      <c r="R34" t="str">
        <f t="shared" si="1"/>
        <v>-</v>
      </c>
      <c r="S34" t="str">
        <f t="shared" si="2"/>
        <v>Style Risk</v>
      </c>
      <c r="T34" t="str">
        <f t="shared" si="3"/>
        <v>-</v>
      </c>
      <c r="U34" t="str">
        <f t="shared" si="4"/>
        <v>High Value</v>
      </c>
    </row>
    <row r="35" spans="1:21" x14ac:dyDescent="0.2">
      <c r="A35" s="2">
        <v>78</v>
      </c>
      <c r="B35" s="2" t="s">
        <v>9</v>
      </c>
      <c r="C35" s="2" t="s">
        <v>578</v>
      </c>
      <c r="D35" s="2" t="s">
        <v>558</v>
      </c>
      <c r="E35" s="2">
        <v>10001</v>
      </c>
      <c r="F35" s="2" t="s">
        <v>579</v>
      </c>
      <c r="G35" s="2" t="s">
        <v>13</v>
      </c>
      <c r="H35" s="2">
        <v>1</v>
      </c>
      <c r="I35" s="2" t="s">
        <v>14</v>
      </c>
      <c r="J35" s="2" t="str">
        <f>VLOOKUP(E35,[1]LL_Hub!$A$1:$B$13,2,FALSE)</f>
        <v>New York</v>
      </c>
      <c r="K35" t="str">
        <f>VLOOKUP(D35,'[2]product Table data'!$A$2:$B$12,2,FALSE)</f>
        <v>Female</v>
      </c>
      <c r="L35" t="str">
        <f>VLOOKUP($D35,'[2]product Table data'!$A$2:$G$12,L$1,FALSE)</f>
        <v>Fancy Sheek</v>
      </c>
      <c r="M35" t="str">
        <f>VLOOKUP($D35,'[2]product Table data'!$A$2:$G$12,M$1,FALSE)</f>
        <v>Afghanistan</v>
      </c>
      <c r="N35" t="str">
        <f>VLOOKUP($D35,'[2]product Table data'!$A$2:$G$12,N$1,FALSE)</f>
        <v>Middle East</v>
      </c>
      <c r="O35">
        <f>VLOOKUP($D35,'[2]product Table data'!$A$2:$G$12,O$1,FALSE)</f>
        <v>150</v>
      </c>
      <c r="P35">
        <f>VLOOKUP($D35,'[2]product Table data'!$A$2:$G$12,P$1,FALSE)</f>
        <v>75</v>
      </c>
      <c r="Q35">
        <f t="shared" si="0"/>
        <v>-75</v>
      </c>
      <c r="R35" t="str">
        <f t="shared" si="1"/>
        <v>-</v>
      </c>
      <c r="S35" t="str">
        <f t="shared" si="2"/>
        <v>Style Risk</v>
      </c>
      <c r="T35" t="str">
        <f t="shared" si="3"/>
        <v>-</v>
      </c>
      <c r="U35" t="str">
        <f t="shared" si="4"/>
        <v>Low Value</v>
      </c>
    </row>
    <row r="36" spans="1:21" x14ac:dyDescent="0.2">
      <c r="A36" s="2">
        <v>392</v>
      </c>
      <c r="B36" s="2" t="s">
        <v>9</v>
      </c>
      <c r="C36" s="2" t="s">
        <v>970</v>
      </c>
      <c r="D36" s="2" t="s">
        <v>558</v>
      </c>
      <c r="E36" s="2">
        <v>90005</v>
      </c>
      <c r="F36" s="2" t="s">
        <v>971</v>
      </c>
      <c r="G36" s="2" t="s">
        <v>13</v>
      </c>
      <c r="H36" s="2">
        <v>1</v>
      </c>
      <c r="I36" s="2" t="s">
        <v>14</v>
      </c>
      <c r="J36" s="2" t="str">
        <f>VLOOKUP(E36,[1]LL_Hub!$A$1:$B$13,2,FALSE)</f>
        <v>Los Angeles</v>
      </c>
      <c r="K36" t="str">
        <f>VLOOKUP(D36,'[2]product Table data'!$A$2:$B$12,2,FALSE)</f>
        <v>Female</v>
      </c>
      <c r="L36" t="str">
        <f>VLOOKUP($D36,'[2]product Table data'!$A$2:$G$12,L$1,FALSE)</f>
        <v>Fancy Sheek</v>
      </c>
      <c r="M36" t="str">
        <f>VLOOKUP($D36,'[2]product Table data'!$A$2:$G$12,M$1,FALSE)</f>
        <v>Afghanistan</v>
      </c>
      <c r="N36" t="str">
        <f>VLOOKUP($D36,'[2]product Table data'!$A$2:$G$12,N$1,FALSE)</f>
        <v>Middle East</v>
      </c>
      <c r="O36">
        <f>VLOOKUP($D36,'[2]product Table data'!$A$2:$G$12,O$1,FALSE)</f>
        <v>150</v>
      </c>
      <c r="P36">
        <f>VLOOKUP($D36,'[2]product Table data'!$A$2:$G$12,P$1,FALSE)</f>
        <v>75</v>
      </c>
      <c r="Q36">
        <f t="shared" si="0"/>
        <v>-75</v>
      </c>
      <c r="R36" t="str">
        <f t="shared" si="1"/>
        <v>Hub Risk</v>
      </c>
      <c r="S36" t="str">
        <f t="shared" si="2"/>
        <v>Style Risk</v>
      </c>
      <c r="T36" t="str">
        <f t="shared" si="3"/>
        <v>Risk</v>
      </c>
      <c r="U36" t="str">
        <f t="shared" si="4"/>
        <v>Low Value</v>
      </c>
    </row>
    <row r="37" spans="1:21" x14ac:dyDescent="0.2">
      <c r="A37" s="2">
        <v>393</v>
      </c>
      <c r="B37" s="2" t="s">
        <v>9</v>
      </c>
      <c r="C37" s="2" t="s">
        <v>972</v>
      </c>
      <c r="D37" s="2" t="s">
        <v>558</v>
      </c>
      <c r="E37" s="2">
        <v>90005</v>
      </c>
      <c r="F37" s="2" t="s">
        <v>973</v>
      </c>
      <c r="G37" s="2" t="s">
        <v>13</v>
      </c>
      <c r="H37" s="2">
        <v>1</v>
      </c>
      <c r="I37" s="2" t="s">
        <v>14</v>
      </c>
      <c r="J37" s="2" t="str">
        <f>VLOOKUP(E37,[1]LL_Hub!$A$1:$B$13,2,FALSE)</f>
        <v>Los Angeles</v>
      </c>
      <c r="K37" t="str">
        <f>VLOOKUP(D37,'[2]product Table data'!$A$2:$B$12,2,FALSE)</f>
        <v>Female</v>
      </c>
      <c r="L37" t="str">
        <f>VLOOKUP($D37,'[2]product Table data'!$A$2:$G$12,L$1,FALSE)</f>
        <v>Fancy Sheek</v>
      </c>
      <c r="M37" t="str">
        <f>VLOOKUP($D37,'[2]product Table data'!$A$2:$G$12,M$1,FALSE)</f>
        <v>Afghanistan</v>
      </c>
      <c r="N37" t="str">
        <f>VLOOKUP($D37,'[2]product Table data'!$A$2:$G$12,N$1,FALSE)</f>
        <v>Middle East</v>
      </c>
      <c r="O37">
        <f>VLOOKUP($D37,'[2]product Table data'!$A$2:$G$12,O$1,FALSE)</f>
        <v>150</v>
      </c>
      <c r="P37">
        <f>VLOOKUP($D37,'[2]product Table data'!$A$2:$G$12,P$1,FALSE)</f>
        <v>75</v>
      </c>
      <c r="Q37">
        <f t="shared" si="0"/>
        <v>-75</v>
      </c>
      <c r="R37" t="str">
        <f t="shared" si="1"/>
        <v>Hub Risk</v>
      </c>
      <c r="S37" t="str">
        <f t="shared" si="2"/>
        <v>Style Risk</v>
      </c>
      <c r="T37" t="str">
        <f t="shared" si="3"/>
        <v>Risk</v>
      </c>
      <c r="U37" t="str">
        <f t="shared" si="4"/>
        <v>Low Value</v>
      </c>
    </row>
    <row r="38" spans="1:21" x14ac:dyDescent="0.2">
      <c r="A38" s="2">
        <v>394</v>
      </c>
      <c r="B38" s="2" t="s">
        <v>9</v>
      </c>
      <c r="C38" s="2" t="s">
        <v>974</v>
      </c>
      <c r="D38" s="2" t="s">
        <v>558</v>
      </c>
      <c r="E38" s="2">
        <v>90005</v>
      </c>
      <c r="F38" s="2" t="s">
        <v>975</v>
      </c>
      <c r="G38" s="2" t="s">
        <v>13</v>
      </c>
      <c r="H38" s="2">
        <v>1</v>
      </c>
      <c r="I38" s="2" t="s">
        <v>14</v>
      </c>
      <c r="J38" s="2" t="str">
        <f>VLOOKUP(E38,[1]LL_Hub!$A$1:$B$13,2,FALSE)</f>
        <v>Los Angeles</v>
      </c>
      <c r="K38" t="str">
        <f>VLOOKUP(D38,'[2]product Table data'!$A$2:$B$12,2,FALSE)</f>
        <v>Female</v>
      </c>
      <c r="L38" t="str">
        <f>VLOOKUP($D38,'[2]product Table data'!$A$2:$G$12,L$1,FALSE)</f>
        <v>Fancy Sheek</v>
      </c>
      <c r="M38" t="str">
        <f>VLOOKUP($D38,'[2]product Table data'!$A$2:$G$12,M$1,FALSE)</f>
        <v>Afghanistan</v>
      </c>
      <c r="N38" t="str">
        <f>VLOOKUP($D38,'[2]product Table data'!$A$2:$G$12,N$1,FALSE)</f>
        <v>Middle East</v>
      </c>
      <c r="O38">
        <f>VLOOKUP($D38,'[2]product Table data'!$A$2:$G$12,O$1,FALSE)</f>
        <v>150</v>
      </c>
      <c r="P38">
        <f>VLOOKUP($D38,'[2]product Table data'!$A$2:$G$12,P$1,FALSE)</f>
        <v>75</v>
      </c>
      <c r="Q38">
        <f t="shared" si="0"/>
        <v>-75</v>
      </c>
      <c r="R38" t="str">
        <f t="shared" si="1"/>
        <v>Hub Risk</v>
      </c>
      <c r="S38" t="str">
        <f t="shared" si="2"/>
        <v>Style Risk</v>
      </c>
      <c r="T38" t="str">
        <f t="shared" si="3"/>
        <v>Risk</v>
      </c>
      <c r="U38" t="str">
        <f t="shared" si="4"/>
        <v>Low Value</v>
      </c>
    </row>
    <row r="39" spans="1:21" x14ac:dyDescent="0.2">
      <c r="A39" s="2">
        <v>395</v>
      </c>
      <c r="B39" s="2" t="s">
        <v>9</v>
      </c>
      <c r="C39" s="2" t="s">
        <v>976</v>
      </c>
      <c r="D39" s="2" t="s">
        <v>558</v>
      </c>
      <c r="E39" s="2">
        <v>90005</v>
      </c>
      <c r="F39" s="2" t="s">
        <v>977</v>
      </c>
      <c r="G39" s="2" t="s">
        <v>13</v>
      </c>
      <c r="H39" s="2">
        <v>1</v>
      </c>
      <c r="I39" s="2" t="s">
        <v>14</v>
      </c>
      <c r="J39" s="2" t="str">
        <f>VLOOKUP(E39,[1]LL_Hub!$A$1:$B$13,2,FALSE)</f>
        <v>Los Angeles</v>
      </c>
      <c r="K39" t="str">
        <f>VLOOKUP(D39,'[2]product Table data'!$A$2:$B$12,2,FALSE)</f>
        <v>Female</v>
      </c>
      <c r="L39" t="str">
        <f>VLOOKUP($D39,'[2]product Table data'!$A$2:$G$12,L$1,FALSE)</f>
        <v>Fancy Sheek</v>
      </c>
      <c r="M39" t="str">
        <f>VLOOKUP($D39,'[2]product Table data'!$A$2:$G$12,M$1,FALSE)</f>
        <v>Afghanistan</v>
      </c>
      <c r="N39" t="str">
        <f>VLOOKUP($D39,'[2]product Table data'!$A$2:$G$12,N$1,FALSE)</f>
        <v>Middle East</v>
      </c>
      <c r="O39">
        <f>VLOOKUP($D39,'[2]product Table data'!$A$2:$G$12,O$1,FALSE)</f>
        <v>150</v>
      </c>
      <c r="P39">
        <f>VLOOKUP($D39,'[2]product Table data'!$A$2:$G$12,P$1,FALSE)</f>
        <v>75</v>
      </c>
      <c r="Q39">
        <f t="shared" si="0"/>
        <v>-75</v>
      </c>
      <c r="R39" t="str">
        <f t="shared" si="1"/>
        <v>Hub Risk</v>
      </c>
      <c r="S39" t="str">
        <f t="shared" si="2"/>
        <v>Style Risk</v>
      </c>
      <c r="T39" t="str">
        <f t="shared" si="3"/>
        <v>Risk</v>
      </c>
      <c r="U39" t="str">
        <f t="shared" si="4"/>
        <v>Low Value</v>
      </c>
    </row>
    <row r="40" spans="1:21" hidden="1" x14ac:dyDescent="0.2">
      <c r="A40" s="2">
        <v>131</v>
      </c>
      <c r="B40" s="2" t="s">
        <v>9</v>
      </c>
      <c r="C40" s="2" t="s">
        <v>72</v>
      </c>
      <c r="D40" s="2" t="s">
        <v>41</v>
      </c>
      <c r="E40" s="2">
        <v>10022</v>
      </c>
      <c r="F40" s="2" t="s">
        <v>42</v>
      </c>
      <c r="G40" s="2" t="s">
        <v>36</v>
      </c>
      <c r="H40" s="2">
        <v>1</v>
      </c>
      <c r="I40" s="2" t="s">
        <v>39</v>
      </c>
      <c r="J40" s="2" t="str">
        <f>VLOOKUP(E40,[1]LL_Hub!$A$1:$B$13,2,FALSE)</f>
        <v>New York</v>
      </c>
      <c r="K40" t="str">
        <f>VLOOKUP(D40,'[2]product Table data'!$A$2:$B$12,2,FALSE)</f>
        <v>Male</v>
      </c>
      <c r="L40" t="str">
        <f>VLOOKUP($D40,'[2]product Table data'!$A$2:$G$12,L$1,FALSE)</f>
        <v>Winter Warmth</v>
      </c>
      <c r="M40" t="str">
        <f>VLOOKUP($D40,'[2]product Table data'!$A$2:$G$12,M$1,FALSE)</f>
        <v>Moldova</v>
      </c>
      <c r="N40" t="str">
        <f>VLOOKUP($D40,'[2]product Table data'!$A$2:$G$12,N$1,FALSE)</f>
        <v>Eastern Europe</v>
      </c>
      <c r="O40">
        <f>VLOOKUP($D40,'[2]product Table data'!$A$2:$G$12,O$1,FALSE)</f>
        <v>475</v>
      </c>
      <c r="P40">
        <f>VLOOKUP($D40,'[2]product Table data'!$A$2:$G$12,P$1,FALSE)</f>
        <v>600</v>
      </c>
      <c r="Q40">
        <f t="shared" si="0"/>
        <v>125</v>
      </c>
      <c r="R40" t="str">
        <f t="shared" si="1"/>
        <v>-</v>
      </c>
      <c r="S40" t="str">
        <f t="shared" si="2"/>
        <v>-</v>
      </c>
      <c r="T40" t="str">
        <f t="shared" si="3"/>
        <v>-</v>
      </c>
      <c r="U40" t="str">
        <f t="shared" si="4"/>
        <v>High Value</v>
      </c>
    </row>
    <row r="41" spans="1:21" hidden="1" x14ac:dyDescent="0.2">
      <c r="A41" s="2">
        <v>132</v>
      </c>
      <c r="B41" s="2" t="s">
        <v>9</v>
      </c>
      <c r="C41" s="2" t="s">
        <v>73</v>
      </c>
      <c r="D41" s="2" t="s">
        <v>41</v>
      </c>
      <c r="E41" s="2">
        <v>10022</v>
      </c>
      <c r="F41" s="2" t="s">
        <v>42</v>
      </c>
      <c r="G41" s="2" t="s">
        <v>36</v>
      </c>
      <c r="H41" s="2">
        <v>1</v>
      </c>
      <c r="I41" s="2" t="s">
        <v>39</v>
      </c>
      <c r="J41" s="2" t="str">
        <f>VLOOKUP(E41,[1]LL_Hub!$A$1:$B$13,2,FALSE)</f>
        <v>New York</v>
      </c>
      <c r="K41" t="str">
        <f>VLOOKUP(D41,'[2]product Table data'!$A$2:$B$12,2,FALSE)</f>
        <v>Male</v>
      </c>
      <c r="L41" t="str">
        <f>VLOOKUP($D41,'[2]product Table data'!$A$2:$G$12,L$1,FALSE)</f>
        <v>Winter Warmth</v>
      </c>
      <c r="M41" t="str">
        <f>VLOOKUP($D41,'[2]product Table data'!$A$2:$G$12,M$1,FALSE)</f>
        <v>Moldova</v>
      </c>
      <c r="N41" t="str">
        <f>VLOOKUP($D41,'[2]product Table data'!$A$2:$G$12,N$1,FALSE)</f>
        <v>Eastern Europe</v>
      </c>
      <c r="O41">
        <f>VLOOKUP($D41,'[2]product Table data'!$A$2:$G$12,O$1,FALSE)</f>
        <v>475</v>
      </c>
      <c r="P41">
        <f>VLOOKUP($D41,'[2]product Table data'!$A$2:$G$12,P$1,FALSE)</f>
        <v>600</v>
      </c>
      <c r="Q41">
        <f t="shared" si="0"/>
        <v>125</v>
      </c>
      <c r="R41" t="str">
        <f t="shared" si="1"/>
        <v>-</v>
      </c>
      <c r="S41" t="str">
        <f t="shared" si="2"/>
        <v>-</v>
      </c>
      <c r="T41" t="str">
        <f t="shared" si="3"/>
        <v>-</v>
      </c>
      <c r="U41" t="str">
        <f t="shared" si="4"/>
        <v>High Value</v>
      </c>
    </row>
    <row r="42" spans="1:21" hidden="1" x14ac:dyDescent="0.2">
      <c r="A42" s="2">
        <v>133</v>
      </c>
      <c r="B42" s="2" t="s">
        <v>9</v>
      </c>
      <c r="C42" s="2" t="s">
        <v>74</v>
      </c>
      <c r="D42" s="2" t="s">
        <v>41</v>
      </c>
      <c r="E42" s="2">
        <v>10022</v>
      </c>
      <c r="F42" s="2" t="s">
        <v>42</v>
      </c>
      <c r="G42" s="2" t="s">
        <v>36</v>
      </c>
      <c r="H42" s="2">
        <v>1</v>
      </c>
      <c r="I42" s="2" t="s">
        <v>39</v>
      </c>
      <c r="J42" s="2" t="str">
        <f>VLOOKUP(E42,[1]LL_Hub!$A$1:$B$13,2,FALSE)</f>
        <v>New York</v>
      </c>
      <c r="K42" t="str">
        <f>VLOOKUP(D42,'[2]product Table data'!$A$2:$B$12,2,FALSE)</f>
        <v>Male</v>
      </c>
      <c r="L42" t="str">
        <f>VLOOKUP($D42,'[2]product Table data'!$A$2:$G$12,L$1,FALSE)</f>
        <v>Winter Warmth</v>
      </c>
      <c r="M42" t="str">
        <f>VLOOKUP($D42,'[2]product Table data'!$A$2:$G$12,M$1,FALSE)</f>
        <v>Moldova</v>
      </c>
      <c r="N42" t="str">
        <f>VLOOKUP($D42,'[2]product Table data'!$A$2:$G$12,N$1,FALSE)</f>
        <v>Eastern Europe</v>
      </c>
      <c r="O42">
        <f>VLOOKUP($D42,'[2]product Table data'!$A$2:$G$12,O$1,FALSE)</f>
        <v>475</v>
      </c>
      <c r="P42">
        <f>VLOOKUP($D42,'[2]product Table data'!$A$2:$G$12,P$1,FALSE)</f>
        <v>600</v>
      </c>
      <c r="Q42">
        <f t="shared" si="0"/>
        <v>125</v>
      </c>
      <c r="R42" t="str">
        <f t="shared" si="1"/>
        <v>-</v>
      </c>
      <c r="S42" t="str">
        <f t="shared" si="2"/>
        <v>-</v>
      </c>
      <c r="T42" t="str">
        <f t="shared" si="3"/>
        <v>-</v>
      </c>
      <c r="U42" t="str">
        <f t="shared" si="4"/>
        <v>High Value</v>
      </c>
    </row>
    <row r="43" spans="1:21" hidden="1" x14ac:dyDescent="0.2">
      <c r="A43" s="2">
        <v>134</v>
      </c>
      <c r="B43" s="2" t="s">
        <v>9</v>
      </c>
      <c r="C43" s="2" t="s">
        <v>75</v>
      </c>
      <c r="D43" s="2" t="s">
        <v>41</v>
      </c>
      <c r="E43" s="2">
        <v>10022</v>
      </c>
      <c r="F43" s="2" t="s">
        <v>42</v>
      </c>
      <c r="G43" s="2" t="s">
        <v>36</v>
      </c>
      <c r="H43" s="2">
        <v>1</v>
      </c>
      <c r="I43" s="2" t="s">
        <v>39</v>
      </c>
      <c r="J43" s="2" t="str">
        <f>VLOOKUP(E43,[1]LL_Hub!$A$1:$B$13,2,FALSE)</f>
        <v>New York</v>
      </c>
      <c r="K43" t="str">
        <f>VLOOKUP(D43,'[2]product Table data'!$A$2:$B$12,2,FALSE)</f>
        <v>Male</v>
      </c>
      <c r="L43" t="str">
        <f>VLOOKUP($D43,'[2]product Table data'!$A$2:$G$12,L$1,FALSE)</f>
        <v>Winter Warmth</v>
      </c>
      <c r="M43" t="str">
        <f>VLOOKUP($D43,'[2]product Table data'!$A$2:$G$12,M$1,FALSE)</f>
        <v>Moldova</v>
      </c>
      <c r="N43" t="str">
        <f>VLOOKUP($D43,'[2]product Table data'!$A$2:$G$12,N$1,FALSE)</f>
        <v>Eastern Europe</v>
      </c>
      <c r="O43">
        <f>VLOOKUP($D43,'[2]product Table data'!$A$2:$G$12,O$1,FALSE)</f>
        <v>475</v>
      </c>
      <c r="P43">
        <f>VLOOKUP($D43,'[2]product Table data'!$A$2:$G$12,P$1,FALSE)</f>
        <v>600</v>
      </c>
      <c r="Q43">
        <f t="shared" si="0"/>
        <v>125</v>
      </c>
      <c r="R43" t="str">
        <f t="shared" si="1"/>
        <v>-</v>
      </c>
      <c r="S43" t="str">
        <f t="shared" si="2"/>
        <v>-</v>
      </c>
      <c r="T43" t="str">
        <f t="shared" si="3"/>
        <v>-</v>
      </c>
      <c r="U43" t="str">
        <f t="shared" si="4"/>
        <v>High Value</v>
      </c>
    </row>
    <row r="44" spans="1:21" hidden="1" x14ac:dyDescent="0.2">
      <c r="A44" s="2">
        <v>153</v>
      </c>
      <c r="B44" s="2" t="s">
        <v>9</v>
      </c>
      <c r="C44" s="2" t="s">
        <v>76</v>
      </c>
      <c r="D44" s="2" t="s">
        <v>41</v>
      </c>
      <c r="E44" s="2">
        <v>10022</v>
      </c>
      <c r="F44" s="2" t="s">
        <v>42</v>
      </c>
      <c r="G44" s="2" t="s">
        <v>36</v>
      </c>
      <c r="H44" s="2">
        <v>1</v>
      </c>
      <c r="I44" s="2" t="s">
        <v>39</v>
      </c>
      <c r="J44" s="2" t="str">
        <f>VLOOKUP(E44,[1]LL_Hub!$A$1:$B$13,2,FALSE)</f>
        <v>New York</v>
      </c>
      <c r="K44" t="str">
        <f>VLOOKUP(D44,'[2]product Table data'!$A$2:$B$12,2,FALSE)</f>
        <v>Male</v>
      </c>
      <c r="L44" t="str">
        <f>VLOOKUP($D44,'[2]product Table data'!$A$2:$G$12,L$1,FALSE)</f>
        <v>Winter Warmth</v>
      </c>
      <c r="M44" t="str">
        <f>VLOOKUP($D44,'[2]product Table data'!$A$2:$G$12,M$1,FALSE)</f>
        <v>Moldova</v>
      </c>
      <c r="N44" t="str">
        <f>VLOOKUP($D44,'[2]product Table data'!$A$2:$G$12,N$1,FALSE)</f>
        <v>Eastern Europe</v>
      </c>
      <c r="O44">
        <f>VLOOKUP($D44,'[2]product Table data'!$A$2:$G$12,O$1,FALSE)</f>
        <v>475</v>
      </c>
      <c r="P44">
        <f>VLOOKUP($D44,'[2]product Table data'!$A$2:$G$12,P$1,FALSE)</f>
        <v>600</v>
      </c>
      <c r="Q44">
        <f t="shared" si="0"/>
        <v>125</v>
      </c>
      <c r="R44" t="str">
        <f t="shared" si="1"/>
        <v>-</v>
      </c>
      <c r="S44" t="str">
        <f t="shared" si="2"/>
        <v>-</v>
      </c>
      <c r="T44" t="str">
        <f t="shared" si="3"/>
        <v>-</v>
      </c>
      <c r="U44" t="str">
        <f t="shared" si="4"/>
        <v>High Value</v>
      </c>
    </row>
    <row r="45" spans="1:21" hidden="1" x14ac:dyDescent="0.2">
      <c r="A45" s="2">
        <v>154</v>
      </c>
      <c r="B45" s="2" t="s">
        <v>9</v>
      </c>
      <c r="C45" s="2" t="s">
        <v>77</v>
      </c>
      <c r="D45" s="2" t="s">
        <v>41</v>
      </c>
      <c r="E45" s="2">
        <v>10022</v>
      </c>
      <c r="F45" s="2" t="s">
        <v>42</v>
      </c>
      <c r="G45" s="2" t="s">
        <v>36</v>
      </c>
      <c r="H45" s="2">
        <v>1</v>
      </c>
      <c r="I45" s="2" t="s">
        <v>39</v>
      </c>
      <c r="J45" s="2" t="str">
        <f>VLOOKUP(E45,[1]LL_Hub!$A$1:$B$13,2,FALSE)</f>
        <v>New York</v>
      </c>
      <c r="K45" t="str">
        <f>VLOOKUP(D45,'[2]product Table data'!$A$2:$B$12,2,FALSE)</f>
        <v>Male</v>
      </c>
      <c r="L45" t="str">
        <f>VLOOKUP($D45,'[2]product Table data'!$A$2:$G$12,L$1,FALSE)</f>
        <v>Winter Warmth</v>
      </c>
      <c r="M45" t="str">
        <f>VLOOKUP($D45,'[2]product Table data'!$A$2:$G$12,M$1,FALSE)</f>
        <v>Moldova</v>
      </c>
      <c r="N45" t="str">
        <f>VLOOKUP($D45,'[2]product Table data'!$A$2:$G$12,N$1,FALSE)</f>
        <v>Eastern Europe</v>
      </c>
      <c r="O45">
        <f>VLOOKUP($D45,'[2]product Table data'!$A$2:$G$12,O$1,FALSE)</f>
        <v>475</v>
      </c>
      <c r="P45">
        <f>VLOOKUP($D45,'[2]product Table data'!$A$2:$G$12,P$1,FALSE)</f>
        <v>600</v>
      </c>
      <c r="Q45">
        <f t="shared" si="0"/>
        <v>125</v>
      </c>
      <c r="R45" t="str">
        <f t="shared" si="1"/>
        <v>-</v>
      </c>
      <c r="S45" t="str">
        <f t="shared" si="2"/>
        <v>-</v>
      </c>
      <c r="T45" t="str">
        <f t="shared" si="3"/>
        <v>-</v>
      </c>
      <c r="U45" t="str">
        <f t="shared" si="4"/>
        <v>High Value</v>
      </c>
    </row>
    <row r="46" spans="1:21" hidden="1" x14ac:dyDescent="0.2">
      <c r="A46" s="2">
        <v>171</v>
      </c>
      <c r="B46" s="2" t="s">
        <v>9</v>
      </c>
      <c r="C46" s="2" t="s">
        <v>78</v>
      </c>
      <c r="D46" s="2" t="s">
        <v>41</v>
      </c>
      <c r="E46" s="2">
        <v>10022</v>
      </c>
      <c r="F46" s="2" t="s">
        <v>42</v>
      </c>
      <c r="G46" s="2" t="s">
        <v>36</v>
      </c>
      <c r="H46" s="2">
        <v>1</v>
      </c>
      <c r="I46" s="2" t="s">
        <v>39</v>
      </c>
      <c r="J46" s="2" t="str">
        <f>VLOOKUP(E46,[1]LL_Hub!$A$1:$B$13,2,FALSE)</f>
        <v>New York</v>
      </c>
      <c r="K46" t="str">
        <f>VLOOKUP(D46,'[2]product Table data'!$A$2:$B$12,2,FALSE)</f>
        <v>Male</v>
      </c>
      <c r="L46" t="str">
        <f>VLOOKUP($D46,'[2]product Table data'!$A$2:$G$12,L$1,FALSE)</f>
        <v>Winter Warmth</v>
      </c>
      <c r="M46" t="str">
        <f>VLOOKUP($D46,'[2]product Table data'!$A$2:$G$12,M$1,FALSE)</f>
        <v>Moldova</v>
      </c>
      <c r="N46" t="str">
        <f>VLOOKUP($D46,'[2]product Table data'!$A$2:$G$12,N$1,FALSE)</f>
        <v>Eastern Europe</v>
      </c>
      <c r="O46">
        <f>VLOOKUP($D46,'[2]product Table data'!$A$2:$G$12,O$1,FALSE)</f>
        <v>475</v>
      </c>
      <c r="P46">
        <f>VLOOKUP($D46,'[2]product Table data'!$A$2:$G$12,P$1,FALSE)</f>
        <v>600</v>
      </c>
      <c r="Q46">
        <f t="shared" si="0"/>
        <v>125</v>
      </c>
      <c r="R46" t="str">
        <f t="shared" si="1"/>
        <v>-</v>
      </c>
      <c r="S46" t="str">
        <f t="shared" si="2"/>
        <v>-</v>
      </c>
      <c r="T46" t="str">
        <f t="shared" si="3"/>
        <v>-</v>
      </c>
      <c r="U46" t="str">
        <f t="shared" si="4"/>
        <v>High Value</v>
      </c>
    </row>
    <row r="47" spans="1:21" hidden="1" x14ac:dyDescent="0.2">
      <c r="A47" s="2">
        <v>172</v>
      </c>
      <c r="B47" s="2" t="s">
        <v>9</v>
      </c>
      <c r="C47" s="2" t="s">
        <v>79</v>
      </c>
      <c r="D47" s="2" t="s">
        <v>41</v>
      </c>
      <c r="E47" s="2">
        <v>10022</v>
      </c>
      <c r="F47" s="2" t="s">
        <v>42</v>
      </c>
      <c r="G47" s="2" t="s">
        <v>36</v>
      </c>
      <c r="H47" s="2">
        <v>1</v>
      </c>
      <c r="I47" s="2" t="s">
        <v>39</v>
      </c>
      <c r="J47" s="2" t="str">
        <f>VLOOKUP(E47,[1]LL_Hub!$A$1:$B$13,2,FALSE)</f>
        <v>New York</v>
      </c>
      <c r="K47" t="str">
        <f>VLOOKUP(D47,'[2]product Table data'!$A$2:$B$12,2,FALSE)</f>
        <v>Male</v>
      </c>
      <c r="L47" t="str">
        <f>VLOOKUP($D47,'[2]product Table data'!$A$2:$G$12,L$1,FALSE)</f>
        <v>Winter Warmth</v>
      </c>
      <c r="M47" t="str">
        <f>VLOOKUP($D47,'[2]product Table data'!$A$2:$G$12,M$1,FALSE)</f>
        <v>Moldova</v>
      </c>
      <c r="N47" t="str">
        <f>VLOOKUP($D47,'[2]product Table data'!$A$2:$G$12,N$1,FALSE)</f>
        <v>Eastern Europe</v>
      </c>
      <c r="O47">
        <f>VLOOKUP($D47,'[2]product Table data'!$A$2:$G$12,O$1,FALSE)</f>
        <v>475</v>
      </c>
      <c r="P47">
        <f>VLOOKUP($D47,'[2]product Table data'!$A$2:$G$12,P$1,FALSE)</f>
        <v>600</v>
      </c>
      <c r="Q47">
        <f t="shared" si="0"/>
        <v>125</v>
      </c>
      <c r="R47" t="str">
        <f t="shared" si="1"/>
        <v>-</v>
      </c>
      <c r="S47" t="str">
        <f t="shared" si="2"/>
        <v>-</v>
      </c>
      <c r="T47" t="str">
        <f t="shared" si="3"/>
        <v>-</v>
      </c>
      <c r="U47" t="str">
        <f t="shared" si="4"/>
        <v>High Value</v>
      </c>
    </row>
    <row r="48" spans="1:21" hidden="1" x14ac:dyDescent="0.2">
      <c r="A48" s="2">
        <v>173</v>
      </c>
      <c r="B48" s="2" t="s">
        <v>9</v>
      </c>
      <c r="C48" s="2" t="s">
        <v>80</v>
      </c>
      <c r="D48" s="2" t="s">
        <v>41</v>
      </c>
      <c r="E48" s="2">
        <v>10022</v>
      </c>
      <c r="F48" s="2" t="s">
        <v>42</v>
      </c>
      <c r="G48" s="2" t="s">
        <v>36</v>
      </c>
      <c r="H48" s="2">
        <v>1</v>
      </c>
      <c r="I48" s="2" t="s">
        <v>39</v>
      </c>
      <c r="J48" s="2" t="str">
        <f>VLOOKUP(E48,[1]LL_Hub!$A$1:$B$13,2,FALSE)</f>
        <v>New York</v>
      </c>
      <c r="K48" t="str">
        <f>VLOOKUP(D48,'[2]product Table data'!$A$2:$B$12,2,FALSE)</f>
        <v>Male</v>
      </c>
      <c r="L48" t="str">
        <f>VLOOKUP($D48,'[2]product Table data'!$A$2:$G$12,L$1,FALSE)</f>
        <v>Winter Warmth</v>
      </c>
      <c r="M48" t="str">
        <f>VLOOKUP($D48,'[2]product Table data'!$A$2:$G$12,M$1,FALSE)</f>
        <v>Moldova</v>
      </c>
      <c r="N48" t="str">
        <f>VLOOKUP($D48,'[2]product Table data'!$A$2:$G$12,N$1,FALSE)</f>
        <v>Eastern Europe</v>
      </c>
      <c r="O48">
        <f>VLOOKUP($D48,'[2]product Table data'!$A$2:$G$12,O$1,FALSE)</f>
        <v>475</v>
      </c>
      <c r="P48">
        <f>VLOOKUP($D48,'[2]product Table data'!$A$2:$G$12,P$1,FALSE)</f>
        <v>600</v>
      </c>
      <c r="Q48">
        <f t="shared" si="0"/>
        <v>125</v>
      </c>
      <c r="R48" t="str">
        <f t="shared" si="1"/>
        <v>-</v>
      </c>
      <c r="S48" t="str">
        <f t="shared" si="2"/>
        <v>-</v>
      </c>
      <c r="T48" t="str">
        <f t="shared" si="3"/>
        <v>-</v>
      </c>
      <c r="U48" t="str">
        <f t="shared" si="4"/>
        <v>High Value</v>
      </c>
    </row>
    <row r="49" spans="1:21" hidden="1" x14ac:dyDescent="0.2">
      <c r="A49" s="2">
        <v>174</v>
      </c>
      <c r="B49" s="2" t="s">
        <v>9</v>
      </c>
      <c r="C49" s="2" t="s">
        <v>81</v>
      </c>
      <c r="D49" s="2" t="s">
        <v>41</v>
      </c>
      <c r="E49" s="2">
        <v>10022</v>
      </c>
      <c r="F49" s="2" t="s">
        <v>42</v>
      </c>
      <c r="G49" s="2" t="s">
        <v>36</v>
      </c>
      <c r="H49" s="2">
        <v>1</v>
      </c>
      <c r="I49" s="2" t="s">
        <v>39</v>
      </c>
      <c r="J49" s="2" t="str">
        <f>VLOOKUP(E49,[1]LL_Hub!$A$1:$B$13,2,FALSE)</f>
        <v>New York</v>
      </c>
      <c r="K49" t="str">
        <f>VLOOKUP(D49,'[2]product Table data'!$A$2:$B$12,2,FALSE)</f>
        <v>Male</v>
      </c>
      <c r="L49" t="str">
        <f>VLOOKUP($D49,'[2]product Table data'!$A$2:$G$12,L$1,FALSE)</f>
        <v>Winter Warmth</v>
      </c>
      <c r="M49" t="str">
        <f>VLOOKUP($D49,'[2]product Table data'!$A$2:$G$12,M$1,FALSE)</f>
        <v>Moldova</v>
      </c>
      <c r="N49" t="str">
        <f>VLOOKUP($D49,'[2]product Table data'!$A$2:$G$12,N$1,FALSE)</f>
        <v>Eastern Europe</v>
      </c>
      <c r="O49">
        <f>VLOOKUP($D49,'[2]product Table data'!$A$2:$G$12,O$1,FALSE)</f>
        <v>475</v>
      </c>
      <c r="P49">
        <f>VLOOKUP($D49,'[2]product Table data'!$A$2:$G$12,P$1,FALSE)</f>
        <v>600</v>
      </c>
      <c r="Q49">
        <f t="shared" si="0"/>
        <v>125</v>
      </c>
      <c r="R49" t="str">
        <f t="shared" si="1"/>
        <v>-</v>
      </c>
      <c r="S49" t="str">
        <f t="shared" si="2"/>
        <v>-</v>
      </c>
      <c r="T49" t="str">
        <f t="shared" si="3"/>
        <v>-</v>
      </c>
      <c r="U49" t="str">
        <f t="shared" si="4"/>
        <v>High Value</v>
      </c>
    </row>
    <row r="50" spans="1:21" hidden="1" x14ac:dyDescent="0.2">
      <c r="A50" s="2">
        <v>175</v>
      </c>
      <c r="B50" s="2" t="s">
        <v>9</v>
      </c>
      <c r="C50" s="2" t="s">
        <v>82</v>
      </c>
      <c r="D50" s="2" t="s">
        <v>41</v>
      </c>
      <c r="E50" s="2">
        <v>10022</v>
      </c>
      <c r="F50" s="2" t="s">
        <v>42</v>
      </c>
      <c r="G50" s="2" t="s">
        <v>36</v>
      </c>
      <c r="H50" s="2">
        <v>1</v>
      </c>
      <c r="I50" s="2" t="s">
        <v>39</v>
      </c>
      <c r="J50" s="2" t="str">
        <f>VLOOKUP(E50,[1]LL_Hub!$A$1:$B$13,2,FALSE)</f>
        <v>New York</v>
      </c>
      <c r="K50" t="str">
        <f>VLOOKUP(D50,'[2]product Table data'!$A$2:$B$12,2,FALSE)</f>
        <v>Male</v>
      </c>
      <c r="L50" t="str">
        <f>VLOOKUP($D50,'[2]product Table data'!$A$2:$G$12,L$1,FALSE)</f>
        <v>Winter Warmth</v>
      </c>
      <c r="M50" t="str">
        <f>VLOOKUP($D50,'[2]product Table data'!$A$2:$G$12,M$1,FALSE)</f>
        <v>Moldova</v>
      </c>
      <c r="N50" t="str">
        <f>VLOOKUP($D50,'[2]product Table data'!$A$2:$G$12,N$1,FALSE)</f>
        <v>Eastern Europe</v>
      </c>
      <c r="O50">
        <f>VLOOKUP($D50,'[2]product Table data'!$A$2:$G$12,O$1,FALSE)</f>
        <v>475</v>
      </c>
      <c r="P50">
        <f>VLOOKUP($D50,'[2]product Table data'!$A$2:$G$12,P$1,FALSE)</f>
        <v>600</v>
      </c>
      <c r="Q50">
        <f t="shared" si="0"/>
        <v>125</v>
      </c>
      <c r="R50" t="str">
        <f t="shared" si="1"/>
        <v>-</v>
      </c>
      <c r="S50" t="str">
        <f t="shared" si="2"/>
        <v>-</v>
      </c>
      <c r="T50" t="str">
        <f t="shared" si="3"/>
        <v>-</v>
      </c>
      <c r="U50" t="str">
        <f t="shared" si="4"/>
        <v>High Value</v>
      </c>
    </row>
    <row r="51" spans="1:21" hidden="1" x14ac:dyDescent="0.2">
      <c r="A51" s="2">
        <v>176</v>
      </c>
      <c r="B51" s="2" t="s">
        <v>9</v>
      </c>
      <c r="C51" s="2" t="s">
        <v>83</v>
      </c>
      <c r="D51" s="2" t="s">
        <v>41</v>
      </c>
      <c r="E51" s="2">
        <v>10022</v>
      </c>
      <c r="F51" s="2" t="s">
        <v>42</v>
      </c>
      <c r="G51" s="2" t="s">
        <v>36</v>
      </c>
      <c r="H51" s="2">
        <v>1</v>
      </c>
      <c r="I51" s="2" t="s">
        <v>39</v>
      </c>
      <c r="J51" s="2" t="str">
        <f>VLOOKUP(E51,[1]LL_Hub!$A$1:$B$13,2,FALSE)</f>
        <v>New York</v>
      </c>
      <c r="K51" t="str">
        <f>VLOOKUP(D51,'[2]product Table data'!$A$2:$B$12,2,FALSE)</f>
        <v>Male</v>
      </c>
      <c r="L51" t="str">
        <f>VLOOKUP($D51,'[2]product Table data'!$A$2:$G$12,L$1,FALSE)</f>
        <v>Winter Warmth</v>
      </c>
      <c r="M51" t="str">
        <f>VLOOKUP($D51,'[2]product Table data'!$A$2:$G$12,M$1,FALSE)</f>
        <v>Moldova</v>
      </c>
      <c r="N51" t="str">
        <f>VLOOKUP($D51,'[2]product Table data'!$A$2:$G$12,N$1,FALSE)</f>
        <v>Eastern Europe</v>
      </c>
      <c r="O51">
        <f>VLOOKUP($D51,'[2]product Table data'!$A$2:$G$12,O$1,FALSE)</f>
        <v>475</v>
      </c>
      <c r="P51">
        <f>VLOOKUP($D51,'[2]product Table data'!$A$2:$G$12,P$1,FALSE)</f>
        <v>600</v>
      </c>
      <c r="Q51">
        <f t="shared" si="0"/>
        <v>125</v>
      </c>
      <c r="R51" t="str">
        <f t="shared" si="1"/>
        <v>-</v>
      </c>
      <c r="S51" t="str">
        <f t="shared" si="2"/>
        <v>-</v>
      </c>
      <c r="T51" t="str">
        <f t="shared" si="3"/>
        <v>-</v>
      </c>
      <c r="U51" t="str">
        <f t="shared" si="4"/>
        <v>High Value</v>
      </c>
    </row>
    <row r="52" spans="1:21" hidden="1" x14ac:dyDescent="0.2">
      <c r="A52" s="2">
        <v>179</v>
      </c>
      <c r="B52" s="2" t="s">
        <v>9</v>
      </c>
      <c r="C52" s="2" t="s">
        <v>84</v>
      </c>
      <c r="D52" s="2" t="s">
        <v>22</v>
      </c>
      <c r="E52" s="2">
        <v>10022</v>
      </c>
      <c r="F52" s="2" t="s">
        <v>38</v>
      </c>
      <c r="G52" s="2" t="s">
        <v>36</v>
      </c>
      <c r="H52" s="2">
        <v>1</v>
      </c>
      <c r="I52" s="2" t="s">
        <v>39</v>
      </c>
      <c r="J52" s="2" t="str">
        <f>VLOOKUP(E52,[1]LL_Hub!$A$1:$B$13,2,FALSE)</f>
        <v>New York</v>
      </c>
      <c r="K52" t="str">
        <f>VLOOKUP(D52,'[2]product Table data'!$A$2:$B$12,2,FALSE)</f>
        <v>Male</v>
      </c>
      <c r="L52" t="str">
        <f>VLOOKUP($D52,'[2]product Table data'!$A$2:$G$12,L$1,FALSE)</f>
        <v>Fancy Sheek</v>
      </c>
      <c r="M52" t="str">
        <f>VLOOKUP($D52,'[2]product Table data'!$A$2:$G$12,M$1,FALSE)</f>
        <v>Afghanistan</v>
      </c>
      <c r="N52" t="str">
        <f>VLOOKUP($D52,'[2]product Table data'!$A$2:$G$12,N$1,FALSE)</f>
        <v>Middle East</v>
      </c>
      <c r="O52">
        <f>VLOOKUP($D52,'[2]product Table data'!$A$2:$G$12,O$1,FALSE)</f>
        <v>450</v>
      </c>
      <c r="P52">
        <f>VLOOKUP($D52,'[2]product Table data'!$A$2:$G$12,P$1,FALSE)</f>
        <v>550</v>
      </c>
      <c r="Q52">
        <f t="shared" si="0"/>
        <v>100</v>
      </c>
      <c r="R52" t="str">
        <f t="shared" si="1"/>
        <v>-</v>
      </c>
      <c r="S52" t="str">
        <f t="shared" si="2"/>
        <v>Style Risk</v>
      </c>
      <c r="T52" t="str">
        <f t="shared" si="3"/>
        <v>-</v>
      </c>
      <c r="U52" t="str">
        <f t="shared" si="4"/>
        <v>High Value</v>
      </c>
    </row>
    <row r="53" spans="1:21" x14ac:dyDescent="0.2">
      <c r="A53" s="2">
        <v>396</v>
      </c>
      <c r="B53" s="2" t="s">
        <v>9</v>
      </c>
      <c r="C53" s="2" t="s">
        <v>978</v>
      </c>
      <c r="D53" s="2" t="s">
        <v>558</v>
      </c>
      <c r="E53" s="2">
        <v>90005</v>
      </c>
      <c r="F53" s="2" t="s">
        <v>979</v>
      </c>
      <c r="G53" s="2" t="s">
        <v>13</v>
      </c>
      <c r="H53" s="2">
        <v>1</v>
      </c>
      <c r="I53" s="2" t="s">
        <v>14</v>
      </c>
      <c r="J53" s="2" t="str">
        <f>VLOOKUP(E53,[1]LL_Hub!$A$1:$B$13,2,FALSE)</f>
        <v>Los Angeles</v>
      </c>
      <c r="K53" t="str">
        <f>VLOOKUP(D53,'[2]product Table data'!$A$2:$B$12,2,FALSE)</f>
        <v>Female</v>
      </c>
      <c r="L53" t="str">
        <f>VLOOKUP($D53,'[2]product Table data'!$A$2:$G$12,L$1,FALSE)</f>
        <v>Fancy Sheek</v>
      </c>
      <c r="M53" t="str">
        <f>VLOOKUP($D53,'[2]product Table data'!$A$2:$G$12,M$1,FALSE)</f>
        <v>Afghanistan</v>
      </c>
      <c r="N53" t="str">
        <f>VLOOKUP($D53,'[2]product Table data'!$A$2:$G$12,N$1,FALSE)</f>
        <v>Middle East</v>
      </c>
      <c r="O53">
        <f>VLOOKUP($D53,'[2]product Table data'!$A$2:$G$12,O$1,FALSE)</f>
        <v>150</v>
      </c>
      <c r="P53">
        <f>VLOOKUP($D53,'[2]product Table data'!$A$2:$G$12,P$1,FALSE)</f>
        <v>75</v>
      </c>
      <c r="Q53">
        <f t="shared" si="0"/>
        <v>-75</v>
      </c>
      <c r="R53" t="str">
        <f t="shared" si="1"/>
        <v>Hub Risk</v>
      </c>
      <c r="S53" t="str">
        <f t="shared" si="2"/>
        <v>Style Risk</v>
      </c>
      <c r="T53" t="str">
        <f t="shared" si="3"/>
        <v>Risk</v>
      </c>
      <c r="U53" t="str">
        <f t="shared" si="4"/>
        <v>Low Value</v>
      </c>
    </row>
    <row r="54" spans="1:21" x14ac:dyDescent="0.2">
      <c r="A54" s="2">
        <v>397</v>
      </c>
      <c r="B54" s="2" t="s">
        <v>9</v>
      </c>
      <c r="C54" s="2" t="s">
        <v>980</v>
      </c>
      <c r="D54" s="2" t="s">
        <v>558</v>
      </c>
      <c r="E54" s="2">
        <v>90005</v>
      </c>
      <c r="F54" s="2" t="s">
        <v>981</v>
      </c>
      <c r="G54" s="2" t="s">
        <v>36</v>
      </c>
      <c r="H54" s="2">
        <v>1</v>
      </c>
      <c r="I54" s="2" t="s">
        <v>14</v>
      </c>
      <c r="J54" s="2" t="str">
        <f>VLOOKUP(E54,[1]LL_Hub!$A$1:$B$13,2,FALSE)</f>
        <v>Los Angeles</v>
      </c>
      <c r="K54" t="str">
        <f>VLOOKUP(D54,'[2]product Table data'!$A$2:$B$12,2,FALSE)</f>
        <v>Female</v>
      </c>
      <c r="L54" t="str">
        <f>VLOOKUP($D54,'[2]product Table data'!$A$2:$G$12,L$1,FALSE)</f>
        <v>Fancy Sheek</v>
      </c>
      <c r="M54" t="str">
        <f>VLOOKUP($D54,'[2]product Table data'!$A$2:$G$12,M$1,FALSE)</f>
        <v>Afghanistan</v>
      </c>
      <c r="N54" t="str">
        <f>VLOOKUP($D54,'[2]product Table data'!$A$2:$G$12,N$1,FALSE)</f>
        <v>Middle East</v>
      </c>
      <c r="O54">
        <f>VLOOKUP($D54,'[2]product Table data'!$A$2:$G$12,O$1,FALSE)</f>
        <v>150</v>
      </c>
      <c r="P54">
        <f>VLOOKUP($D54,'[2]product Table data'!$A$2:$G$12,P$1,FALSE)</f>
        <v>75</v>
      </c>
      <c r="Q54">
        <f t="shared" si="0"/>
        <v>-75</v>
      </c>
      <c r="R54" t="str">
        <f t="shared" si="1"/>
        <v>Hub Risk</v>
      </c>
      <c r="S54" t="str">
        <f t="shared" si="2"/>
        <v>Style Risk</v>
      </c>
      <c r="T54" t="str">
        <f t="shared" si="3"/>
        <v>Risk</v>
      </c>
      <c r="U54" t="str">
        <f t="shared" si="4"/>
        <v>Low Value</v>
      </c>
    </row>
    <row r="55" spans="1:21" x14ac:dyDescent="0.2">
      <c r="A55" s="2">
        <v>398</v>
      </c>
      <c r="B55" s="2" t="s">
        <v>9</v>
      </c>
      <c r="C55" s="2" t="s">
        <v>982</v>
      </c>
      <c r="D55" s="2" t="s">
        <v>558</v>
      </c>
      <c r="E55" s="2">
        <v>90005</v>
      </c>
      <c r="F55" s="2" t="s">
        <v>981</v>
      </c>
      <c r="G55" s="2" t="s">
        <v>36</v>
      </c>
      <c r="H55" s="2">
        <v>1</v>
      </c>
      <c r="I55" s="2" t="s">
        <v>14</v>
      </c>
      <c r="J55" s="2" t="str">
        <f>VLOOKUP(E55,[1]LL_Hub!$A$1:$B$13,2,FALSE)</f>
        <v>Los Angeles</v>
      </c>
      <c r="K55" t="str">
        <f>VLOOKUP(D55,'[2]product Table data'!$A$2:$B$12,2,FALSE)</f>
        <v>Female</v>
      </c>
      <c r="L55" t="str">
        <f>VLOOKUP($D55,'[2]product Table data'!$A$2:$G$12,L$1,FALSE)</f>
        <v>Fancy Sheek</v>
      </c>
      <c r="M55" t="str">
        <f>VLOOKUP($D55,'[2]product Table data'!$A$2:$G$12,M$1,FALSE)</f>
        <v>Afghanistan</v>
      </c>
      <c r="N55" t="str">
        <f>VLOOKUP($D55,'[2]product Table data'!$A$2:$G$12,N$1,FALSE)</f>
        <v>Middle East</v>
      </c>
      <c r="O55">
        <f>VLOOKUP($D55,'[2]product Table data'!$A$2:$G$12,O$1,FALSE)</f>
        <v>150</v>
      </c>
      <c r="P55">
        <f>VLOOKUP($D55,'[2]product Table data'!$A$2:$G$12,P$1,FALSE)</f>
        <v>75</v>
      </c>
      <c r="Q55">
        <f t="shared" si="0"/>
        <v>-75</v>
      </c>
      <c r="R55" t="str">
        <f t="shared" si="1"/>
        <v>Hub Risk</v>
      </c>
      <c r="S55" t="str">
        <f t="shared" si="2"/>
        <v>Style Risk</v>
      </c>
      <c r="T55" t="str">
        <f t="shared" si="3"/>
        <v>Risk</v>
      </c>
      <c r="U55" t="str">
        <f t="shared" si="4"/>
        <v>Low Value</v>
      </c>
    </row>
    <row r="56" spans="1:21" hidden="1" x14ac:dyDescent="0.2">
      <c r="A56" s="2">
        <v>415</v>
      </c>
      <c r="B56" s="2" t="s">
        <v>9</v>
      </c>
      <c r="C56" s="2" t="s">
        <v>91</v>
      </c>
      <c r="D56" s="2" t="s">
        <v>19</v>
      </c>
      <c r="E56" s="2">
        <v>90005</v>
      </c>
      <c r="F56" s="2" t="s">
        <v>92</v>
      </c>
      <c r="G56" s="2" t="s">
        <v>13</v>
      </c>
      <c r="H56" s="2">
        <v>1</v>
      </c>
      <c r="I56" s="2" t="s">
        <v>17</v>
      </c>
      <c r="J56" s="2" t="str">
        <f>VLOOKUP(E56,[1]LL_Hub!$A$1:$B$13,2,FALSE)</f>
        <v>Los Angeles</v>
      </c>
      <c r="K56" t="str">
        <f>VLOOKUP(D56,'[2]product Table data'!$A$2:$B$12,2,FALSE)</f>
        <v>Male</v>
      </c>
      <c r="L56" t="str">
        <f>VLOOKUP($D56,'[2]product Table data'!$A$2:$G$12,L$1,FALSE)</f>
        <v>Casual n Light</v>
      </c>
      <c r="M56" t="str">
        <f>VLOOKUP($D56,'[2]product Table data'!$A$2:$G$12,M$1,FALSE)</f>
        <v>Kenya</v>
      </c>
      <c r="N56" t="str">
        <f>VLOOKUP($D56,'[2]product Table data'!$A$2:$G$12,N$1,FALSE)</f>
        <v>Africa</v>
      </c>
      <c r="O56">
        <f>VLOOKUP($D56,'[2]product Table data'!$A$2:$G$12,O$1,FALSE)</f>
        <v>15</v>
      </c>
      <c r="P56">
        <f>VLOOKUP($D56,'[2]product Table data'!$A$2:$G$12,P$1,FALSE)</f>
        <v>30</v>
      </c>
      <c r="Q56">
        <f t="shared" si="0"/>
        <v>15</v>
      </c>
      <c r="R56" t="str">
        <f t="shared" si="1"/>
        <v>Hub Risk</v>
      </c>
      <c r="S56" t="str">
        <f t="shared" si="2"/>
        <v>Style Risk</v>
      </c>
      <c r="T56" t="str">
        <f t="shared" si="3"/>
        <v>Risk</v>
      </c>
      <c r="U56" t="str">
        <f t="shared" si="4"/>
        <v>High Value</v>
      </c>
    </row>
    <row r="57" spans="1:21" hidden="1" x14ac:dyDescent="0.2">
      <c r="A57" s="2">
        <v>431</v>
      </c>
      <c r="B57" s="2" t="s">
        <v>9</v>
      </c>
      <c r="C57" s="2" t="s">
        <v>93</v>
      </c>
      <c r="D57" s="2" t="s">
        <v>19</v>
      </c>
      <c r="E57" s="2">
        <v>33101</v>
      </c>
      <c r="F57" s="2" t="s">
        <v>94</v>
      </c>
      <c r="G57" s="2" t="s">
        <v>13</v>
      </c>
      <c r="H57" s="2">
        <v>1</v>
      </c>
      <c r="I57" s="2" t="s">
        <v>17</v>
      </c>
      <c r="J57" s="2" t="str">
        <f>VLOOKUP(E57,[1]LL_Hub!$A$1:$B$13,2,FALSE)</f>
        <v>Miami</v>
      </c>
      <c r="K57" t="str">
        <f>VLOOKUP(D57,'[2]product Table data'!$A$2:$B$12,2,FALSE)</f>
        <v>Male</v>
      </c>
      <c r="L57" t="str">
        <f>VLOOKUP($D57,'[2]product Table data'!$A$2:$G$12,L$1,FALSE)</f>
        <v>Casual n Light</v>
      </c>
      <c r="M57" t="str">
        <f>VLOOKUP($D57,'[2]product Table data'!$A$2:$G$12,M$1,FALSE)</f>
        <v>Kenya</v>
      </c>
      <c r="N57" t="str">
        <f>VLOOKUP($D57,'[2]product Table data'!$A$2:$G$12,N$1,FALSE)</f>
        <v>Africa</v>
      </c>
      <c r="O57">
        <f>VLOOKUP($D57,'[2]product Table data'!$A$2:$G$12,O$1,FALSE)</f>
        <v>15</v>
      </c>
      <c r="P57">
        <f>VLOOKUP($D57,'[2]product Table data'!$A$2:$G$12,P$1,FALSE)</f>
        <v>30</v>
      </c>
      <c r="Q57">
        <f t="shared" si="0"/>
        <v>15</v>
      </c>
      <c r="R57" t="str">
        <f t="shared" si="1"/>
        <v>-</v>
      </c>
      <c r="S57" t="str">
        <f t="shared" si="2"/>
        <v>Style Risk</v>
      </c>
      <c r="T57" t="str">
        <f t="shared" si="3"/>
        <v>-</v>
      </c>
      <c r="U57" t="str">
        <f t="shared" si="4"/>
        <v>High Value</v>
      </c>
    </row>
    <row r="58" spans="1:21" hidden="1" x14ac:dyDescent="0.2">
      <c r="A58" s="2">
        <v>432</v>
      </c>
      <c r="B58" s="2" t="s">
        <v>9</v>
      </c>
      <c r="C58" s="2" t="s">
        <v>95</v>
      </c>
      <c r="D58" s="2" t="s">
        <v>19</v>
      </c>
      <c r="E58" s="2">
        <v>33101</v>
      </c>
      <c r="F58" s="2" t="s">
        <v>96</v>
      </c>
      <c r="G58" s="2" t="s">
        <v>36</v>
      </c>
      <c r="H58" s="2">
        <v>1</v>
      </c>
      <c r="I58" s="2" t="s">
        <v>39</v>
      </c>
      <c r="J58" s="2" t="str">
        <f>VLOOKUP(E58,[1]LL_Hub!$A$1:$B$13,2,FALSE)</f>
        <v>Miami</v>
      </c>
      <c r="K58" t="str">
        <f>VLOOKUP(D58,'[2]product Table data'!$A$2:$B$12,2,FALSE)</f>
        <v>Male</v>
      </c>
      <c r="L58" t="str">
        <f>VLOOKUP($D58,'[2]product Table data'!$A$2:$G$12,L$1,FALSE)</f>
        <v>Casual n Light</v>
      </c>
      <c r="M58" t="str">
        <f>VLOOKUP($D58,'[2]product Table data'!$A$2:$G$12,M$1,FALSE)</f>
        <v>Kenya</v>
      </c>
      <c r="N58" t="str">
        <f>VLOOKUP($D58,'[2]product Table data'!$A$2:$G$12,N$1,FALSE)</f>
        <v>Africa</v>
      </c>
      <c r="O58">
        <f>VLOOKUP($D58,'[2]product Table data'!$A$2:$G$12,O$1,FALSE)</f>
        <v>15</v>
      </c>
      <c r="P58">
        <f>VLOOKUP($D58,'[2]product Table data'!$A$2:$G$12,P$1,FALSE)</f>
        <v>30</v>
      </c>
      <c r="Q58">
        <f t="shared" si="0"/>
        <v>15</v>
      </c>
      <c r="R58" t="str">
        <f t="shared" si="1"/>
        <v>-</v>
      </c>
      <c r="S58" t="str">
        <f t="shared" si="2"/>
        <v>Style Risk</v>
      </c>
      <c r="T58" t="str">
        <f t="shared" si="3"/>
        <v>-</v>
      </c>
      <c r="U58" t="str">
        <f t="shared" si="4"/>
        <v>High Value</v>
      </c>
    </row>
    <row r="59" spans="1:21" hidden="1" x14ac:dyDescent="0.2">
      <c r="A59" s="2">
        <v>458</v>
      </c>
      <c r="B59" s="2" t="s">
        <v>9</v>
      </c>
      <c r="C59" s="2" t="s">
        <v>97</v>
      </c>
      <c r="D59" s="2" t="s">
        <v>22</v>
      </c>
      <c r="E59" s="2">
        <v>33125</v>
      </c>
      <c r="F59" s="2" t="s">
        <v>98</v>
      </c>
      <c r="G59" s="2" t="s">
        <v>36</v>
      </c>
      <c r="H59" s="2">
        <v>1</v>
      </c>
      <c r="I59" s="2" t="s">
        <v>17</v>
      </c>
      <c r="J59" s="2" t="str">
        <f>VLOOKUP(E59,[1]LL_Hub!$A$1:$B$13,2,FALSE)</f>
        <v>Miami</v>
      </c>
      <c r="K59" t="str">
        <f>VLOOKUP(D59,'[2]product Table data'!$A$2:$B$12,2,FALSE)</f>
        <v>Male</v>
      </c>
      <c r="L59" t="str">
        <f>VLOOKUP($D59,'[2]product Table data'!$A$2:$G$12,L$1,FALSE)</f>
        <v>Fancy Sheek</v>
      </c>
      <c r="M59" t="str">
        <f>VLOOKUP($D59,'[2]product Table data'!$A$2:$G$12,M$1,FALSE)</f>
        <v>Afghanistan</v>
      </c>
      <c r="N59" t="str">
        <f>VLOOKUP($D59,'[2]product Table data'!$A$2:$G$12,N$1,FALSE)</f>
        <v>Middle East</v>
      </c>
      <c r="O59">
        <f>VLOOKUP($D59,'[2]product Table data'!$A$2:$G$12,O$1,FALSE)</f>
        <v>450</v>
      </c>
      <c r="P59">
        <f>VLOOKUP($D59,'[2]product Table data'!$A$2:$G$12,P$1,FALSE)</f>
        <v>550</v>
      </c>
      <c r="Q59">
        <f t="shared" si="0"/>
        <v>100</v>
      </c>
      <c r="R59" t="str">
        <f t="shared" si="1"/>
        <v>-</v>
      </c>
      <c r="S59" t="str">
        <f t="shared" si="2"/>
        <v>Style Risk</v>
      </c>
      <c r="T59" t="str">
        <f t="shared" si="3"/>
        <v>-</v>
      </c>
      <c r="U59" t="str">
        <f t="shared" si="4"/>
        <v>High Value</v>
      </c>
    </row>
    <row r="60" spans="1:21" hidden="1" x14ac:dyDescent="0.2">
      <c r="A60" s="2">
        <v>459</v>
      </c>
      <c r="B60" s="2" t="s">
        <v>9</v>
      </c>
      <c r="C60" s="2" t="s">
        <v>99</v>
      </c>
      <c r="D60" s="2" t="s">
        <v>22</v>
      </c>
      <c r="E60" s="2">
        <v>33125</v>
      </c>
      <c r="F60" s="2" t="s">
        <v>98</v>
      </c>
      <c r="G60" s="2" t="s">
        <v>36</v>
      </c>
      <c r="H60" s="2">
        <v>1</v>
      </c>
      <c r="I60" s="2" t="s">
        <v>17</v>
      </c>
      <c r="J60" s="2" t="str">
        <f>VLOOKUP(E60,[1]LL_Hub!$A$1:$B$13,2,FALSE)</f>
        <v>Miami</v>
      </c>
      <c r="K60" t="str">
        <f>VLOOKUP(D60,'[2]product Table data'!$A$2:$B$12,2,FALSE)</f>
        <v>Male</v>
      </c>
      <c r="L60" t="str">
        <f>VLOOKUP($D60,'[2]product Table data'!$A$2:$G$12,L$1,FALSE)</f>
        <v>Fancy Sheek</v>
      </c>
      <c r="M60" t="str">
        <f>VLOOKUP($D60,'[2]product Table data'!$A$2:$G$12,M$1,FALSE)</f>
        <v>Afghanistan</v>
      </c>
      <c r="N60" t="str">
        <f>VLOOKUP($D60,'[2]product Table data'!$A$2:$G$12,N$1,FALSE)</f>
        <v>Middle East</v>
      </c>
      <c r="O60">
        <f>VLOOKUP($D60,'[2]product Table data'!$A$2:$G$12,O$1,FALSE)</f>
        <v>450</v>
      </c>
      <c r="P60">
        <f>VLOOKUP($D60,'[2]product Table data'!$A$2:$G$12,P$1,FALSE)</f>
        <v>550</v>
      </c>
      <c r="Q60">
        <f t="shared" si="0"/>
        <v>100</v>
      </c>
      <c r="R60" t="str">
        <f t="shared" si="1"/>
        <v>-</v>
      </c>
      <c r="S60" t="str">
        <f t="shared" si="2"/>
        <v>Style Risk</v>
      </c>
      <c r="T60" t="str">
        <f t="shared" si="3"/>
        <v>-</v>
      </c>
      <c r="U60" t="str">
        <f t="shared" si="4"/>
        <v>High Value</v>
      </c>
    </row>
    <row r="61" spans="1:21" hidden="1" x14ac:dyDescent="0.2">
      <c r="A61" s="2">
        <v>463</v>
      </c>
      <c r="B61" s="2" t="s">
        <v>9</v>
      </c>
      <c r="C61" s="2" t="s">
        <v>100</v>
      </c>
      <c r="D61" s="2" t="s">
        <v>22</v>
      </c>
      <c r="E61" s="2">
        <v>33125</v>
      </c>
      <c r="F61" s="2" t="s">
        <v>98</v>
      </c>
      <c r="G61" s="2" t="s">
        <v>36</v>
      </c>
      <c r="H61" s="2">
        <v>1</v>
      </c>
      <c r="I61" s="2" t="s">
        <v>17</v>
      </c>
      <c r="J61" s="2" t="str">
        <f>VLOOKUP(E61,[1]LL_Hub!$A$1:$B$13,2,FALSE)</f>
        <v>Miami</v>
      </c>
      <c r="K61" t="str">
        <f>VLOOKUP(D61,'[2]product Table data'!$A$2:$B$12,2,FALSE)</f>
        <v>Male</v>
      </c>
      <c r="L61" t="str">
        <f>VLOOKUP($D61,'[2]product Table data'!$A$2:$G$12,L$1,FALSE)</f>
        <v>Fancy Sheek</v>
      </c>
      <c r="M61" t="str">
        <f>VLOOKUP($D61,'[2]product Table data'!$A$2:$G$12,M$1,FALSE)</f>
        <v>Afghanistan</v>
      </c>
      <c r="N61" t="str">
        <f>VLOOKUP($D61,'[2]product Table data'!$A$2:$G$12,N$1,FALSE)</f>
        <v>Middle East</v>
      </c>
      <c r="O61">
        <f>VLOOKUP($D61,'[2]product Table data'!$A$2:$G$12,O$1,FALSE)</f>
        <v>450</v>
      </c>
      <c r="P61">
        <f>VLOOKUP($D61,'[2]product Table data'!$A$2:$G$12,P$1,FALSE)</f>
        <v>550</v>
      </c>
      <c r="Q61">
        <f t="shared" si="0"/>
        <v>100</v>
      </c>
      <c r="R61" t="str">
        <f t="shared" si="1"/>
        <v>-</v>
      </c>
      <c r="S61" t="str">
        <f t="shared" si="2"/>
        <v>Style Risk</v>
      </c>
      <c r="T61" t="str">
        <f t="shared" si="3"/>
        <v>-</v>
      </c>
      <c r="U61" t="str">
        <f t="shared" si="4"/>
        <v>High Value</v>
      </c>
    </row>
    <row r="62" spans="1:21" hidden="1" x14ac:dyDescent="0.2">
      <c r="A62" s="2">
        <v>465</v>
      </c>
      <c r="B62" s="2" t="s">
        <v>9</v>
      </c>
      <c r="C62" s="2" t="s">
        <v>101</v>
      </c>
      <c r="D62" s="2" t="s">
        <v>22</v>
      </c>
      <c r="E62" s="2">
        <v>33125</v>
      </c>
      <c r="F62" s="2" t="s">
        <v>98</v>
      </c>
      <c r="G62" s="2" t="s">
        <v>36</v>
      </c>
      <c r="H62" s="2">
        <v>1</v>
      </c>
      <c r="I62" s="2" t="s">
        <v>17</v>
      </c>
      <c r="J62" s="2" t="str">
        <f>VLOOKUP(E62,[1]LL_Hub!$A$1:$B$13,2,FALSE)</f>
        <v>Miami</v>
      </c>
      <c r="K62" t="str">
        <f>VLOOKUP(D62,'[2]product Table data'!$A$2:$B$12,2,FALSE)</f>
        <v>Male</v>
      </c>
      <c r="L62" t="str">
        <f>VLOOKUP($D62,'[2]product Table data'!$A$2:$G$12,L$1,FALSE)</f>
        <v>Fancy Sheek</v>
      </c>
      <c r="M62" t="str">
        <f>VLOOKUP($D62,'[2]product Table data'!$A$2:$G$12,M$1,FALSE)</f>
        <v>Afghanistan</v>
      </c>
      <c r="N62" t="str">
        <f>VLOOKUP($D62,'[2]product Table data'!$A$2:$G$12,N$1,FALSE)</f>
        <v>Middle East</v>
      </c>
      <c r="O62">
        <f>VLOOKUP($D62,'[2]product Table data'!$A$2:$G$12,O$1,FALSE)</f>
        <v>450</v>
      </c>
      <c r="P62">
        <f>VLOOKUP($D62,'[2]product Table data'!$A$2:$G$12,P$1,FALSE)</f>
        <v>550</v>
      </c>
      <c r="Q62">
        <f t="shared" si="0"/>
        <v>100</v>
      </c>
      <c r="R62" t="str">
        <f t="shared" si="1"/>
        <v>-</v>
      </c>
      <c r="S62" t="str">
        <f t="shared" si="2"/>
        <v>Style Risk</v>
      </c>
      <c r="T62" t="str">
        <f t="shared" si="3"/>
        <v>-</v>
      </c>
      <c r="U62" t="str">
        <f t="shared" si="4"/>
        <v>High Value</v>
      </c>
    </row>
    <row r="63" spans="1:21" hidden="1" x14ac:dyDescent="0.2">
      <c r="A63" s="2">
        <v>469</v>
      </c>
      <c r="B63" s="2" t="s">
        <v>9</v>
      </c>
      <c r="C63" s="2" t="s">
        <v>102</v>
      </c>
      <c r="D63" s="2" t="s">
        <v>11</v>
      </c>
      <c r="E63" s="2">
        <v>33125</v>
      </c>
      <c r="F63" s="2" t="s">
        <v>96</v>
      </c>
      <c r="G63" s="2" t="s">
        <v>36</v>
      </c>
      <c r="H63" s="2">
        <v>1</v>
      </c>
      <c r="I63" s="2" t="s">
        <v>17</v>
      </c>
      <c r="J63" s="2" t="str">
        <f>VLOOKUP(E63,[1]LL_Hub!$A$1:$B$13,2,FALSE)</f>
        <v>Miami</v>
      </c>
      <c r="K63" t="str">
        <f>VLOOKUP(D63,'[2]product Table data'!$A$2:$B$12,2,FALSE)</f>
        <v>Male</v>
      </c>
      <c r="L63" t="str">
        <f>VLOOKUP($D63,'[2]product Table data'!$A$2:$G$12,L$1,FALSE)</f>
        <v>Casual n Light</v>
      </c>
      <c r="M63" t="str">
        <f>VLOOKUP($D63,'[2]product Table data'!$A$2:$G$12,M$1,FALSE)</f>
        <v>Ethiopia</v>
      </c>
      <c r="N63" t="str">
        <f>VLOOKUP($D63,'[2]product Table data'!$A$2:$G$12,N$1,FALSE)</f>
        <v>Africa</v>
      </c>
      <c r="O63">
        <f>VLOOKUP($D63,'[2]product Table data'!$A$2:$G$12,O$1,FALSE)</f>
        <v>10</v>
      </c>
      <c r="P63">
        <f>VLOOKUP($D63,'[2]product Table data'!$A$2:$G$12,P$1,FALSE)</f>
        <v>20</v>
      </c>
      <c r="Q63">
        <f t="shared" si="0"/>
        <v>10</v>
      </c>
      <c r="R63" t="str">
        <f t="shared" si="1"/>
        <v>-</v>
      </c>
      <c r="S63" t="str">
        <f t="shared" si="2"/>
        <v>Style Risk</v>
      </c>
      <c r="T63" t="str">
        <f t="shared" si="3"/>
        <v>-</v>
      </c>
      <c r="U63" t="str">
        <f t="shared" si="4"/>
        <v>High Value</v>
      </c>
    </row>
    <row r="64" spans="1:21" hidden="1" x14ac:dyDescent="0.2">
      <c r="A64" s="2">
        <v>471</v>
      </c>
      <c r="B64" s="2" t="s">
        <v>9</v>
      </c>
      <c r="C64" s="2" t="s">
        <v>103</v>
      </c>
      <c r="D64" s="2" t="s">
        <v>11</v>
      </c>
      <c r="E64" s="2">
        <v>33125</v>
      </c>
      <c r="F64" s="2" t="s">
        <v>104</v>
      </c>
      <c r="G64" s="2" t="s">
        <v>13</v>
      </c>
      <c r="H64" s="2">
        <v>1</v>
      </c>
      <c r="I64" s="2" t="s">
        <v>17</v>
      </c>
      <c r="J64" s="2" t="str">
        <f>VLOOKUP(E64,[1]LL_Hub!$A$1:$B$13,2,FALSE)</f>
        <v>Miami</v>
      </c>
      <c r="K64" t="str">
        <f>VLOOKUP(D64,'[2]product Table data'!$A$2:$B$12,2,FALSE)</f>
        <v>Male</v>
      </c>
      <c r="L64" t="str">
        <f>VLOOKUP($D64,'[2]product Table data'!$A$2:$G$12,L$1,FALSE)</f>
        <v>Casual n Light</v>
      </c>
      <c r="M64" t="str">
        <f>VLOOKUP($D64,'[2]product Table data'!$A$2:$G$12,M$1,FALSE)</f>
        <v>Ethiopia</v>
      </c>
      <c r="N64" t="str">
        <f>VLOOKUP($D64,'[2]product Table data'!$A$2:$G$12,N$1,FALSE)</f>
        <v>Africa</v>
      </c>
      <c r="O64">
        <f>VLOOKUP($D64,'[2]product Table data'!$A$2:$G$12,O$1,FALSE)</f>
        <v>10</v>
      </c>
      <c r="P64">
        <f>VLOOKUP($D64,'[2]product Table data'!$A$2:$G$12,P$1,FALSE)</f>
        <v>20</v>
      </c>
      <c r="Q64">
        <f t="shared" si="0"/>
        <v>10</v>
      </c>
      <c r="R64" t="str">
        <f t="shared" si="1"/>
        <v>-</v>
      </c>
      <c r="S64" t="str">
        <f t="shared" si="2"/>
        <v>Style Risk</v>
      </c>
      <c r="T64" t="str">
        <f t="shared" si="3"/>
        <v>-</v>
      </c>
      <c r="U64" t="str">
        <f t="shared" si="4"/>
        <v>High Value</v>
      </c>
    </row>
    <row r="65" spans="1:21" hidden="1" x14ac:dyDescent="0.2">
      <c r="A65" s="2">
        <v>476</v>
      </c>
      <c r="B65" s="2" t="s">
        <v>9</v>
      </c>
      <c r="C65" s="2" t="s">
        <v>105</v>
      </c>
      <c r="D65" s="2" t="s">
        <v>22</v>
      </c>
      <c r="E65" s="2">
        <v>33125</v>
      </c>
      <c r="F65" s="2" t="s">
        <v>98</v>
      </c>
      <c r="G65" s="2" t="s">
        <v>36</v>
      </c>
      <c r="H65" s="2">
        <v>1</v>
      </c>
      <c r="I65" s="2" t="s">
        <v>17</v>
      </c>
      <c r="J65" s="2" t="str">
        <f>VLOOKUP(E65,[1]LL_Hub!$A$1:$B$13,2,FALSE)</f>
        <v>Miami</v>
      </c>
      <c r="K65" t="str">
        <f>VLOOKUP(D65,'[2]product Table data'!$A$2:$B$12,2,FALSE)</f>
        <v>Male</v>
      </c>
      <c r="L65" t="str">
        <f>VLOOKUP($D65,'[2]product Table data'!$A$2:$G$12,L$1,FALSE)</f>
        <v>Fancy Sheek</v>
      </c>
      <c r="M65" t="str">
        <f>VLOOKUP($D65,'[2]product Table data'!$A$2:$G$12,M$1,FALSE)</f>
        <v>Afghanistan</v>
      </c>
      <c r="N65" t="str">
        <f>VLOOKUP($D65,'[2]product Table data'!$A$2:$G$12,N$1,FALSE)</f>
        <v>Middle East</v>
      </c>
      <c r="O65">
        <f>VLOOKUP($D65,'[2]product Table data'!$A$2:$G$12,O$1,FALSE)</f>
        <v>450</v>
      </c>
      <c r="P65">
        <f>VLOOKUP($D65,'[2]product Table data'!$A$2:$G$12,P$1,FALSE)</f>
        <v>550</v>
      </c>
      <c r="Q65">
        <f t="shared" si="0"/>
        <v>100</v>
      </c>
      <c r="R65" t="str">
        <f t="shared" si="1"/>
        <v>-</v>
      </c>
      <c r="S65" t="str">
        <f t="shared" si="2"/>
        <v>Style Risk</v>
      </c>
      <c r="T65" t="str">
        <f t="shared" si="3"/>
        <v>-</v>
      </c>
      <c r="U65" t="str">
        <f t="shared" si="4"/>
        <v>High Value</v>
      </c>
    </row>
    <row r="66" spans="1:21" hidden="1" x14ac:dyDescent="0.2">
      <c r="A66" s="2">
        <v>482</v>
      </c>
      <c r="B66" s="2" t="s">
        <v>9</v>
      </c>
      <c r="C66" s="2" t="s">
        <v>106</v>
      </c>
      <c r="D66" s="2" t="s">
        <v>22</v>
      </c>
      <c r="E66" s="2">
        <v>33125</v>
      </c>
      <c r="F66" s="2" t="s">
        <v>98</v>
      </c>
      <c r="G66" s="2" t="s">
        <v>36</v>
      </c>
      <c r="H66" s="2">
        <v>1</v>
      </c>
      <c r="I66" s="2" t="s">
        <v>17</v>
      </c>
      <c r="J66" s="2" t="str">
        <f>VLOOKUP(E66,[1]LL_Hub!$A$1:$B$13,2,FALSE)</f>
        <v>Miami</v>
      </c>
      <c r="K66" t="str">
        <f>VLOOKUP(D66,'[2]product Table data'!$A$2:$B$12,2,FALSE)</f>
        <v>Male</v>
      </c>
      <c r="L66" t="str">
        <f>VLOOKUP($D66,'[2]product Table data'!$A$2:$G$12,L$1,FALSE)</f>
        <v>Fancy Sheek</v>
      </c>
      <c r="M66" t="str">
        <f>VLOOKUP($D66,'[2]product Table data'!$A$2:$G$12,M$1,FALSE)</f>
        <v>Afghanistan</v>
      </c>
      <c r="N66" t="str">
        <f>VLOOKUP($D66,'[2]product Table data'!$A$2:$G$12,N$1,FALSE)</f>
        <v>Middle East</v>
      </c>
      <c r="O66">
        <f>VLOOKUP($D66,'[2]product Table data'!$A$2:$G$12,O$1,FALSE)</f>
        <v>450</v>
      </c>
      <c r="P66">
        <f>VLOOKUP($D66,'[2]product Table data'!$A$2:$G$12,P$1,FALSE)</f>
        <v>550</v>
      </c>
      <c r="Q66">
        <f t="shared" si="0"/>
        <v>100</v>
      </c>
      <c r="R66" t="str">
        <f t="shared" si="1"/>
        <v>-</v>
      </c>
      <c r="S66" t="str">
        <f t="shared" si="2"/>
        <v>Style Risk</v>
      </c>
      <c r="T66" t="str">
        <f t="shared" si="3"/>
        <v>-</v>
      </c>
      <c r="U66" t="str">
        <f t="shared" si="4"/>
        <v>High Value</v>
      </c>
    </row>
    <row r="67" spans="1:21" hidden="1" x14ac:dyDescent="0.2">
      <c r="A67" s="2">
        <v>483</v>
      </c>
      <c r="B67" s="2" t="s">
        <v>9</v>
      </c>
      <c r="C67" s="2" t="s">
        <v>107</v>
      </c>
      <c r="D67" s="2" t="s">
        <v>22</v>
      </c>
      <c r="E67" s="2">
        <v>33125</v>
      </c>
      <c r="F67" s="2" t="s">
        <v>98</v>
      </c>
      <c r="G67" s="2" t="s">
        <v>36</v>
      </c>
      <c r="H67" s="2">
        <v>1</v>
      </c>
      <c r="I67" s="2" t="s">
        <v>17</v>
      </c>
      <c r="J67" s="2" t="str">
        <f>VLOOKUP(E67,[1]LL_Hub!$A$1:$B$13,2,FALSE)</f>
        <v>Miami</v>
      </c>
      <c r="K67" t="str">
        <f>VLOOKUP(D67,'[2]product Table data'!$A$2:$B$12,2,FALSE)</f>
        <v>Male</v>
      </c>
      <c r="L67" t="str">
        <f>VLOOKUP($D67,'[2]product Table data'!$A$2:$G$12,L$1,FALSE)</f>
        <v>Fancy Sheek</v>
      </c>
      <c r="M67" t="str">
        <f>VLOOKUP($D67,'[2]product Table data'!$A$2:$G$12,M$1,FALSE)</f>
        <v>Afghanistan</v>
      </c>
      <c r="N67" t="str">
        <f>VLOOKUP($D67,'[2]product Table data'!$A$2:$G$12,N$1,FALSE)</f>
        <v>Middle East</v>
      </c>
      <c r="O67">
        <f>VLOOKUP($D67,'[2]product Table data'!$A$2:$G$12,O$1,FALSE)</f>
        <v>450</v>
      </c>
      <c r="P67">
        <f>VLOOKUP($D67,'[2]product Table data'!$A$2:$G$12,P$1,FALSE)</f>
        <v>550</v>
      </c>
      <c r="Q67">
        <f t="shared" ref="Q67:Q130" si="5">P67-O67</f>
        <v>100</v>
      </c>
      <c r="R67" t="str">
        <f t="shared" ref="R67:R130" si="6">IF(OR(J67="Los Angeles",J67="Denver"),"Hub Risk","-")</f>
        <v>-</v>
      </c>
      <c r="S67" t="str">
        <f t="shared" ref="S67:S130" si="7">IF(OR(L67="Casual n Light",L67="Fancy Sheek"),"Style Risk","-")</f>
        <v>Style Risk</v>
      </c>
      <c r="T67" t="str">
        <f t="shared" ref="T67:T130" si="8">IF(AND(R67="Hub Risk", S67="Style Risk"), "Risk", "-")</f>
        <v>-</v>
      </c>
      <c r="U67" t="str">
        <f t="shared" ref="U67:U130" si="9">IF(Q67&lt;=5, "Low Value", "High Value")</f>
        <v>High Value</v>
      </c>
    </row>
    <row r="68" spans="1:21" hidden="1" x14ac:dyDescent="0.2">
      <c r="A68" s="2">
        <v>484</v>
      </c>
      <c r="B68" s="2" t="s">
        <v>9</v>
      </c>
      <c r="C68" s="2" t="s">
        <v>108</v>
      </c>
      <c r="D68" s="2" t="s">
        <v>22</v>
      </c>
      <c r="E68" s="2">
        <v>33125</v>
      </c>
      <c r="F68" s="2" t="s">
        <v>98</v>
      </c>
      <c r="G68" s="2" t="s">
        <v>36</v>
      </c>
      <c r="H68" s="2">
        <v>1</v>
      </c>
      <c r="I68" s="2" t="s">
        <v>17</v>
      </c>
      <c r="J68" s="2" t="str">
        <f>VLOOKUP(E68,[1]LL_Hub!$A$1:$B$13,2,FALSE)</f>
        <v>Miami</v>
      </c>
      <c r="K68" t="str">
        <f>VLOOKUP(D68,'[2]product Table data'!$A$2:$B$12,2,FALSE)</f>
        <v>Male</v>
      </c>
      <c r="L68" t="str">
        <f>VLOOKUP($D68,'[2]product Table data'!$A$2:$G$12,L$1,FALSE)</f>
        <v>Fancy Sheek</v>
      </c>
      <c r="M68" t="str">
        <f>VLOOKUP($D68,'[2]product Table data'!$A$2:$G$12,M$1,FALSE)</f>
        <v>Afghanistan</v>
      </c>
      <c r="N68" t="str">
        <f>VLOOKUP($D68,'[2]product Table data'!$A$2:$G$12,N$1,FALSE)</f>
        <v>Middle East</v>
      </c>
      <c r="O68">
        <f>VLOOKUP($D68,'[2]product Table data'!$A$2:$G$12,O$1,FALSE)</f>
        <v>450</v>
      </c>
      <c r="P68">
        <f>VLOOKUP($D68,'[2]product Table data'!$A$2:$G$12,P$1,FALSE)</f>
        <v>550</v>
      </c>
      <c r="Q68">
        <f t="shared" si="5"/>
        <v>100</v>
      </c>
      <c r="R68" t="str">
        <f t="shared" si="6"/>
        <v>-</v>
      </c>
      <c r="S68" t="str">
        <f t="shared" si="7"/>
        <v>Style Risk</v>
      </c>
      <c r="T68" t="str">
        <f t="shared" si="8"/>
        <v>-</v>
      </c>
      <c r="U68" t="str">
        <f t="shared" si="9"/>
        <v>High Value</v>
      </c>
    </row>
    <row r="69" spans="1:21" hidden="1" x14ac:dyDescent="0.2">
      <c r="A69" s="2">
        <v>486</v>
      </c>
      <c r="B69" s="2" t="s">
        <v>9</v>
      </c>
      <c r="C69" s="2" t="s">
        <v>109</v>
      </c>
      <c r="D69" s="2" t="s">
        <v>22</v>
      </c>
      <c r="E69" s="2">
        <v>33125</v>
      </c>
      <c r="F69" s="2" t="s">
        <v>98</v>
      </c>
      <c r="G69" s="2" t="s">
        <v>36</v>
      </c>
      <c r="H69" s="2">
        <v>1</v>
      </c>
      <c r="I69" s="2" t="s">
        <v>17</v>
      </c>
      <c r="J69" s="2" t="str">
        <f>VLOOKUP(E69,[1]LL_Hub!$A$1:$B$13,2,FALSE)</f>
        <v>Miami</v>
      </c>
      <c r="K69" t="str">
        <f>VLOOKUP(D69,'[2]product Table data'!$A$2:$B$12,2,FALSE)</f>
        <v>Male</v>
      </c>
      <c r="L69" t="str">
        <f>VLOOKUP($D69,'[2]product Table data'!$A$2:$G$12,L$1,FALSE)</f>
        <v>Fancy Sheek</v>
      </c>
      <c r="M69" t="str">
        <f>VLOOKUP($D69,'[2]product Table data'!$A$2:$G$12,M$1,FALSE)</f>
        <v>Afghanistan</v>
      </c>
      <c r="N69" t="str">
        <f>VLOOKUP($D69,'[2]product Table data'!$A$2:$G$12,N$1,FALSE)</f>
        <v>Middle East</v>
      </c>
      <c r="O69">
        <f>VLOOKUP($D69,'[2]product Table data'!$A$2:$G$12,O$1,FALSE)</f>
        <v>450</v>
      </c>
      <c r="P69">
        <f>VLOOKUP($D69,'[2]product Table data'!$A$2:$G$12,P$1,FALSE)</f>
        <v>550</v>
      </c>
      <c r="Q69">
        <f t="shared" si="5"/>
        <v>100</v>
      </c>
      <c r="R69" t="str">
        <f t="shared" si="6"/>
        <v>-</v>
      </c>
      <c r="S69" t="str">
        <f t="shared" si="7"/>
        <v>Style Risk</v>
      </c>
      <c r="T69" t="str">
        <f t="shared" si="8"/>
        <v>-</v>
      </c>
      <c r="U69" t="str">
        <f t="shared" si="9"/>
        <v>High Value</v>
      </c>
    </row>
    <row r="70" spans="1:21" hidden="1" x14ac:dyDescent="0.2">
      <c r="A70" s="2">
        <v>487</v>
      </c>
      <c r="B70" s="2" t="s">
        <v>9</v>
      </c>
      <c r="C70" s="2" t="s">
        <v>110</v>
      </c>
      <c r="D70" s="2" t="s">
        <v>22</v>
      </c>
      <c r="E70" s="2">
        <v>33125</v>
      </c>
      <c r="F70" s="2" t="s">
        <v>98</v>
      </c>
      <c r="G70" s="2" t="s">
        <v>36</v>
      </c>
      <c r="H70" s="2">
        <v>1</v>
      </c>
      <c r="I70" s="2" t="s">
        <v>17</v>
      </c>
      <c r="J70" s="2" t="str">
        <f>VLOOKUP(E70,[1]LL_Hub!$A$1:$B$13,2,FALSE)</f>
        <v>Miami</v>
      </c>
      <c r="K70" t="str">
        <f>VLOOKUP(D70,'[2]product Table data'!$A$2:$B$12,2,FALSE)</f>
        <v>Male</v>
      </c>
      <c r="L70" t="str">
        <f>VLOOKUP($D70,'[2]product Table data'!$A$2:$G$12,L$1,FALSE)</f>
        <v>Fancy Sheek</v>
      </c>
      <c r="M70" t="str">
        <f>VLOOKUP($D70,'[2]product Table data'!$A$2:$G$12,M$1,FALSE)</f>
        <v>Afghanistan</v>
      </c>
      <c r="N70" t="str">
        <f>VLOOKUP($D70,'[2]product Table data'!$A$2:$G$12,N$1,FALSE)</f>
        <v>Middle East</v>
      </c>
      <c r="O70">
        <f>VLOOKUP($D70,'[2]product Table data'!$A$2:$G$12,O$1,FALSE)</f>
        <v>450</v>
      </c>
      <c r="P70">
        <f>VLOOKUP($D70,'[2]product Table data'!$A$2:$G$12,P$1,FALSE)</f>
        <v>550</v>
      </c>
      <c r="Q70">
        <f t="shared" si="5"/>
        <v>100</v>
      </c>
      <c r="R70" t="str">
        <f t="shared" si="6"/>
        <v>-</v>
      </c>
      <c r="S70" t="str">
        <f t="shared" si="7"/>
        <v>Style Risk</v>
      </c>
      <c r="T70" t="str">
        <f t="shared" si="8"/>
        <v>-</v>
      </c>
      <c r="U70" t="str">
        <f t="shared" si="9"/>
        <v>High Value</v>
      </c>
    </row>
    <row r="71" spans="1:21" hidden="1" x14ac:dyDescent="0.2">
      <c r="A71" s="2">
        <v>488</v>
      </c>
      <c r="B71" s="2" t="s">
        <v>9</v>
      </c>
      <c r="C71" s="2" t="s">
        <v>111</v>
      </c>
      <c r="D71" s="2" t="s">
        <v>22</v>
      </c>
      <c r="E71" s="2">
        <v>33125</v>
      </c>
      <c r="F71" s="2" t="s">
        <v>98</v>
      </c>
      <c r="G71" s="2" t="s">
        <v>36</v>
      </c>
      <c r="H71" s="2">
        <v>1</v>
      </c>
      <c r="I71" s="2" t="s">
        <v>39</v>
      </c>
      <c r="J71" s="2" t="str">
        <f>VLOOKUP(E71,[1]LL_Hub!$A$1:$B$13,2,FALSE)</f>
        <v>Miami</v>
      </c>
      <c r="K71" t="str">
        <f>VLOOKUP(D71,'[2]product Table data'!$A$2:$B$12,2,FALSE)</f>
        <v>Male</v>
      </c>
      <c r="L71" t="str">
        <f>VLOOKUP($D71,'[2]product Table data'!$A$2:$G$12,L$1,FALSE)</f>
        <v>Fancy Sheek</v>
      </c>
      <c r="M71" t="str">
        <f>VLOOKUP($D71,'[2]product Table data'!$A$2:$G$12,M$1,FALSE)</f>
        <v>Afghanistan</v>
      </c>
      <c r="N71" t="str">
        <f>VLOOKUP($D71,'[2]product Table data'!$A$2:$G$12,N$1,FALSE)</f>
        <v>Middle East</v>
      </c>
      <c r="O71">
        <f>VLOOKUP($D71,'[2]product Table data'!$A$2:$G$12,O$1,FALSE)</f>
        <v>450</v>
      </c>
      <c r="P71">
        <f>VLOOKUP($D71,'[2]product Table data'!$A$2:$G$12,P$1,FALSE)</f>
        <v>550</v>
      </c>
      <c r="Q71">
        <f t="shared" si="5"/>
        <v>100</v>
      </c>
      <c r="R71" t="str">
        <f t="shared" si="6"/>
        <v>-</v>
      </c>
      <c r="S71" t="str">
        <f t="shared" si="7"/>
        <v>Style Risk</v>
      </c>
      <c r="T71" t="str">
        <f t="shared" si="8"/>
        <v>-</v>
      </c>
      <c r="U71" t="str">
        <f t="shared" si="9"/>
        <v>High Value</v>
      </c>
    </row>
    <row r="72" spans="1:21" hidden="1" x14ac:dyDescent="0.2">
      <c r="A72" s="2">
        <v>489</v>
      </c>
      <c r="B72" s="2" t="s">
        <v>9</v>
      </c>
      <c r="C72" s="2" t="s">
        <v>112</v>
      </c>
      <c r="D72" s="2" t="s">
        <v>22</v>
      </c>
      <c r="E72" s="2">
        <v>33125</v>
      </c>
      <c r="F72" s="2" t="s">
        <v>98</v>
      </c>
      <c r="G72" s="2" t="s">
        <v>36</v>
      </c>
      <c r="H72" s="2">
        <v>1</v>
      </c>
      <c r="I72" s="2" t="s">
        <v>39</v>
      </c>
      <c r="J72" s="2" t="str">
        <f>VLOOKUP(E72,[1]LL_Hub!$A$1:$B$13,2,FALSE)</f>
        <v>Miami</v>
      </c>
      <c r="K72" t="str">
        <f>VLOOKUP(D72,'[2]product Table data'!$A$2:$B$12,2,FALSE)</f>
        <v>Male</v>
      </c>
      <c r="L72" t="str">
        <f>VLOOKUP($D72,'[2]product Table data'!$A$2:$G$12,L$1,FALSE)</f>
        <v>Fancy Sheek</v>
      </c>
      <c r="M72" t="str">
        <f>VLOOKUP($D72,'[2]product Table data'!$A$2:$G$12,M$1,FALSE)</f>
        <v>Afghanistan</v>
      </c>
      <c r="N72" t="str">
        <f>VLOOKUP($D72,'[2]product Table data'!$A$2:$G$12,N$1,FALSE)</f>
        <v>Middle East</v>
      </c>
      <c r="O72">
        <f>VLOOKUP($D72,'[2]product Table data'!$A$2:$G$12,O$1,FALSE)</f>
        <v>450</v>
      </c>
      <c r="P72">
        <f>VLOOKUP($D72,'[2]product Table data'!$A$2:$G$12,P$1,FALSE)</f>
        <v>550</v>
      </c>
      <c r="Q72">
        <f t="shared" si="5"/>
        <v>100</v>
      </c>
      <c r="R72" t="str">
        <f t="shared" si="6"/>
        <v>-</v>
      </c>
      <c r="S72" t="str">
        <f t="shared" si="7"/>
        <v>Style Risk</v>
      </c>
      <c r="T72" t="str">
        <f t="shared" si="8"/>
        <v>-</v>
      </c>
      <c r="U72" t="str">
        <f t="shared" si="9"/>
        <v>High Value</v>
      </c>
    </row>
    <row r="73" spans="1:21" hidden="1" x14ac:dyDescent="0.2">
      <c r="A73" s="2">
        <v>491</v>
      </c>
      <c r="B73" s="2" t="s">
        <v>9</v>
      </c>
      <c r="C73" s="2" t="s">
        <v>113</v>
      </c>
      <c r="D73" s="2" t="s">
        <v>22</v>
      </c>
      <c r="E73" s="2">
        <v>33125</v>
      </c>
      <c r="F73" s="2" t="s">
        <v>98</v>
      </c>
      <c r="G73" s="2" t="s">
        <v>36</v>
      </c>
      <c r="H73" s="2">
        <v>1</v>
      </c>
      <c r="I73" s="2" t="s">
        <v>39</v>
      </c>
      <c r="J73" s="2" t="str">
        <f>VLOOKUP(E73,[1]LL_Hub!$A$1:$B$13,2,FALSE)</f>
        <v>Miami</v>
      </c>
      <c r="K73" t="str">
        <f>VLOOKUP(D73,'[2]product Table data'!$A$2:$B$12,2,FALSE)</f>
        <v>Male</v>
      </c>
      <c r="L73" t="str">
        <f>VLOOKUP($D73,'[2]product Table data'!$A$2:$G$12,L$1,FALSE)</f>
        <v>Fancy Sheek</v>
      </c>
      <c r="M73" t="str">
        <f>VLOOKUP($D73,'[2]product Table data'!$A$2:$G$12,M$1,FALSE)</f>
        <v>Afghanistan</v>
      </c>
      <c r="N73" t="str">
        <f>VLOOKUP($D73,'[2]product Table data'!$A$2:$G$12,N$1,FALSE)</f>
        <v>Middle East</v>
      </c>
      <c r="O73">
        <f>VLOOKUP($D73,'[2]product Table data'!$A$2:$G$12,O$1,FALSE)</f>
        <v>450</v>
      </c>
      <c r="P73">
        <f>VLOOKUP($D73,'[2]product Table data'!$A$2:$G$12,P$1,FALSE)</f>
        <v>550</v>
      </c>
      <c r="Q73">
        <f t="shared" si="5"/>
        <v>100</v>
      </c>
      <c r="R73" t="str">
        <f t="shared" si="6"/>
        <v>-</v>
      </c>
      <c r="S73" t="str">
        <f t="shared" si="7"/>
        <v>Style Risk</v>
      </c>
      <c r="T73" t="str">
        <f t="shared" si="8"/>
        <v>-</v>
      </c>
      <c r="U73" t="str">
        <f t="shared" si="9"/>
        <v>High Value</v>
      </c>
    </row>
    <row r="74" spans="1:21" hidden="1" x14ac:dyDescent="0.2">
      <c r="A74" s="2">
        <v>497</v>
      </c>
      <c r="B74" s="2" t="s">
        <v>9</v>
      </c>
      <c r="C74" s="2" t="s">
        <v>114</v>
      </c>
      <c r="D74" s="2" t="s">
        <v>11</v>
      </c>
      <c r="E74" s="2">
        <v>33125</v>
      </c>
      <c r="F74" s="2" t="s">
        <v>96</v>
      </c>
      <c r="G74" s="2" t="s">
        <v>36</v>
      </c>
      <c r="H74" s="2">
        <v>1</v>
      </c>
      <c r="I74" s="2" t="s">
        <v>39</v>
      </c>
      <c r="J74" s="2" t="str">
        <f>VLOOKUP(E74,[1]LL_Hub!$A$1:$B$13,2,FALSE)</f>
        <v>Miami</v>
      </c>
      <c r="K74" t="str">
        <f>VLOOKUP(D74,'[2]product Table data'!$A$2:$B$12,2,FALSE)</f>
        <v>Male</v>
      </c>
      <c r="L74" t="str">
        <f>VLOOKUP($D74,'[2]product Table data'!$A$2:$G$12,L$1,FALSE)</f>
        <v>Casual n Light</v>
      </c>
      <c r="M74" t="str">
        <f>VLOOKUP($D74,'[2]product Table data'!$A$2:$G$12,M$1,FALSE)</f>
        <v>Ethiopia</v>
      </c>
      <c r="N74" t="str">
        <f>VLOOKUP($D74,'[2]product Table data'!$A$2:$G$12,N$1,FALSE)</f>
        <v>Africa</v>
      </c>
      <c r="O74">
        <f>VLOOKUP($D74,'[2]product Table data'!$A$2:$G$12,O$1,FALSE)</f>
        <v>10</v>
      </c>
      <c r="P74">
        <f>VLOOKUP($D74,'[2]product Table data'!$A$2:$G$12,P$1,FALSE)</f>
        <v>20</v>
      </c>
      <c r="Q74">
        <f t="shared" si="5"/>
        <v>10</v>
      </c>
      <c r="R74" t="str">
        <f t="shared" si="6"/>
        <v>-</v>
      </c>
      <c r="S74" t="str">
        <f t="shared" si="7"/>
        <v>Style Risk</v>
      </c>
      <c r="T74" t="str">
        <f t="shared" si="8"/>
        <v>-</v>
      </c>
      <c r="U74" t="str">
        <f t="shared" si="9"/>
        <v>High Value</v>
      </c>
    </row>
    <row r="75" spans="1:21" hidden="1" x14ac:dyDescent="0.2">
      <c r="A75" s="2">
        <v>498</v>
      </c>
      <c r="B75" s="2" t="s">
        <v>9</v>
      </c>
      <c r="C75" s="2" t="s">
        <v>115</v>
      </c>
      <c r="D75" s="2" t="s">
        <v>11</v>
      </c>
      <c r="E75" s="2">
        <v>33125</v>
      </c>
      <c r="F75" s="2" t="s">
        <v>116</v>
      </c>
      <c r="G75" s="2" t="s">
        <v>13</v>
      </c>
      <c r="H75" s="2">
        <v>1</v>
      </c>
      <c r="I75" s="2" t="s">
        <v>39</v>
      </c>
      <c r="J75" s="2" t="str">
        <f>VLOOKUP(E75,[1]LL_Hub!$A$1:$B$13,2,FALSE)</f>
        <v>Miami</v>
      </c>
      <c r="K75" t="str">
        <f>VLOOKUP(D75,'[2]product Table data'!$A$2:$B$12,2,FALSE)</f>
        <v>Male</v>
      </c>
      <c r="L75" t="str">
        <f>VLOOKUP($D75,'[2]product Table data'!$A$2:$G$12,L$1,FALSE)</f>
        <v>Casual n Light</v>
      </c>
      <c r="M75" t="str">
        <f>VLOOKUP($D75,'[2]product Table data'!$A$2:$G$12,M$1,FALSE)</f>
        <v>Ethiopia</v>
      </c>
      <c r="N75" t="str">
        <f>VLOOKUP($D75,'[2]product Table data'!$A$2:$G$12,N$1,FALSE)</f>
        <v>Africa</v>
      </c>
      <c r="O75">
        <f>VLOOKUP($D75,'[2]product Table data'!$A$2:$G$12,O$1,FALSE)</f>
        <v>10</v>
      </c>
      <c r="P75">
        <f>VLOOKUP($D75,'[2]product Table data'!$A$2:$G$12,P$1,FALSE)</f>
        <v>20</v>
      </c>
      <c r="Q75">
        <f t="shared" si="5"/>
        <v>10</v>
      </c>
      <c r="R75" t="str">
        <f t="shared" si="6"/>
        <v>-</v>
      </c>
      <c r="S75" t="str">
        <f t="shared" si="7"/>
        <v>Style Risk</v>
      </c>
      <c r="T75" t="str">
        <f t="shared" si="8"/>
        <v>-</v>
      </c>
      <c r="U75" t="str">
        <f t="shared" si="9"/>
        <v>High Value</v>
      </c>
    </row>
    <row r="76" spans="1:21" hidden="1" x14ac:dyDescent="0.2">
      <c r="A76" s="2">
        <v>502</v>
      </c>
      <c r="B76" s="2" t="s">
        <v>9</v>
      </c>
      <c r="C76" s="2" t="s">
        <v>117</v>
      </c>
      <c r="D76" s="2" t="s">
        <v>22</v>
      </c>
      <c r="E76" s="2">
        <v>33159</v>
      </c>
      <c r="F76" s="2" t="s">
        <v>98</v>
      </c>
      <c r="G76" s="2" t="s">
        <v>36</v>
      </c>
      <c r="H76" s="2">
        <v>1</v>
      </c>
      <c r="I76" s="2" t="s">
        <v>39</v>
      </c>
      <c r="J76" s="2" t="str">
        <f>VLOOKUP(E76,[1]LL_Hub!$A$1:$B$13,2,FALSE)</f>
        <v>Miami</v>
      </c>
      <c r="K76" t="str">
        <f>VLOOKUP(D76,'[2]product Table data'!$A$2:$B$12,2,FALSE)</f>
        <v>Male</v>
      </c>
      <c r="L76" t="str">
        <f>VLOOKUP($D76,'[2]product Table data'!$A$2:$G$12,L$1,FALSE)</f>
        <v>Fancy Sheek</v>
      </c>
      <c r="M76" t="str">
        <f>VLOOKUP($D76,'[2]product Table data'!$A$2:$G$12,M$1,FALSE)</f>
        <v>Afghanistan</v>
      </c>
      <c r="N76" t="str">
        <f>VLOOKUP($D76,'[2]product Table data'!$A$2:$G$12,N$1,FALSE)</f>
        <v>Middle East</v>
      </c>
      <c r="O76">
        <f>VLOOKUP($D76,'[2]product Table data'!$A$2:$G$12,O$1,FALSE)</f>
        <v>450</v>
      </c>
      <c r="P76">
        <f>VLOOKUP($D76,'[2]product Table data'!$A$2:$G$12,P$1,FALSE)</f>
        <v>550</v>
      </c>
      <c r="Q76">
        <f t="shared" si="5"/>
        <v>100</v>
      </c>
      <c r="R76" t="str">
        <f t="shared" si="6"/>
        <v>-</v>
      </c>
      <c r="S76" t="str">
        <f t="shared" si="7"/>
        <v>Style Risk</v>
      </c>
      <c r="T76" t="str">
        <f t="shared" si="8"/>
        <v>-</v>
      </c>
      <c r="U76" t="str">
        <f t="shared" si="9"/>
        <v>High Value</v>
      </c>
    </row>
    <row r="77" spans="1:21" hidden="1" x14ac:dyDescent="0.2">
      <c r="A77" s="2">
        <v>510</v>
      </c>
      <c r="B77" s="2" t="s">
        <v>9</v>
      </c>
      <c r="C77" s="2" t="s">
        <v>118</v>
      </c>
      <c r="D77" s="2" t="s">
        <v>22</v>
      </c>
      <c r="E77" s="2">
        <v>33159</v>
      </c>
      <c r="F77" s="2" t="s">
        <v>119</v>
      </c>
      <c r="G77" s="2" t="s">
        <v>13</v>
      </c>
      <c r="H77" s="2">
        <v>1</v>
      </c>
      <c r="I77" s="2" t="s">
        <v>39</v>
      </c>
      <c r="J77" s="2" t="str">
        <f>VLOOKUP(E77,[1]LL_Hub!$A$1:$B$13,2,FALSE)</f>
        <v>Miami</v>
      </c>
      <c r="K77" t="str">
        <f>VLOOKUP(D77,'[2]product Table data'!$A$2:$B$12,2,FALSE)</f>
        <v>Male</v>
      </c>
      <c r="L77" t="str">
        <f>VLOOKUP($D77,'[2]product Table data'!$A$2:$G$12,L$1,FALSE)</f>
        <v>Fancy Sheek</v>
      </c>
      <c r="M77" t="str">
        <f>VLOOKUP($D77,'[2]product Table data'!$A$2:$G$12,M$1,FALSE)</f>
        <v>Afghanistan</v>
      </c>
      <c r="N77" t="str">
        <f>VLOOKUP($D77,'[2]product Table data'!$A$2:$G$12,N$1,FALSE)</f>
        <v>Middle East</v>
      </c>
      <c r="O77">
        <f>VLOOKUP($D77,'[2]product Table data'!$A$2:$G$12,O$1,FALSE)</f>
        <v>450</v>
      </c>
      <c r="P77">
        <f>VLOOKUP($D77,'[2]product Table data'!$A$2:$G$12,P$1,FALSE)</f>
        <v>550</v>
      </c>
      <c r="Q77">
        <f t="shared" si="5"/>
        <v>100</v>
      </c>
      <c r="R77" t="str">
        <f t="shared" si="6"/>
        <v>-</v>
      </c>
      <c r="S77" t="str">
        <f t="shared" si="7"/>
        <v>Style Risk</v>
      </c>
      <c r="T77" t="str">
        <f t="shared" si="8"/>
        <v>-</v>
      </c>
      <c r="U77" t="str">
        <f t="shared" si="9"/>
        <v>High Value</v>
      </c>
    </row>
    <row r="78" spans="1:21" hidden="1" x14ac:dyDescent="0.2">
      <c r="A78" s="2">
        <v>511</v>
      </c>
      <c r="B78" s="2" t="s">
        <v>9</v>
      </c>
      <c r="C78" s="2" t="s">
        <v>120</v>
      </c>
      <c r="D78" s="2" t="s">
        <v>22</v>
      </c>
      <c r="E78" s="2">
        <v>33159</v>
      </c>
      <c r="F78" s="2" t="s">
        <v>121</v>
      </c>
      <c r="G78" s="2" t="s">
        <v>13</v>
      </c>
      <c r="H78" s="2">
        <v>1</v>
      </c>
      <c r="I78" s="2" t="s">
        <v>39</v>
      </c>
      <c r="J78" s="2" t="str">
        <f>VLOOKUP(E78,[1]LL_Hub!$A$1:$B$13,2,FALSE)</f>
        <v>Miami</v>
      </c>
      <c r="K78" t="str">
        <f>VLOOKUP(D78,'[2]product Table data'!$A$2:$B$12,2,FALSE)</f>
        <v>Male</v>
      </c>
      <c r="L78" t="str">
        <f>VLOOKUP($D78,'[2]product Table data'!$A$2:$G$12,L$1,FALSE)</f>
        <v>Fancy Sheek</v>
      </c>
      <c r="M78" t="str">
        <f>VLOOKUP($D78,'[2]product Table data'!$A$2:$G$12,M$1,FALSE)</f>
        <v>Afghanistan</v>
      </c>
      <c r="N78" t="str">
        <f>VLOOKUP($D78,'[2]product Table data'!$A$2:$G$12,N$1,FALSE)</f>
        <v>Middle East</v>
      </c>
      <c r="O78">
        <f>VLOOKUP($D78,'[2]product Table data'!$A$2:$G$12,O$1,FALSE)</f>
        <v>450</v>
      </c>
      <c r="P78">
        <f>VLOOKUP($D78,'[2]product Table data'!$A$2:$G$12,P$1,FALSE)</f>
        <v>550</v>
      </c>
      <c r="Q78">
        <f t="shared" si="5"/>
        <v>100</v>
      </c>
      <c r="R78" t="str">
        <f t="shared" si="6"/>
        <v>-</v>
      </c>
      <c r="S78" t="str">
        <f t="shared" si="7"/>
        <v>Style Risk</v>
      </c>
      <c r="T78" t="str">
        <f t="shared" si="8"/>
        <v>-</v>
      </c>
      <c r="U78" t="str">
        <f t="shared" si="9"/>
        <v>High Value</v>
      </c>
    </row>
    <row r="79" spans="1:21" hidden="1" x14ac:dyDescent="0.2">
      <c r="A79" s="2">
        <v>512</v>
      </c>
      <c r="B79" s="2" t="s">
        <v>9</v>
      </c>
      <c r="C79" s="2" t="s">
        <v>122</v>
      </c>
      <c r="D79" s="2" t="s">
        <v>22</v>
      </c>
      <c r="E79" s="2">
        <v>33159</v>
      </c>
      <c r="F79" s="2" t="s">
        <v>123</v>
      </c>
      <c r="G79" s="2" t="s">
        <v>13</v>
      </c>
      <c r="H79" s="2">
        <v>1</v>
      </c>
      <c r="I79" s="2" t="s">
        <v>39</v>
      </c>
      <c r="J79" s="2" t="str">
        <f>VLOOKUP(E79,[1]LL_Hub!$A$1:$B$13,2,FALSE)</f>
        <v>Miami</v>
      </c>
      <c r="K79" t="str">
        <f>VLOOKUP(D79,'[2]product Table data'!$A$2:$B$12,2,FALSE)</f>
        <v>Male</v>
      </c>
      <c r="L79" t="str">
        <f>VLOOKUP($D79,'[2]product Table data'!$A$2:$G$12,L$1,FALSE)</f>
        <v>Fancy Sheek</v>
      </c>
      <c r="M79" t="str">
        <f>VLOOKUP($D79,'[2]product Table data'!$A$2:$G$12,M$1,FALSE)</f>
        <v>Afghanistan</v>
      </c>
      <c r="N79" t="str">
        <f>VLOOKUP($D79,'[2]product Table data'!$A$2:$G$12,N$1,FALSE)</f>
        <v>Middle East</v>
      </c>
      <c r="O79">
        <f>VLOOKUP($D79,'[2]product Table data'!$A$2:$G$12,O$1,FALSE)</f>
        <v>450</v>
      </c>
      <c r="P79">
        <f>VLOOKUP($D79,'[2]product Table data'!$A$2:$G$12,P$1,FALSE)</f>
        <v>550</v>
      </c>
      <c r="Q79">
        <f t="shared" si="5"/>
        <v>100</v>
      </c>
      <c r="R79" t="str">
        <f t="shared" si="6"/>
        <v>-</v>
      </c>
      <c r="S79" t="str">
        <f t="shared" si="7"/>
        <v>Style Risk</v>
      </c>
      <c r="T79" t="str">
        <f t="shared" si="8"/>
        <v>-</v>
      </c>
      <c r="U79" t="str">
        <f t="shared" si="9"/>
        <v>High Value</v>
      </c>
    </row>
    <row r="80" spans="1:21" hidden="1" x14ac:dyDescent="0.2">
      <c r="A80" s="2">
        <v>515</v>
      </c>
      <c r="B80" s="2" t="s">
        <v>9</v>
      </c>
      <c r="C80" s="2" t="s">
        <v>124</v>
      </c>
      <c r="D80" s="2" t="s">
        <v>11</v>
      </c>
      <c r="E80" s="2">
        <v>33159</v>
      </c>
      <c r="F80" s="2" t="s">
        <v>125</v>
      </c>
      <c r="G80" s="2" t="s">
        <v>13</v>
      </c>
      <c r="H80" s="2">
        <v>1</v>
      </c>
      <c r="I80" s="2" t="s">
        <v>39</v>
      </c>
      <c r="J80" s="2" t="str">
        <f>VLOOKUP(E80,[1]LL_Hub!$A$1:$B$13,2,FALSE)</f>
        <v>Miami</v>
      </c>
      <c r="K80" t="str">
        <f>VLOOKUP(D80,'[2]product Table data'!$A$2:$B$12,2,FALSE)</f>
        <v>Male</v>
      </c>
      <c r="L80" t="str">
        <f>VLOOKUP($D80,'[2]product Table data'!$A$2:$G$12,L$1,FALSE)</f>
        <v>Casual n Light</v>
      </c>
      <c r="M80" t="str">
        <f>VLOOKUP($D80,'[2]product Table data'!$A$2:$G$12,M$1,FALSE)</f>
        <v>Ethiopia</v>
      </c>
      <c r="N80" t="str">
        <f>VLOOKUP($D80,'[2]product Table data'!$A$2:$G$12,N$1,FALSE)</f>
        <v>Africa</v>
      </c>
      <c r="O80">
        <f>VLOOKUP($D80,'[2]product Table data'!$A$2:$G$12,O$1,FALSE)</f>
        <v>10</v>
      </c>
      <c r="P80">
        <f>VLOOKUP($D80,'[2]product Table data'!$A$2:$G$12,P$1,FALSE)</f>
        <v>20</v>
      </c>
      <c r="Q80">
        <f t="shared" si="5"/>
        <v>10</v>
      </c>
      <c r="R80" t="str">
        <f t="shared" si="6"/>
        <v>-</v>
      </c>
      <c r="S80" t="str">
        <f t="shared" si="7"/>
        <v>Style Risk</v>
      </c>
      <c r="T80" t="str">
        <f t="shared" si="8"/>
        <v>-</v>
      </c>
      <c r="U80" t="str">
        <f t="shared" si="9"/>
        <v>High Value</v>
      </c>
    </row>
    <row r="81" spans="1:21" hidden="1" x14ac:dyDescent="0.2">
      <c r="A81" s="2">
        <v>575</v>
      </c>
      <c r="B81" s="2" t="s">
        <v>9</v>
      </c>
      <c r="C81" s="2" t="s">
        <v>126</v>
      </c>
      <c r="D81" s="2" t="s">
        <v>41</v>
      </c>
      <c r="E81" s="2">
        <v>10001</v>
      </c>
      <c r="F81" s="2" t="s">
        <v>42</v>
      </c>
      <c r="G81" s="2" t="s">
        <v>36</v>
      </c>
      <c r="H81" s="2">
        <v>1</v>
      </c>
      <c r="I81" s="2" t="s">
        <v>39</v>
      </c>
      <c r="J81" s="2" t="str">
        <f>VLOOKUP(E81,[1]LL_Hub!$A$1:$B$13,2,FALSE)</f>
        <v>New York</v>
      </c>
      <c r="K81" t="str">
        <f>VLOOKUP(D81,'[2]product Table data'!$A$2:$B$12,2,FALSE)</f>
        <v>Male</v>
      </c>
      <c r="L81" t="str">
        <f>VLOOKUP($D81,'[2]product Table data'!$A$2:$G$12,L$1,FALSE)</f>
        <v>Winter Warmth</v>
      </c>
      <c r="M81" t="str">
        <f>VLOOKUP($D81,'[2]product Table data'!$A$2:$G$12,M$1,FALSE)</f>
        <v>Moldova</v>
      </c>
      <c r="N81" t="str">
        <f>VLOOKUP($D81,'[2]product Table data'!$A$2:$G$12,N$1,FALSE)</f>
        <v>Eastern Europe</v>
      </c>
      <c r="O81">
        <f>VLOOKUP($D81,'[2]product Table data'!$A$2:$G$12,O$1,FALSE)</f>
        <v>475</v>
      </c>
      <c r="P81">
        <f>VLOOKUP($D81,'[2]product Table data'!$A$2:$G$12,P$1,FALSE)</f>
        <v>600</v>
      </c>
      <c r="Q81">
        <f t="shared" si="5"/>
        <v>125</v>
      </c>
      <c r="R81" t="str">
        <f t="shared" si="6"/>
        <v>-</v>
      </c>
      <c r="S81" t="str">
        <f t="shared" si="7"/>
        <v>-</v>
      </c>
      <c r="T81" t="str">
        <f t="shared" si="8"/>
        <v>-</v>
      </c>
      <c r="U81" t="str">
        <f t="shared" si="9"/>
        <v>High Value</v>
      </c>
    </row>
    <row r="82" spans="1:21" hidden="1" x14ac:dyDescent="0.2">
      <c r="A82" s="2">
        <v>576</v>
      </c>
      <c r="B82" s="2" t="s">
        <v>9</v>
      </c>
      <c r="C82" s="2" t="s">
        <v>127</v>
      </c>
      <c r="D82" s="2" t="s">
        <v>41</v>
      </c>
      <c r="E82" s="2">
        <v>10001</v>
      </c>
      <c r="F82" s="2" t="s">
        <v>42</v>
      </c>
      <c r="G82" s="2" t="s">
        <v>36</v>
      </c>
      <c r="H82" s="2">
        <v>1</v>
      </c>
      <c r="I82" s="2" t="s">
        <v>39</v>
      </c>
      <c r="J82" s="2" t="str">
        <f>VLOOKUP(E82,[1]LL_Hub!$A$1:$B$13,2,FALSE)</f>
        <v>New York</v>
      </c>
      <c r="K82" t="str">
        <f>VLOOKUP(D82,'[2]product Table data'!$A$2:$B$12,2,FALSE)</f>
        <v>Male</v>
      </c>
      <c r="L82" t="str">
        <f>VLOOKUP($D82,'[2]product Table data'!$A$2:$G$12,L$1,FALSE)</f>
        <v>Winter Warmth</v>
      </c>
      <c r="M82" t="str">
        <f>VLOOKUP($D82,'[2]product Table data'!$A$2:$G$12,M$1,FALSE)</f>
        <v>Moldova</v>
      </c>
      <c r="N82" t="str">
        <f>VLOOKUP($D82,'[2]product Table data'!$A$2:$G$12,N$1,FALSE)</f>
        <v>Eastern Europe</v>
      </c>
      <c r="O82">
        <f>VLOOKUP($D82,'[2]product Table data'!$A$2:$G$12,O$1,FALSE)</f>
        <v>475</v>
      </c>
      <c r="P82">
        <f>VLOOKUP($D82,'[2]product Table data'!$A$2:$G$12,P$1,FALSE)</f>
        <v>600</v>
      </c>
      <c r="Q82">
        <f t="shared" si="5"/>
        <v>125</v>
      </c>
      <c r="R82" t="str">
        <f t="shared" si="6"/>
        <v>-</v>
      </c>
      <c r="S82" t="str">
        <f t="shared" si="7"/>
        <v>-</v>
      </c>
      <c r="T82" t="str">
        <f t="shared" si="8"/>
        <v>-</v>
      </c>
      <c r="U82" t="str">
        <f t="shared" si="9"/>
        <v>High Value</v>
      </c>
    </row>
    <row r="83" spans="1:21" x14ac:dyDescent="0.2">
      <c r="A83" s="2">
        <v>399</v>
      </c>
      <c r="B83" s="2" t="s">
        <v>9</v>
      </c>
      <c r="C83" s="2" t="s">
        <v>983</v>
      </c>
      <c r="D83" s="2" t="s">
        <v>558</v>
      </c>
      <c r="E83" s="2">
        <v>90005</v>
      </c>
      <c r="F83" s="2" t="s">
        <v>981</v>
      </c>
      <c r="G83" s="2" t="s">
        <v>36</v>
      </c>
      <c r="H83" s="2">
        <v>1</v>
      </c>
      <c r="I83" s="2" t="s">
        <v>14</v>
      </c>
      <c r="J83" s="2" t="str">
        <f>VLOOKUP(E83,[1]LL_Hub!$A$1:$B$13,2,FALSE)</f>
        <v>Los Angeles</v>
      </c>
      <c r="K83" t="str">
        <f>VLOOKUP(D83,'[2]product Table data'!$A$2:$B$12,2,FALSE)</f>
        <v>Female</v>
      </c>
      <c r="L83" t="str">
        <f>VLOOKUP($D83,'[2]product Table data'!$A$2:$G$12,L$1,FALSE)</f>
        <v>Fancy Sheek</v>
      </c>
      <c r="M83" t="str">
        <f>VLOOKUP($D83,'[2]product Table data'!$A$2:$G$12,M$1,FALSE)</f>
        <v>Afghanistan</v>
      </c>
      <c r="N83" t="str">
        <f>VLOOKUP($D83,'[2]product Table data'!$A$2:$G$12,N$1,FALSE)</f>
        <v>Middle East</v>
      </c>
      <c r="O83">
        <f>VLOOKUP($D83,'[2]product Table data'!$A$2:$G$12,O$1,FALSE)</f>
        <v>150</v>
      </c>
      <c r="P83">
        <f>VLOOKUP($D83,'[2]product Table data'!$A$2:$G$12,P$1,FALSE)</f>
        <v>75</v>
      </c>
      <c r="Q83">
        <f t="shared" si="5"/>
        <v>-75</v>
      </c>
      <c r="R83" t="str">
        <f t="shared" si="6"/>
        <v>Hub Risk</v>
      </c>
      <c r="S83" t="str">
        <f t="shared" si="7"/>
        <v>Style Risk</v>
      </c>
      <c r="T83" t="str">
        <f t="shared" si="8"/>
        <v>Risk</v>
      </c>
      <c r="U83" t="str">
        <f t="shared" si="9"/>
        <v>Low Value</v>
      </c>
    </row>
    <row r="84" spans="1:21" x14ac:dyDescent="0.2">
      <c r="A84" s="2">
        <v>400</v>
      </c>
      <c r="B84" s="2" t="s">
        <v>9</v>
      </c>
      <c r="C84" s="2" t="s">
        <v>984</v>
      </c>
      <c r="D84" s="2" t="s">
        <v>558</v>
      </c>
      <c r="E84" s="2">
        <v>90005</v>
      </c>
      <c r="F84" s="2" t="s">
        <v>981</v>
      </c>
      <c r="G84" s="2" t="s">
        <v>36</v>
      </c>
      <c r="H84" s="2">
        <v>1</v>
      </c>
      <c r="I84" s="2" t="s">
        <v>14</v>
      </c>
      <c r="J84" s="2" t="str">
        <f>VLOOKUP(E84,[1]LL_Hub!$A$1:$B$13,2,FALSE)</f>
        <v>Los Angeles</v>
      </c>
      <c r="K84" t="str">
        <f>VLOOKUP(D84,'[2]product Table data'!$A$2:$B$12,2,FALSE)</f>
        <v>Female</v>
      </c>
      <c r="L84" t="str">
        <f>VLOOKUP($D84,'[2]product Table data'!$A$2:$G$12,L$1,FALSE)</f>
        <v>Fancy Sheek</v>
      </c>
      <c r="M84" t="str">
        <f>VLOOKUP($D84,'[2]product Table data'!$A$2:$G$12,M$1,FALSE)</f>
        <v>Afghanistan</v>
      </c>
      <c r="N84" t="str">
        <f>VLOOKUP($D84,'[2]product Table data'!$A$2:$G$12,N$1,FALSE)</f>
        <v>Middle East</v>
      </c>
      <c r="O84">
        <f>VLOOKUP($D84,'[2]product Table data'!$A$2:$G$12,O$1,FALSE)</f>
        <v>150</v>
      </c>
      <c r="P84">
        <f>VLOOKUP($D84,'[2]product Table data'!$A$2:$G$12,P$1,FALSE)</f>
        <v>75</v>
      </c>
      <c r="Q84">
        <f t="shared" si="5"/>
        <v>-75</v>
      </c>
      <c r="R84" t="str">
        <f t="shared" si="6"/>
        <v>Hub Risk</v>
      </c>
      <c r="S84" t="str">
        <f t="shared" si="7"/>
        <v>Style Risk</v>
      </c>
      <c r="T84" t="str">
        <f t="shared" si="8"/>
        <v>Risk</v>
      </c>
      <c r="U84" t="str">
        <f t="shared" si="9"/>
        <v>Low Value</v>
      </c>
    </row>
    <row r="85" spans="1:21" hidden="1" x14ac:dyDescent="0.2">
      <c r="A85" s="2">
        <v>579</v>
      </c>
      <c r="B85" s="2" t="s">
        <v>9</v>
      </c>
      <c r="C85" s="2" t="s">
        <v>132</v>
      </c>
      <c r="D85" s="2" t="s">
        <v>41</v>
      </c>
      <c r="E85" s="2">
        <v>10001</v>
      </c>
      <c r="F85" s="2" t="s">
        <v>42</v>
      </c>
      <c r="G85" s="2" t="s">
        <v>36</v>
      </c>
      <c r="H85" s="2">
        <v>1</v>
      </c>
      <c r="I85" s="2" t="s">
        <v>39</v>
      </c>
      <c r="J85" s="2" t="str">
        <f>VLOOKUP(E85,[1]LL_Hub!$A$1:$B$13,2,FALSE)</f>
        <v>New York</v>
      </c>
      <c r="K85" t="str">
        <f>VLOOKUP(D85,'[2]product Table data'!$A$2:$B$12,2,FALSE)</f>
        <v>Male</v>
      </c>
      <c r="L85" t="str">
        <f>VLOOKUP($D85,'[2]product Table data'!$A$2:$G$12,L$1,FALSE)</f>
        <v>Winter Warmth</v>
      </c>
      <c r="M85" t="str">
        <f>VLOOKUP($D85,'[2]product Table data'!$A$2:$G$12,M$1,FALSE)</f>
        <v>Moldova</v>
      </c>
      <c r="N85" t="str">
        <f>VLOOKUP($D85,'[2]product Table data'!$A$2:$G$12,N$1,FALSE)</f>
        <v>Eastern Europe</v>
      </c>
      <c r="O85">
        <f>VLOOKUP($D85,'[2]product Table data'!$A$2:$G$12,O$1,FALSE)</f>
        <v>475</v>
      </c>
      <c r="P85">
        <f>VLOOKUP($D85,'[2]product Table data'!$A$2:$G$12,P$1,FALSE)</f>
        <v>600</v>
      </c>
      <c r="Q85">
        <f t="shared" si="5"/>
        <v>125</v>
      </c>
      <c r="R85" t="str">
        <f t="shared" si="6"/>
        <v>-</v>
      </c>
      <c r="S85" t="str">
        <f t="shared" si="7"/>
        <v>-</v>
      </c>
      <c r="T85" t="str">
        <f t="shared" si="8"/>
        <v>-</v>
      </c>
      <c r="U85" t="str">
        <f t="shared" si="9"/>
        <v>High Value</v>
      </c>
    </row>
    <row r="86" spans="1:21" x14ac:dyDescent="0.2">
      <c r="A86" s="2">
        <v>401</v>
      </c>
      <c r="B86" s="2" t="s">
        <v>9</v>
      </c>
      <c r="C86" s="2" t="s">
        <v>985</v>
      </c>
      <c r="D86" s="2" t="s">
        <v>558</v>
      </c>
      <c r="E86" s="2">
        <v>90005</v>
      </c>
      <c r="F86" s="2" t="s">
        <v>981</v>
      </c>
      <c r="G86" s="2" t="s">
        <v>36</v>
      </c>
      <c r="H86" s="2">
        <v>1</v>
      </c>
      <c r="I86" s="2" t="s">
        <v>14</v>
      </c>
      <c r="J86" s="2" t="str">
        <f>VLOOKUP(E86,[1]LL_Hub!$A$1:$B$13,2,FALSE)</f>
        <v>Los Angeles</v>
      </c>
      <c r="K86" t="str">
        <f>VLOOKUP(D86,'[2]product Table data'!$A$2:$B$12,2,FALSE)</f>
        <v>Female</v>
      </c>
      <c r="L86" t="str">
        <f>VLOOKUP($D86,'[2]product Table data'!$A$2:$G$12,L$1,FALSE)</f>
        <v>Fancy Sheek</v>
      </c>
      <c r="M86" t="str">
        <f>VLOOKUP($D86,'[2]product Table data'!$A$2:$G$12,M$1,FALSE)</f>
        <v>Afghanistan</v>
      </c>
      <c r="N86" t="str">
        <f>VLOOKUP($D86,'[2]product Table data'!$A$2:$G$12,N$1,FALSE)</f>
        <v>Middle East</v>
      </c>
      <c r="O86">
        <f>VLOOKUP($D86,'[2]product Table data'!$A$2:$G$12,O$1,FALSE)</f>
        <v>150</v>
      </c>
      <c r="P86">
        <f>VLOOKUP($D86,'[2]product Table data'!$A$2:$G$12,P$1,FALSE)</f>
        <v>75</v>
      </c>
      <c r="Q86">
        <f t="shared" si="5"/>
        <v>-75</v>
      </c>
      <c r="R86" t="str">
        <f t="shared" si="6"/>
        <v>Hub Risk</v>
      </c>
      <c r="S86" t="str">
        <f t="shared" si="7"/>
        <v>Style Risk</v>
      </c>
      <c r="T86" t="str">
        <f t="shared" si="8"/>
        <v>Risk</v>
      </c>
      <c r="U86" t="str">
        <f t="shared" si="9"/>
        <v>Low Value</v>
      </c>
    </row>
    <row r="87" spans="1:21" hidden="1" x14ac:dyDescent="0.2">
      <c r="A87" s="2">
        <v>581</v>
      </c>
      <c r="B87" s="2" t="s">
        <v>9</v>
      </c>
      <c r="C87" s="2" t="s">
        <v>135</v>
      </c>
      <c r="D87" s="2" t="s">
        <v>41</v>
      </c>
      <c r="E87" s="2">
        <v>10001</v>
      </c>
      <c r="F87" s="2" t="s">
        <v>42</v>
      </c>
      <c r="G87" s="2" t="s">
        <v>36</v>
      </c>
      <c r="H87" s="2">
        <v>1</v>
      </c>
      <c r="I87" s="2" t="s">
        <v>39</v>
      </c>
      <c r="J87" s="2" t="str">
        <f>VLOOKUP(E87,[1]LL_Hub!$A$1:$B$13,2,FALSE)</f>
        <v>New York</v>
      </c>
      <c r="K87" t="str">
        <f>VLOOKUP(D87,'[2]product Table data'!$A$2:$B$12,2,FALSE)</f>
        <v>Male</v>
      </c>
      <c r="L87" t="str">
        <f>VLOOKUP($D87,'[2]product Table data'!$A$2:$G$12,L$1,FALSE)</f>
        <v>Winter Warmth</v>
      </c>
      <c r="M87" t="str">
        <f>VLOOKUP($D87,'[2]product Table data'!$A$2:$G$12,M$1,FALSE)</f>
        <v>Moldova</v>
      </c>
      <c r="N87" t="str">
        <f>VLOOKUP($D87,'[2]product Table data'!$A$2:$G$12,N$1,FALSE)</f>
        <v>Eastern Europe</v>
      </c>
      <c r="O87">
        <f>VLOOKUP($D87,'[2]product Table data'!$A$2:$G$12,O$1,FALSE)</f>
        <v>475</v>
      </c>
      <c r="P87">
        <f>VLOOKUP($D87,'[2]product Table data'!$A$2:$G$12,P$1,FALSE)</f>
        <v>600</v>
      </c>
      <c r="Q87">
        <f t="shared" si="5"/>
        <v>125</v>
      </c>
      <c r="R87" t="str">
        <f t="shared" si="6"/>
        <v>-</v>
      </c>
      <c r="S87" t="str">
        <f t="shared" si="7"/>
        <v>-</v>
      </c>
      <c r="T87" t="str">
        <f t="shared" si="8"/>
        <v>-</v>
      </c>
      <c r="U87" t="str">
        <f t="shared" si="9"/>
        <v>High Value</v>
      </c>
    </row>
    <row r="88" spans="1:21" x14ac:dyDescent="0.2">
      <c r="A88" s="2">
        <v>402</v>
      </c>
      <c r="B88" s="2" t="s">
        <v>9</v>
      </c>
      <c r="C88" s="2" t="s">
        <v>986</v>
      </c>
      <c r="D88" s="2" t="s">
        <v>558</v>
      </c>
      <c r="E88" s="2">
        <v>90005</v>
      </c>
      <c r="F88" s="2" t="s">
        <v>981</v>
      </c>
      <c r="G88" s="2" t="s">
        <v>36</v>
      </c>
      <c r="H88" s="2">
        <v>1</v>
      </c>
      <c r="I88" s="2" t="s">
        <v>14</v>
      </c>
      <c r="J88" s="2" t="str">
        <f>VLOOKUP(E88,[1]LL_Hub!$A$1:$B$13,2,FALSE)</f>
        <v>Los Angeles</v>
      </c>
      <c r="K88" t="str">
        <f>VLOOKUP(D88,'[2]product Table data'!$A$2:$B$12,2,FALSE)</f>
        <v>Female</v>
      </c>
      <c r="L88" t="str">
        <f>VLOOKUP($D88,'[2]product Table data'!$A$2:$G$12,L$1,FALSE)</f>
        <v>Fancy Sheek</v>
      </c>
      <c r="M88" t="str">
        <f>VLOOKUP($D88,'[2]product Table data'!$A$2:$G$12,M$1,FALSE)</f>
        <v>Afghanistan</v>
      </c>
      <c r="N88" t="str">
        <f>VLOOKUP($D88,'[2]product Table data'!$A$2:$G$12,N$1,FALSE)</f>
        <v>Middle East</v>
      </c>
      <c r="O88">
        <f>VLOOKUP($D88,'[2]product Table data'!$A$2:$G$12,O$1,FALSE)</f>
        <v>150</v>
      </c>
      <c r="P88">
        <f>VLOOKUP($D88,'[2]product Table data'!$A$2:$G$12,P$1,FALSE)</f>
        <v>75</v>
      </c>
      <c r="Q88">
        <f t="shared" si="5"/>
        <v>-75</v>
      </c>
      <c r="R88" t="str">
        <f t="shared" si="6"/>
        <v>Hub Risk</v>
      </c>
      <c r="S88" t="str">
        <f t="shared" si="7"/>
        <v>Style Risk</v>
      </c>
      <c r="T88" t="str">
        <f t="shared" si="8"/>
        <v>Risk</v>
      </c>
      <c r="U88" t="str">
        <f t="shared" si="9"/>
        <v>Low Value</v>
      </c>
    </row>
    <row r="89" spans="1:21" hidden="1" x14ac:dyDescent="0.2">
      <c r="A89" s="2">
        <v>583</v>
      </c>
      <c r="B89" s="2" t="s">
        <v>9</v>
      </c>
      <c r="C89" s="2" t="s">
        <v>138</v>
      </c>
      <c r="D89" s="2" t="s">
        <v>41</v>
      </c>
      <c r="E89" s="2">
        <v>10001</v>
      </c>
      <c r="F89" s="2" t="s">
        <v>42</v>
      </c>
      <c r="G89" s="2" t="s">
        <v>36</v>
      </c>
      <c r="H89" s="2">
        <v>1</v>
      </c>
      <c r="I89" s="2" t="s">
        <v>39</v>
      </c>
      <c r="J89" s="2" t="str">
        <f>VLOOKUP(E89,[1]LL_Hub!$A$1:$B$13,2,FALSE)</f>
        <v>New York</v>
      </c>
      <c r="K89" t="str">
        <f>VLOOKUP(D89,'[2]product Table data'!$A$2:$B$12,2,FALSE)</f>
        <v>Male</v>
      </c>
      <c r="L89" t="str">
        <f>VLOOKUP($D89,'[2]product Table data'!$A$2:$G$12,L$1,FALSE)</f>
        <v>Winter Warmth</v>
      </c>
      <c r="M89" t="str">
        <f>VLOOKUP($D89,'[2]product Table data'!$A$2:$G$12,M$1,FALSE)</f>
        <v>Moldova</v>
      </c>
      <c r="N89" t="str">
        <f>VLOOKUP($D89,'[2]product Table data'!$A$2:$G$12,N$1,FALSE)</f>
        <v>Eastern Europe</v>
      </c>
      <c r="O89">
        <f>VLOOKUP($D89,'[2]product Table data'!$A$2:$G$12,O$1,FALSE)</f>
        <v>475</v>
      </c>
      <c r="P89">
        <f>VLOOKUP($D89,'[2]product Table data'!$A$2:$G$12,P$1,FALSE)</f>
        <v>600</v>
      </c>
      <c r="Q89">
        <f t="shared" si="5"/>
        <v>125</v>
      </c>
      <c r="R89" t="str">
        <f t="shared" si="6"/>
        <v>-</v>
      </c>
      <c r="S89" t="str">
        <f t="shared" si="7"/>
        <v>-</v>
      </c>
      <c r="T89" t="str">
        <f t="shared" si="8"/>
        <v>-</v>
      </c>
      <c r="U89" t="str">
        <f t="shared" si="9"/>
        <v>High Value</v>
      </c>
    </row>
    <row r="90" spans="1:21" hidden="1" x14ac:dyDescent="0.2">
      <c r="A90" s="2">
        <v>584</v>
      </c>
      <c r="B90" s="2" t="s">
        <v>9</v>
      </c>
      <c r="C90" s="2" t="s">
        <v>139</v>
      </c>
      <c r="D90" s="2" t="s">
        <v>19</v>
      </c>
      <c r="E90" s="2">
        <v>10001</v>
      </c>
      <c r="F90" s="2" t="s">
        <v>140</v>
      </c>
      <c r="G90" s="2" t="s">
        <v>13</v>
      </c>
      <c r="H90" s="2">
        <v>1</v>
      </c>
      <c r="I90" s="2" t="s">
        <v>17</v>
      </c>
      <c r="J90" s="2" t="str">
        <f>VLOOKUP(E90,[1]LL_Hub!$A$1:$B$13,2,FALSE)</f>
        <v>New York</v>
      </c>
      <c r="K90" t="str">
        <f>VLOOKUP(D90,'[2]product Table data'!$A$2:$B$12,2,FALSE)</f>
        <v>Male</v>
      </c>
      <c r="L90" t="str">
        <f>VLOOKUP($D90,'[2]product Table data'!$A$2:$G$12,L$1,FALSE)</f>
        <v>Casual n Light</v>
      </c>
      <c r="M90" t="str">
        <f>VLOOKUP($D90,'[2]product Table data'!$A$2:$G$12,M$1,FALSE)</f>
        <v>Kenya</v>
      </c>
      <c r="N90" t="str">
        <f>VLOOKUP($D90,'[2]product Table data'!$A$2:$G$12,N$1,FALSE)</f>
        <v>Africa</v>
      </c>
      <c r="O90">
        <f>VLOOKUP($D90,'[2]product Table data'!$A$2:$G$12,O$1,FALSE)</f>
        <v>15</v>
      </c>
      <c r="P90">
        <f>VLOOKUP($D90,'[2]product Table data'!$A$2:$G$12,P$1,FALSE)</f>
        <v>30</v>
      </c>
      <c r="Q90">
        <f t="shared" si="5"/>
        <v>15</v>
      </c>
      <c r="R90" t="str">
        <f t="shared" si="6"/>
        <v>-</v>
      </c>
      <c r="S90" t="str">
        <f t="shared" si="7"/>
        <v>Style Risk</v>
      </c>
      <c r="T90" t="str">
        <f t="shared" si="8"/>
        <v>-</v>
      </c>
      <c r="U90" t="str">
        <f t="shared" si="9"/>
        <v>High Value</v>
      </c>
    </row>
    <row r="91" spans="1:21" hidden="1" x14ac:dyDescent="0.2">
      <c r="A91" s="2">
        <v>585</v>
      </c>
      <c r="B91" s="2" t="s">
        <v>9</v>
      </c>
      <c r="C91" s="2" t="s">
        <v>141</v>
      </c>
      <c r="D91" s="2" t="s">
        <v>41</v>
      </c>
      <c r="E91" s="2">
        <v>10001</v>
      </c>
      <c r="F91" s="2" t="s">
        <v>42</v>
      </c>
      <c r="G91" s="2" t="s">
        <v>36</v>
      </c>
      <c r="H91" s="2">
        <v>1</v>
      </c>
      <c r="I91" s="2" t="s">
        <v>39</v>
      </c>
      <c r="J91" s="2" t="str">
        <f>VLOOKUP(E91,[1]LL_Hub!$A$1:$B$13,2,FALSE)</f>
        <v>New York</v>
      </c>
      <c r="K91" t="str">
        <f>VLOOKUP(D91,'[2]product Table data'!$A$2:$B$12,2,FALSE)</f>
        <v>Male</v>
      </c>
      <c r="L91" t="str">
        <f>VLOOKUP($D91,'[2]product Table data'!$A$2:$G$12,L$1,FALSE)</f>
        <v>Winter Warmth</v>
      </c>
      <c r="M91" t="str">
        <f>VLOOKUP($D91,'[2]product Table data'!$A$2:$G$12,M$1,FALSE)</f>
        <v>Moldova</v>
      </c>
      <c r="N91" t="str">
        <f>VLOOKUP($D91,'[2]product Table data'!$A$2:$G$12,N$1,FALSE)</f>
        <v>Eastern Europe</v>
      </c>
      <c r="O91">
        <f>VLOOKUP($D91,'[2]product Table data'!$A$2:$G$12,O$1,FALSE)</f>
        <v>475</v>
      </c>
      <c r="P91">
        <f>VLOOKUP($D91,'[2]product Table data'!$A$2:$G$12,P$1,FALSE)</f>
        <v>600</v>
      </c>
      <c r="Q91">
        <f t="shared" si="5"/>
        <v>125</v>
      </c>
      <c r="R91" t="str">
        <f t="shared" si="6"/>
        <v>-</v>
      </c>
      <c r="S91" t="str">
        <f t="shared" si="7"/>
        <v>-</v>
      </c>
      <c r="T91" t="str">
        <f t="shared" si="8"/>
        <v>-</v>
      </c>
      <c r="U91" t="str">
        <f t="shared" si="9"/>
        <v>High Value</v>
      </c>
    </row>
    <row r="92" spans="1:21" hidden="1" x14ac:dyDescent="0.2">
      <c r="A92" s="2">
        <v>586</v>
      </c>
      <c r="B92" s="2" t="s">
        <v>9</v>
      </c>
      <c r="C92" s="2" t="s">
        <v>142</v>
      </c>
      <c r="D92" s="2" t="s">
        <v>19</v>
      </c>
      <c r="E92" s="2">
        <v>10001</v>
      </c>
      <c r="F92" s="2" t="s">
        <v>143</v>
      </c>
      <c r="G92" s="2" t="s">
        <v>13</v>
      </c>
      <c r="H92" s="2">
        <v>1</v>
      </c>
      <c r="I92" s="2" t="s">
        <v>17</v>
      </c>
      <c r="J92" s="2" t="str">
        <f>VLOOKUP(E92,[1]LL_Hub!$A$1:$B$13,2,FALSE)</f>
        <v>New York</v>
      </c>
      <c r="K92" t="str">
        <f>VLOOKUP(D92,'[2]product Table data'!$A$2:$B$12,2,FALSE)</f>
        <v>Male</v>
      </c>
      <c r="L92" t="str">
        <f>VLOOKUP($D92,'[2]product Table data'!$A$2:$G$12,L$1,FALSE)</f>
        <v>Casual n Light</v>
      </c>
      <c r="M92" t="str">
        <f>VLOOKUP($D92,'[2]product Table data'!$A$2:$G$12,M$1,FALSE)</f>
        <v>Kenya</v>
      </c>
      <c r="N92" t="str">
        <f>VLOOKUP($D92,'[2]product Table data'!$A$2:$G$12,N$1,FALSE)</f>
        <v>Africa</v>
      </c>
      <c r="O92">
        <f>VLOOKUP($D92,'[2]product Table data'!$A$2:$G$12,O$1,FALSE)</f>
        <v>15</v>
      </c>
      <c r="P92">
        <f>VLOOKUP($D92,'[2]product Table data'!$A$2:$G$12,P$1,FALSE)</f>
        <v>30</v>
      </c>
      <c r="Q92">
        <f t="shared" si="5"/>
        <v>15</v>
      </c>
      <c r="R92" t="str">
        <f t="shared" si="6"/>
        <v>-</v>
      </c>
      <c r="S92" t="str">
        <f t="shared" si="7"/>
        <v>Style Risk</v>
      </c>
      <c r="T92" t="str">
        <f t="shared" si="8"/>
        <v>-</v>
      </c>
      <c r="U92" t="str">
        <f t="shared" si="9"/>
        <v>High Value</v>
      </c>
    </row>
    <row r="93" spans="1:21" hidden="1" x14ac:dyDescent="0.2">
      <c r="A93" s="2">
        <v>587</v>
      </c>
      <c r="B93" s="2" t="s">
        <v>9</v>
      </c>
      <c r="C93" s="2" t="s">
        <v>144</v>
      </c>
      <c r="D93" s="2" t="s">
        <v>41</v>
      </c>
      <c r="E93" s="2">
        <v>10001</v>
      </c>
      <c r="F93" s="2" t="s">
        <v>42</v>
      </c>
      <c r="G93" s="2" t="s">
        <v>36</v>
      </c>
      <c r="H93" s="2">
        <v>1</v>
      </c>
      <c r="I93" s="2" t="s">
        <v>39</v>
      </c>
      <c r="J93" s="2" t="str">
        <f>VLOOKUP(E93,[1]LL_Hub!$A$1:$B$13,2,FALSE)</f>
        <v>New York</v>
      </c>
      <c r="K93" t="str">
        <f>VLOOKUP(D93,'[2]product Table data'!$A$2:$B$12,2,FALSE)</f>
        <v>Male</v>
      </c>
      <c r="L93" t="str">
        <f>VLOOKUP($D93,'[2]product Table data'!$A$2:$G$12,L$1,FALSE)</f>
        <v>Winter Warmth</v>
      </c>
      <c r="M93" t="str">
        <f>VLOOKUP($D93,'[2]product Table data'!$A$2:$G$12,M$1,FALSE)</f>
        <v>Moldova</v>
      </c>
      <c r="N93" t="str">
        <f>VLOOKUP($D93,'[2]product Table data'!$A$2:$G$12,N$1,FALSE)</f>
        <v>Eastern Europe</v>
      </c>
      <c r="O93">
        <f>VLOOKUP($D93,'[2]product Table data'!$A$2:$G$12,O$1,FALSE)</f>
        <v>475</v>
      </c>
      <c r="P93">
        <f>VLOOKUP($D93,'[2]product Table data'!$A$2:$G$12,P$1,FALSE)</f>
        <v>600</v>
      </c>
      <c r="Q93">
        <f t="shared" si="5"/>
        <v>125</v>
      </c>
      <c r="R93" t="str">
        <f t="shared" si="6"/>
        <v>-</v>
      </c>
      <c r="S93" t="str">
        <f t="shared" si="7"/>
        <v>-</v>
      </c>
      <c r="T93" t="str">
        <f t="shared" si="8"/>
        <v>-</v>
      </c>
      <c r="U93" t="str">
        <f t="shared" si="9"/>
        <v>High Value</v>
      </c>
    </row>
    <row r="94" spans="1:21" hidden="1" x14ac:dyDescent="0.2">
      <c r="A94" s="2">
        <v>588</v>
      </c>
      <c r="B94" s="2" t="s">
        <v>9</v>
      </c>
      <c r="C94" s="2" t="s">
        <v>145</v>
      </c>
      <c r="D94" s="2" t="s">
        <v>41</v>
      </c>
      <c r="E94" s="2">
        <v>10001</v>
      </c>
      <c r="F94" s="2" t="s">
        <v>42</v>
      </c>
      <c r="G94" s="2" t="s">
        <v>36</v>
      </c>
      <c r="H94" s="2">
        <v>1</v>
      </c>
      <c r="I94" s="2" t="s">
        <v>39</v>
      </c>
      <c r="J94" s="2" t="str">
        <f>VLOOKUP(E94,[1]LL_Hub!$A$1:$B$13,2,FALSE)</f>
        <v>New York</v>
      </c>
      <c r="K94" t="str">
        <f>VLOOKUP(D94,'[2]product Table data'!$A$2:$B$12,2,FALSE)</f>
        <v>Male</v>
      </c>
      <c r="L94" t="str">
        <f>VLOOKUP($D94,'[2]product Table data'!$A$2:$G$12,L$1,FALSE)</f>
        <v>Winter Warmth</v>
      </c>
      <c r="M94" t="str">
        <f>VLOOKUP($D94,'[2]product Table data'!$A$2:$G$12,M$1,FALSE)</f>
        <v>Moldova</v>
      </c>
      <c r="N94" t="str">
        <f>VLOOKUP($D94,'[2]product Table data'!$A$2:$G$12,N$1,FALSE)</f>
        <v>Eastern Europe</v>
      </c>
      <c r="O94">
        <f>VLOOKUP($D94,'[2]product Table data'!$A$2:$G$12,O$1,FALSE)</f>
        <v>475</v>
      </c>
      <c r="P94">
        <f>VLOOKUP($D94,'[2]product Table data'!$A$2:$G$12,P$1,FALSE)</f>
        <v>600</v>
      </c>
      <c r="Q94">
        <f t="shared" si="5"/>
        <v>125</v>
      </c>
      <c r="R94" t="str">
        <f t="shared" si="6"/>
        <v>-</v>
      </c>
      <c r="S94" t="str">
        <f t="shared" si="7"/>
        <v>-</v>
      </c>
      <c r="T94" t="str">
        <f t="shared" si="8"/>
        <v>-</v>
      </c>
      <c r="U94" t="str">
        <f t="shared" si="9"/>
        <v>High Value</v>
      </c>
    </row>
    <row r="95" spans="1:21" hidden="1" x14ac:dyDescent="0.2">
      <c r="A95" s="2">
        <v>589</v>
      </c>
      <c r="B95" s="2" t="s">
        <v>9</v>
      </c>
      <c r="C95" s="2" t="s">
        <v>146</v>
      </c>
      <c r="D95" s="2" t="s">
        <v>41</v>
      </c>
      <c r="E95" s="2">
        <v>10001</v>
      </c>
      <c r="F95" s="2" t="s">
        <v>42</v>
      </c>
      <c r="G95" s="2" t="s">
        <v>36</v>
      </c>
      <c r="H95" s="2">
        <v>1</v>
      </c>
      <c r="I95" s="2" t="s">
        <v>39</v>
      </c>
      <c r="J95" s="2" t="str">
        <f>VLOOKUP(E95,[1]LL_Hub!$A$1:$B$13,2,FALSE)</f>
        <v>New York</v>
      </c>
      <c r="K95" t="str">
        <f>VLOOKUP(D95,'[2]product Table data'!$A$2:$B$12,2,FALSE)</f>
        <v>Male</v>
      </c>
      <c r="L95" t="str">
        <f>VLOOKUP($D95,'[2]product Table data'!$A$2:$G$12,L$1,FALSE)</f>
        <v>Winter Warmth</v>
      </c>
      <c r="M95" t="str">
        <f>VLOOKUP($D95,'[2]product Table data'!$A$2:$G$12,M$1,FALSE)</f>
        <v>Moldova</v>
      </c>
      <c r="N95" t="str">
        <f>VLOOKUP($D95,'[2]product Table data'!$A$2:$G$12,N$1,FALSE)</f>
        <v>Eastern Europe</v>
      </c>
      <c r="O95">
        <f>VLOOKUP($D95,'[2]product Table data'!$A$2:$G$12,O$1,FALSE)</f>
        <v>475</v>
      </c>
      <c r="P95">
        <f>VLOOKUP($D95,'[2]product Table data'!$A$2:$G$12,P$1,FALSE)</f>
        <v>600</v>
      </c>
      <c r="Q95">
        <f t="shared" si="5"/>
        <v>125</v>
      </c>
      <c r="R95" t="str">
        <f t="shared" si="6"/>
        <v>-</v>
      </c>
      <c r="S95" t="str">
        <f t="shared" si="7"/>
        <v>-</v>
      </c>
      <c r="T95" t="str">
        <f t="shared" si="8"/>
        <v>-</v>
      </c>
      <c r="U95" t="str">
        <f t="shared" si="9"/>
        <v>High Value</v>
      </c>
    </row>
    <row r="96" spans="1:21" hidden="1" x14ac:dyDescent="0.2">
      <c r="A96" s="2">
        <v>590</v>
      </c>
      <c r="B96" s="2" t="s">
        <v>9</v>
      </c>
      <c r="C96" s="2" t="s">
        <v>147</v>
      </c>
      <c r="D96" s="2" t="s">
        <v>41</v>
      </c>
      <c r="E96" s="2">
        <v>10001</v>
      </c>
      <c r="F96" s="2" t="s">
        <v>42</v>
      </c>
      <c r="G96" s="2" t="s">
        <v>36</v>
      </c>
      <c r="H96" s="2">
        <v>1</v>
      </c>
      <c r="I96" s="2" t="s">
        <v>39</v>
      </c>
      <c r="J96" s="2" t="str">
        <f>VLOOKUP(E96,[1]LL_Hub!$A$1:$B$13,2,FALSE)</f>
        <v>New York</v>
      </c>
      <c r="K96" t="str">
        <f>VLOOKUP(D96,'[2]product Table data'!$A$2:$B$12,2,FALSE)</f>
        <v>Male</v>
      </c>
      <c r="L96" t="str">
        <f>VLOOKUP($D96,'[2]product Table data'!$A$2:$G$12,L$1,FALSE)</f>
        <v>Winter Warmth</v>
      </c>
      <c r="M96" t="str">
        <f>VLOOKUP($D96,'[2]product Table data'!$A$2:$G$12,M$1,FALSE)</f>
        <v>Moldova</v>
      </c>
      <c r="N96" t="str">
        <f>VLOOKUP($D96,'[2]product Table data'!$A$2:$G$12,N$1,FALSE)</f>
        <v>Eastern Europe</v>
      </c>
      <c r="O96">
        <f>VLOOKUP($D96,'[2]product Table data'!$A$2:$G$12,O$1,FALSE)</f>
        <v>475</v>
      </c>
      <c r="P96">
        <f>VLOOKUP($D96,'[2]product Table data'!$A$2:$G$12,P$1,FALSE)</f>
        <v>600</v>
      </c>
      <c r="Q96">
        <f t="shared" si="5"/>
        <v>125</v>
      </c>
      <c r="R96" t="str">
        <f t="shared" si="6"/>
        <v>-</v>
      </c>
      <c r="S96" t="str">
        <f t="shared" si="7"/>
        <v>-</v>
      </c>
      <c r="T96" t="str">
        <f t="shared" si="8"/>
        <v>-</v>
      </c>
      <c r="U96" t="str">
        <f t="shared" si="9"/>
        <v>High Value</v>
      </c>
    </row>
    <row r="97" spans="1:21" hidden="1" x14ac:dyDescent="0.2">
      <c r="A97" s="2">
        <v>591</v>
      </c>
      <c r="B97" s="2" t="s">
        <v>9</v>
      </c>
      <c r="C97" s="2" t="s">
        <v>148</v>
      </c>
      <c r="D97" s="2" t="s">
        <v>41</v>
      </c>
      <c r="E97" s="2">
        <v>10001</v>
      </c>
      <c r="F97" s="2" t="s">
        <v>42</v>
      </c>
      <c r="G97" s="2" t="s">
        <v>36</v>
      </c>
      <c r="H97" s="2">
        <v>1</v>
      </c>
      <c r="I97" s="2" t="s">
        <v>39</v>
      </c>
      <c r="J97" s="2" t="str">
        <f>VLOOKUP(E97,[1]LL_Hub!$A$1:$B$13,2,FALSE)</f>
        <v>New York</v>
      </c>
      <c r="K97" t="str">
        <f>VLOOKUP(D97,'[2]product Table data'!$A$2:$B$12,2,FALSE)</f>
        <v>Male</v>
      </c>
      <c r="L97" t="str">
        <f>VLOOKUP($D97,'[2]product Table data'!$A$2:$G$12,L$1,FALSE)</f>
        <v>Winter Warmth</v>
      </c>
      <c r="M97" t="str">
        <f>VLOOKUP($D97,'[2]product Table data'!$A$2:$G$12,M$1,FALSE)</f>
        <v>Moldova</v>
      </c>
      <c r="N97" t="str">
        <f>VLOOKUP($D97,'[2]product Table data'!$A$2:$G$12,N$1,FALSE)</f>
        <v>Eastern Europe</v>
      </c>
      <c r="O97">
        <f>VLOOKUP($D97,'[2]product Table data'!$A$2:$G$12,O$1,FALSE)</f>
        <v>475</v>
      </c>
      <c r="P97">
        <f>VLOOKUP($D97,'[2]product Table data'!$A$2:$G$12,P$1,FALSE)</f>
        <v>600</v>
      </c>
      <c r="Q97">
        <f t="shared" si="5"/>
        <v>125</v>
      </c>
      <c r="R97" t="str">
        <f t="shared" si="6"/>
        <v>-</v>
      </c>
      <c r="S97" t="str">
        <f t="shared" si="7"/>
        <v>-</v>
      </c>
      <c r="T97" t="str">
        <f t="shared" si="8"/>
        <v>-</v>
      </c>
      <c r="U97" t="str">
        <f t="shared" si="9"/>
        <v>High Value</v>
      </c>
    </row>
    <row r="98" spans="1:21" hidden="1" x14ac:dyDescent="0.2">
      <c r="A98" s="2">
        <v>592</v>
      </c>
      <c r="B98" s="2" t="s">
        <v>9</v>
      </c>
      <c r="C98" s="2" t="s">
        <v>149</v>
      </c>
      <c r="D98" s="2" t="s">
        <v>41</v>
      </c>
      <c r="E98" s="2">
        <v>10001</v>
      </c>
      <c r="F98" s="2" t="s">
        <v>42</v>
      </c>
      <c r="G98" s="2" t="s">
        <v>36</v>
      </c>
      <c r="H98" s="2">
        <v>1</v>
      </c>
      <c r="I98" s="2" t="s">
        <v>39</v>
      </c>
      <c r="J98" s="2" t="str">
        <f>VLOOKUP(E98,[1]LL_Hub!$A$1:$B$13,2,FALSE)</f>
        <v>New York</v>
      </c>
      <c r="K98" t="str">
        <f>VLOOKUP(D98,'[2]product Table data'!$A$2:$B$12,2,FALSE)</f>
        <v>Male</v>
      </c>
      <c r="L98" t="str">
        <f>VLOOKUP($D98,'[2]product Table data'!$A$2:$G$12,L$1,FALSE)</f>
        <v>Winter Warmth</v>
      </c>
      <c r="M98" t="str">
        <f>VLOOKUP($D98,'[2]product Table data'!$A$2:$G$12,M$1,FALSE)</f>
        <v>Moldova</v>
      </c>
      <c r="N98" t="str">
        <f>VLOOKUP($D98,'[2]product Table data'!$A$2:$G$12,N$1,FALSE)</f>
        <v>Eastern Europe</v>
      </c>
      <c r="O98">
        <f>VLOOKUP($D98,'[2]product Table data'!$A$2:$G$12,O$1,FALSE)</f>
        <v>475</v>
      </c>
      <c r="P98">
        <f>VLOOKUP($D98,'[2]product Table data'!$A$2:$G$12,P$1,FALSE)</f>
        <v>600</v>
      </c>
      <c r="Q98">
        <f t="shared" si="5"/>
        <v>125</v>
      </c>
      <c r="R98" t="str">
        <f t="shared" si="6"/>
        <v>-</v>
      </c>
      <c r="S98" t="str">
        <f t="shared" si="7"/>
        <v>-</v>
      </c>
      <c r="T98" t="str">
        <f t="shared" si="8"/>
        <v>-</v>
      </c>
      <c r="U98" t="str">
        <f t="shared" si="9"/>
        <v>High Value</v>
      </c>
    </row>
    <row r="99" spans="1:21" hidden="1" x14ac:dyDescent="0.2">
      <c r="A99" s="2">
        <v>593</v>
      </c>
      <c r="B99" s="2" t="s">
        <v>9</v>
      </c>
      <c r="C99" s="2" t="s">
        <v>150</v>
      </c>
      <c r="D99" s="2" t="s">
        <v>19</v>
      </c>
      <c r="E99" s="2">
        <v>10001</v>
      </c>
      <c r="F99" s="2" t="s">
        <v>35</v>
      </c>
      <c r="G99" s="2" t="s">
        <v>36</v>
      </c>
      <c r="H99" s="2">
        <v>1</v>
      </c>
      <c r="I99" s="2" t="s">
        <v>17</v>
      </c>
      <c r="J99" s="2" t="str">
        <f>VLOOKUP(E99,[1]LL_Hub!$A$1:$B$13,2,FALSE)</f>
        <v>New York</v>
      </c>
      <c r="K99" t="str">
        <f>VLOOKUP(D99,'[2]product Table data'!$A$2:$B$12,2,FALSE)</f>
        <v>Male</v>
      </c>
      <c r="L99" t="str">
        <f>VLOOKUP($D99,'[2]product Table data'!$A$2:$G$12,L$1,FALSE)</f>
        <v>Casual n Light</v>
      </c>
      <c r="M99" t="str">
        <f>VLOOKUP($D99,'[2]product Table data'!$A$2:$G$12,M$1,FALSE)</f>
        <v>Kenya</v>
      </c>
      <c r="N99" t="str">
        <f>VLOOKUP($D99,'[2]product Table data'!$A$2:$G$12,N$1,FALSE)</f>
        <v>Africa</v>
      </c>
      <c r="O99">
        <f>VLOOKUP($D99,'[2]product Table data'!$A$2:$G$12,O$1,FALSE)</f>
        <v>15</v>
      </c>
      <c r="P99">
        <f>VLOOKUP($D99,'[2]product Table data'!$A$2:$G$12,P$1,FALSE)</f>
        <v>30</v>
      </c>
      <c r="Q99">
        <f t="shared" si="5"/>
        <v>15</v>
      </c>
      <c r="R99" t="str">
        <f t="shared" si="6"/>
        <v>-</v>
      </c>
      <c r="S99" t="str">
        <f t="shared" si="7"/>
        <v>Style Risk</v>
      </c>
      <c r="T99" t="str">
        <f t="shared" si="8"/>
        <v>-</v>
      </c>
      <c r="U99" t="str">
        <f t="shared" si="9"/>
        <v>High Value</v>
      </c>
    </row>
    <row r="100" spans="1:21" hidden="1" x14ac:dyDescent="0.2">
      <c r="A100" s="2">
        <v>594</v>
      </c>
      <c r="B100" s="2" t="s">
        <v>9</v>
      </c>
      <c r="C100" s="2" t="s">
        <v>151</v>
      </c>
      <c r="D100" s="2" t="s">
        <v>19</v>
      </c>
      <c r="E100" s="2">
        <v>10001</v>
      </c>
      <c r="F100" s="2" t="s">
        <v>35</v>
      </c>
      <c r="G100" s="2" t="s">
        <v>36</v>
      </c>
      <c r="H100" s="2">
        <v>1</v>
      </c>
      <c r="I100" s="2" t="s">
        <v>17</v>
      </c>
      <c r="J100" s="2" t="str">
        <f>VLOOKUP(E100,[1]LL_Hub!$A$1:$B$13,2,FALSE)</f>
        <v>New York</v>
      </c>
      <c r="K100" t="str">
        <f>VLOOKUP(D100,'[2]product Table data'!$A$2:$B$12,2,FALSE)</f>
        <v>Male</v>
      </c>
      <c r="L100" t="str">
        <f>VLOOKUP($D100,'[2]product Table data'!$A$2:$G$12,L$1,FALSE)</f>
        <v>Casual n Light</v>
      </c>
      <c r="M100" t="str">
        <f>VLOOKUP($D100,'[2]product Table data'!$A$2:$G$12,M$1,FALSE)</f>
        <v>Kenya</v>
      </c>
      <c r="N100" t="str">
        <f>VLOOKUP($D100,'[2]product Table data'!$A$2:$G$12,N$1,FALSE)</f>
        <v>Africa</v>
      </c>
      <c r="O100">
        <f>VLOOKUP($D100,'[2]product Table data'!$A$2:$G$12,O$1,FALSE)</f>
        <v>15</v>
      </c>
      <c r="P100">
        <f>VLOOKUP($D100,'[2]product Table data'!$A$2:$G$12,P$1,FALSE)</f>
        <v>30</v>
      </c>
      <c r="Q100">
        <f t="shared" si="5"/>
        <v>15</v>
      </c>
      <c r="R100" t="str">
        <f t="shared" si="6"/>
        <v>-</v>
      </c>
      <c r="S100" t="str">
        <f t="shared" si="7"/>
        <v>Style Risk</v>
      </c>
      <c r="T100" t="str">
        <f t="shared" si="8"/>
        <v>-</v>
      </c>
      <c r="U100" t="str">
        <f t="shared" si="9"/>
        <v>High Value</v>
      </c>
    </row>
    <row r="101" spans="1:21" hidden="1" x14ac:dyDescent="0.2">
      <c r="A101" s="2">
        <v>595</v>
      </c>
      <c r="B101" s="2" t="s">
        <v>9</v>
      </c>
      <c r="C101" s="2" t="s">
        <v>152</v>
      </c>
      <c r="D101" s="2" t="s">
        <v>22</v>
      </c>
      <c r="E101" s="2">
        <v>10001</v>
      </c>
      <c r="F101" s="2" t="s">
        <v>35</v>
      </c>
      <c r="G101" s="2" t="s">
        <v>36</v>
      </c>
      <c r="H101" s="2">
        <v>1</v>
      </c>
      <c r="I101" s="2" t="s">
        <v>17</v>
      </c>
      <c r="J101" s="2" t="str">
        <f>VLOOKUP(E101,[1]LL_Hub!$A$1:$B$13,2,FALSE)</f>
        <v>New York</v>
      </c>
      <c r="K101" t="str">
        <f>VLOOKUP(D101,'[2]product Table data'!$A$2:$B$12,2,FALSE)</f>
        <v>Male</v>
      </c>
      <c r="L101" t="str">
        <f>VLOOKUP($D101,'[2]product Table data'!$A$2:$G$12,L$1,FALSE)</f>
        <v>Fancy Sheek</v>
      </c>
      <c r="M101" t="str">
        <f>VLOOKUP($D101,'[2]product Table data'!$A$2:$G$12,M$1,FALSE)</f>
        <v>Afghanistan</v>
      </c>
      <c r="N101" t="str">
        <f>VLOOKUP($D101,'[2]product Table data'!$A$2:$G$12,N$1,FALSE)</f>
        <v>Middle East</v>
      </c>
      <c r="O101">
        <f>VLOOKUP($D101,'[2]product Table data'!$A$2:$G$12,O$1,FALSE)</f>
        <v>450</v>
      </c>
      <c r="P101">
        <f>VLOOKUP($D101,'[2]product Table data'!$A$2:$G$12,P$1,FALSE)</f>
        <v>550</v>
      </c>
      <c r="Q101">
        <f t="shared" si="5"/>
        <v>100</v>
      </c>
      <c r="R101" t="str">
        <f t="shared" si="6"/>
        <v>-</v>
      </c>
      <c r="S101" t="str">
        <f t="shared" si="7"/>
        <v>Style Risk</v>
      </c>
      <c r="T101" t="str">
        <f t="shared" si="8"/>
        <v>-</v>
      </c>
      <c r="U101" t="str">
        <f t="shared" si="9"/>
        <v>High Value</v>
      </c>
    </row>
    <row r="102" spans="1:21" hidden="1" x14ac:dyDescent="0.2">
      <c r="A102" s="2">
        <v>597</v>
      </c>
      <c r="B102" s="2" t="s">
        <v>9</v>
      </c>
      <c r="C102" s="2" t="s">
        <v>153</v>
      </c>
      <c r="D102" s="2" t="s">
        <v>19</v>
      </c>
      <c r="E102" s="2">
        <v>10001</v>
      </c>
      <c r="F102" s="2" t="s">
        <v>35</v>
      </c>
      <c r="G102" s="2" t="s">
        <v>36</v>
      </c>
      <c r="H102" s="2">
        <v>1</v>
      </c>
      <c r="I102" s="2" t="s">
        <v>17</v>
      </c>
      <c r="J102" s="2" t="str">
        <f>VLOOKUP(E102,[1]LL_Hub!$A$1:$B$13,2,FALSE)</f>
        <v>New York</v>
      </c>
      <c r="K102" t="str">
        <f>VLOOKUP(D102,'[2]product Table data'!$A$2:$B$12,2,FALSE)</f>
        <v>Male</v>
      </c>
      <c r="L102" t="str">
        <f>VLOOKUP($D102,'[2]product Table data'!$A$2:$G$12,L$1,FALSE)</f>
        <v>Casual n Light</v>
      </c>
      <c r="M102" t="str">
        <f>VLOOKUP($D102,'[2]product Table data'!$A$2:$G$12,M$1,FALSE)</f>
        <v>Kenya</v>
      </c>
      <c r="N102" t="str">
        <f>VLOOKUP($D102,'[2]product Table data'!$A$2:$G$12,N$1,FALSE)</f>
        <v>Africa</v>
      </c>
      <c r="O102">
        <f>VLOOKUP($D102,'[2]product Table data'!$A$2:$G$12,O$1,FALSE)</f>
        <v>15</v>
      </c>
      <c r="P102">
        <f>VLOOKUP($D102,'[2]product Table data'!$A$2:$G$12,P$1,FALSE)</f>
        <v>30</v>
      </c>
      <c r="Q102">
        <f t="shared" si="5"/>
        <v>15</v>
      </c>
      <c r="R102" t="str">
        <f t="shared" si="6"/>
        <v>-</v>
      </c>
      <c r="S102" t="str">
        <f t="shared" si="7"/>
        <v>Style Risk</v>
      </c>
      <c r="T102" t="str">
        <f t="shared" si="8"/>
        <v>-</v>
      </c>
      <c r="U102" t="str">
        <f t="shared" si="9"/>
        <v>High Value</v>
      </c>
    </row>
    <row r="103" spans="1:21" hidden="1" x14ac:dyDescent="0.2">
      <c r="A103" s="2">
        <v>600</v>
      </c>
      <c r="B103" s="2" t="s">
        <v>9</v>
      </c>
      <c r="C103" s="2" t="s">
        <v>154</v>
      </c>
      <c r="D103" s="2" t="s">
        <v>19</v>
      </c>
      <c r="E103" s="2">
        <v>10001</v>
      </c>
      <c r="F103" s="2" t="s">
        <v>35</v>
      </c>
      <c r="G103" s="2" t="s">
        <v>36</v>
      </c>
      <c r="H103" s="2">
        <v>1</v>
      </c>
      <c r="I103" s="2" t="s">
        <v>17</v>
      </c>
      <c r="J103" s="2" t="str">
        <f>VLOOKUP(E103,[1]LL_Hub!$A$1:$B$13,2,FALSE)</f>
        <v>New York</v>
      </c>
      <c r="K103" t="str">
        <f>VLOOKUP(D103,'[2]product Table data'!$A$2:$B$12,2,FALSE)</f>
        <v>Male</v>
      </c>
      <c r="L103" t="str">
        <f>VLOOKUP($D103,'[2]product Table data'!$A$2:$G$12,L$1,FALSE)</f>
        <v>Casual n Light</v>
      </c>
      <c r="M103" t="str">
        <f>VLOOKUP($D103,'[2]product Table data'!$A$2:$G$12,M$1,FALSE)</f>
        <v>Kenya</v>
      </c>
      <c r="N103" t="str">
        <f>VLOOKUP($D103,'[2]product Table data'!$A$2:$G$12,N$1,FALSE)</f>
        <v>Africa</v>
      </c>
      <c r="O103">
        <f>VLOOKUP($D103,'[2]product Table data'!$A$2:$G$12,O$1,FALSE)</f>
        <v>15</v>
      </c>
      <c r="P103">
        <f>VLOOKUP($D103,'[2]product Table data'!$A$2:$G$12,P$1,FALSE)</f>
        <v>30</v>
      </c>
      <c r="Q103">
        <f t="shared" si="5"/>
        <v>15</v>
      </c>
      <c r="R103" t="str">
        <f t="shared" si="6"/>
        <v>-</v>
      </c>
      <c r="S103" t="str">
        <f t="shared" si="7"/>
        <v>Style Risk</v>
      </c>
      <c r="T103" t="str">
        <f t="shared" si="8"/>
        <v>-</v>
      </c>
      <c r="U103" t="str">
        <f t="shared" si="9"/>
        <v>High Value</v>
      </c>
    </row>
    <row r="104" spans="1:21" hidden="1" x14ac:dyDescent="0.2">
      <c r="A104" s="2">
        <v>602</v>
      </c>
      <c r="B104" s="2" t="s">
        <v>9</v>
      </c>
      <c r="C104" s="2" t="s">
        <v>155</v>
      </c>
      <c r="D104" s="2" t="s">
        <v>22</v>
      </c>
      <c r="E104" s="2">
        <v>10001</v>
      </c>
      <c r="F104" s="2" t="s">
        <v>35</v>
      </c>
      <c r="G104" s="2" t="s">
        <v>36</v>
      </c>
      <c r="H104" s="2">
        <v>1</v>
      </c>
      <c r="I104" s="2" t="s">
        <v>17</v>
      </c>
      <c r="J104" s="2" t="str">
        <f>VLOOKUP(E104,[1]LL_Hub!$A$1:$B$13,2,FALSE)</f>
        <v>New York</v>
      </c>
      <c r="K104" t="str">
        <f>VLOOKUP(D104,'[2]product Table data'!$A$2:$B$12,2,FALSE)</f>
        <v>Male</v>
      </c>
      <c r="L104" t="str">
        <f>VLOOKUP($D104,'[2]product Table data'!$A$2:$G$12,L$1,FALSE)</f>
        <v>Fancy Sheek</v>
      </c>
      <c r="M104" t="str">
        <f>VLOOKUP($D104,'[2]product Table data'!$A$2:$G$12,M$1,FALSE)</f>
        <v>Afghanistan</v>
      </c>
      <c r="N104" t="str">
        <f>VLOOKUP($D104,'[2]product Table data'!$A$2:$G$12,N$1,FALSE)</f>
        <v>Middle East</v>
      </c>
      <c r="O104">
        <f>VLOOKUP($D104,'[2]product Table data'!$A$2:$G$12,O$1,FALSE)</f>
        <v>450</v>
      </c>
      <c r="P104">
        <f>VLOOKUP($D104,'[2]product Table data'!$A$2:$G$12,P$1,FALSE)</f>
        <v>550</v>
      </c>
      <c r="Q104">
        <f t="shared" si="5"/>
        <v>100</v>
      </c>
      <c r="R104" t="str">
        <f t="shared" si="6"/>
        <v>-</v>
      </c>
      <c r="S104" t="str">
        <f t="shared" si="7"/>
        <v>Style Risk</v>
      </c>
      <c r="T104" t="str">
        <f t="shared" si="8"/>
        <v>-</v>
      </c>
      <c r="U104" t="str">
        <f t="shared" si="9"/>
        <v>High Value</v>
      </c>
    </row>
    <row r="105" spans="1:21" hidden="1" x14ac:dyDescent="0.2">
      <c r="A105" s="2">
        <v>606</v>
      </c>
      <c r="B105" s="2" t="s">
        <v>9</v>
      </c>
      <c r="C105" s="2" t="s">
        <v>156</v>
      </c>
      <c r="D105" s="2" t="s">
        <v>41</v>
      </c>
      <c r="E105" s="2">
        <v>10001</v>
      </c>
      <c r="F105" s="2" t="s">
        <v>42</v>
      </c>
      <c r="G105" s="2" t="s">
        <v>36</v>
      </c>
      <c r="H105" s="2">
        <v>1</v>
      </c>
      <c r="I105" s="2" t="s">
        <v>39</v>
      </c>
      <c r="J105" s="2" t="str">
        <f>VLOOKUP(E105,[1]LL_Hub!$A$1:$B$13,2,FALSE)</f>
        <v>New York</v>
      </c>
      <c r="K105" t="str">
        <f>VLOOKUP(D105,'[2]product Table data'!$A$2:$B$12,2,FALSE)</f>
        <v>Male</v>
      </c>
      <c r="L105" t="str">
        <f>VLOOKUP($D105,'[2]product Table data'!$A$2:$G$12,L$1,FALSE)</f>
        <v>Winter Warmth</v>
      </c>
      <c r="M105" t="str">
        <f>VLOOKUP($D105,'[2]product Table data'!$A$2:$G$12,M$1,FALSE)</f>
        <v>Moldova</v>
      </c>
      <c r="N105" t="str">
        <f>VLOOKUP($D105,'[2]product Table data'!$A$2:$G$12,N$1,FALSE)</f>
        <v>Eastern Europe</v>
      </c>
      <c r="O105">
        <f>VLOOKUP($D105,'[2]product Table data'!$A$2:$G$12,O$1,FALSE)</f>
        <v>475</v>
      </c>
      <c r="P105">
        <f>VLOOKUP($D105,'[2]product Table data'!$A$2:$G$12,P$1,FALSE)</f>
        <v>600</v>
      </c>
      <c r="Q105">
        <f t="shared" si="5"/>
        <v>125</v>
      </c>
      <c r="R105" t="str">
        <f t="shared" si="6"/>
        <v>-</v>
      </c>
      <c r="S105" t="str">
        <f t="shared" si="7"/>
        <v>-</v>
      </c>
      <c r="T105" t="str">
        <f t="shared" si="8"/>
        <v>-</v>
      </c>
      <c r="U105" t="str">
        <f t="shared" si="9"/>
        <v>High Value</v>
      </c>
    </row>
    <row r="106" spans="1:21" hidden="1" x14ac:dyDescent="0.2">
      <c r="A106" s="2">
        <v>607</v>
      </c>
      <c r="B106" s="2" t="s">
        <v>9</v>
      </c>
      <c r="C106" s="2" t="s">
        <v>157</v>
      </c>
      <c r="D106" s="2" t="s">
        <v>41</v>
      </c>
      <c r="E106" s="2">
        <v>10001</v>
      </c>
      <c r="F106" s="2" t="s">
        <v>42</v>
      </c>
      <c r="G106" s="2" t="s">
        <v>36</v>
      </c>
      <c r="H106" s="2">
        <v>1</v>
      </c>
      <c r="I106" s="2" t="s">
        <v>39</v>
      </c>
      <c r="J106" s="2" t="str">
        <f>VLOOKUP(E106,[1]LL_Hub!$A$1:$B$13,2,FALSE)</f>
        <v>New York</v>
      </c>
      <c r="K106" t="str">
        <f>VLOOKUP(D106,'[2]product Table data'!$A$2:$B$12,2,FALSE)</f>
        <v>Male</v>
      </c>
      <c r="L106" t="str">
        <f>VLOOKUP($D106,'[2]product Table data'!$A$2:$G$12,L$1,FALSE)</f>
        <v>Winter Warmth</v>
      </c>
      <c r="M106" t="str">
        <f>VLOOKUP($D106,'[2]product Table data'!$A$2:$G$12,M$1,FALSE)</f>
        <v>Moldova</v>
      </c>
      <c r="N106" t="str">
        <f>VLOOKUP($D106,'[2]product Table data'!$A$2:$G$12,N$1,FALSE)</f>
        <v>Eastern Europe</v>
      </c>
      <c r="O106">
        <f>VLOOKUP($D106,'[2]product Table data'!$A$2:$G$12,O$1,FALSE)</f>
        <v>475</v>
      </c>
      <c r="P106">
        <f>VLOOKUP($D106,'[2]product Table data'!$A$2:$G$12,P$1,FALSE)</f>
        <v>600</v>
      </c>
      <c r="Q106">
        <f t="shared" si="5"/>
        <v>125</v>
      </c>
      <c r="R106" t="str">
        <f t="shared" si="6"/>
        <v>-</v>
      </c>
      <c r="S106" t="str">
        <f t="shared" si="7"/>
        <v>-</v>
      </c>
      <c r="T106" t="str">
        <f t="shared" si="8"/>
        <v>-</v>
      </c>
      <c r="U106" t="str">
        <f t="shared" si="9"/>
        <v>High Value</v>
      </c>
    </row>
    <row r="107" spans="1:21" hidden="1" x14ac:dyDescent="0.2">
      <c r="A107" s="2">
        <v>608</v>
      </c>
      <c r="B107" s="2" t="s">
        <v>9</v>
      </c>
      <c r="C107" s="2" t="s">
        <v>158</v>
      </c>
      <c r="D107" s="2" t="s">
        <v>41</v>
      </c>
      <c r="E107" s="2">
        <v>10001</v>
      </c>
      <c r="F107" s="2" t="s">
        <v>42</v>
      </c>
      <c r="G107" s="2" t="s">
        <v>36</v>
      </c>
      <c r="H107" s="2">
        <v>1</v>
      </c>
      <c r="I107" s="2" t="s">
        <v>39</v>
      </c>
      <c r="J107" s="2" t="str">
        <f>VLOOKUP(E107,[1]LL_Hub!$A$1:$B$13,2,FALSE)</f>
        <v>New York</v>
      </c>
      <c r="K107" t="str">
        <f>VLOOKUP(D107,'[2]product Table data'!$A$2:$B$12,2,FALSE)</f>
        <v>Male</v>
      </c>
      <c r="L107" t="str">
        <f>VLOOKUP($D107,'[2]product Table data'!$A$2:$G$12,L$1,FALSE)</f>
        <v>Winter Warmth</v>
      </c>
      <c r="M107" t="str">
        <f>VLOOKUP($D107,'[2]product Table data'!$A$2:$G$12,M$1,FALSE)</f>
        <v>Moldova</v>
      </c>
      <c r="N107" t="str">
        <f>VLOOKUP($D107,'[2]product Table data'!$A$2:$G$12,N$1,FALSE)</f>
        <v>Eastern Europe</v>
      </c>
      <c r="O107">
        <f>VLOOKUP($D107,'[2]product Table data'!$A$2:$G$12,O$1,FALSE)</f>
        <v>475</v>
      </c>
      <c r="P107">
        <f>VLOOKUP($D107,'[2]product Table data'!$A$2:$G$12,P$1,FALSE)</f>
        <v>600</v>
      </c>
      <c r="Q107">
        <f t="shared" si="5"/>
        <v>125</v>
      </c>
      <c r="R107" t="str">
        <f t="shared" si="6"/>
        <v>-</v>
      </c>
      <c r="S107" t="str">
        <f t="shared" si="7"/>
        <v>-</v>
      </c>
      <c r="T107" t="str">
        <f t="shared" si="8"/>
        <v>-</v>
      </c>
      <c r="U107" t="str">
        <f t="shared" si="9"/>
        <v>High Value</v>
      </c>
    </row>
    <row r="108" spans="1:21" hidden="1" x14ac:dyDescent="0.2">
      <c r="A108" s="2">
        <v>609</v>
      </c>
      <c r="B108" s="2" t="s">
        <v>9</v>
      </c>
      <c r="C108" s="2" t="s">
        <v>159</v>
      </c>
      <c r="D108" s="2" t="s">
        <v>41</v>
      </c>
      <c r="E108" s="2">
        <v>10001</v>
      </c>
      <c r="F108" s="2" t="s">
        <v>42</v>
      </c>
      <c r="G108" s="2" t="s">
        <v>36</v>
      </c>
      <c r="H108" s="2">
        <v>1</v>
      </c>
      <c r="I108" s="2" t="s">
        <v>39</v>
      </c>
      <c r="J108" s="2" t="str">
        <f>VLOOKUP(E108,[1]LL_Hub!$A$1:$B$13,2,FALSE)</f>
        <v>New York</v>
      </c>
      <c r="K108" t="str">
        <f>VLOOKUP(D108,'[2]product Table data'!$A$2:$B$12,2,FALSE)</f>
        <v>Male</v>
      </c>
      <c r="L108" t="str">
        <f>VLOOKUP($D108,'[2]product Table data'!$A$2:$G$12,L$1,FALSE)</f>
        <v>Winter Warmth</v>
      </c>
      <c r="M108" t="str">
        <f>VLOOKUP($D108,'[2]product Table data'!$A$2:$G$12,M$1,FALSE)</f>
        <v>Moldova</v>
      </c>
      <c r="N108" t="str">
        <f>VLOOKUP($D108,'[2]product Table data'!$A$2:$G$12,N$1,FALSE)</f>
        <v>Eastern Europe</v>
      </c>
      <c r="O108">
        <f>VLOOKUP($D108,'[2]product Table data'!$A$2:$G$12,O$1,FALSE)</f>
        <v>475</v>
      </c>
      <c r="P108">
        <f>VLOOKUP($D108,'[2]product Table data'!$A$2:$G$12,P$1,FALSE)</f>
        <v>600</v>
      </c>
      <c r="Q108">
        <f t="shared" si="5"/>
        <v>125</v>
      </c>
      <c r="R108" t="str">
        <f t="shared" si="6"/>
        <v>-</v>
      </c>
      <c r="S108" t="str">
        <f t="shared" si="7"/>
        <v>-</v>
      </c>
      <c r="T108" t="str">
        <f t="shared" si="8"/>
        <v>-</v>
      </c>
      <c r="U108" t="str">
        <f t="shared" si="9"/>
        <v>High Value</v>
      </c>
    </row>
    <row r="109" spans="1:21" hidden="1" x14ac:dyDescent="0.2">
      <c r="A109" s="2">
        <v>611</v>
      </c>
      <c r="B109" s="2" t="s">
        <v>9</v>
      </c>
      <c r="C109" s="2" t="s">
        <v>160</v>
      </c>
      <c r="D109" s="2" t="s">
        <v>19</v>
      </c>
      <c r="E109" s="2">
        <v>10001</v>
      </c>
      <c r="F109" s="2" t="s">
        <v>35</v>
      </c>
      <c r="G109" s="2" t="s">
        <v>36</v>
      </c>
      <c r="H109" s="2">
        <v>1</v>
      </c>
      <c r="I109" s="2" t="s">
        <v>17</v>
      </c>
      <c r="J109" s="2" t="str">
        <f>VLOOKUP(E109,[1]LL_Hub!$A$1:$B$13,2,FALSE)</f>
        <v>New York</v>
      </c>
      <c r="K109" t="str">
        <f>VLOOKUP(D109,'[2]product Table data'!$A$2:$B$12,2,FALSE)</f>
        <v>Male</v>
      </c>
      <c r="L109" t="str">
        <f>VLOOKUP($D109,'[2]product Table data'!$A$2:$G$12,L$1,FALSE)</f>
        <v>Casual n Light</v>
      </c>
      <c r="M109" t="str">
        <f>VLOOKUP($D109,'[2]product Table data'!$A$2:$G$12,M$1,FALSE)</f>
        <v>Kenya</v>
      </c>
      <c r="N109" t="str">
        <f>VLOOKUP($D109,'[2]product Table data'!$A$2:$G$12,N$1,FALSE)</f>
        <v>Africa</v>
      </c>
      <c r="O109">
        <f>VLOOKUP($D109,'[2]product Table data'!$A$2:$G$12,O$1,FALSE)</f>
        <v>15</v>
      </c>
      <c r="P109">
        <f>VLOOKUP($D109,'[2]product Table data'!$A$2:$G$12,P$1,FALSE)</f>
        <v>30</v>
      </c>
      <c r="Q109">
        <f t="shared" si="5"/>
        <v>15</v>
      </c>
      <c r="R109" t="str">
        <f t="shared" si="6"/>
        <v>-</v>
      </c>
      <c r="S109" t="str">
        <f t="shared" si="7"/>
        <v>Style Risk</v>
      </c>
      <c r="T109" t="str">
        <f t="shared" si="8"/>
        <v>-</v>
      </c>
      <c r="U109" t="str">
        <f t="shared" si="9"/>
        <v>High Value</v>
      </c>
    </row>
    <row r="110" spans="1:21" hidden="1" x14ac:dyDescent="0.2">
      <c r="A110" s="2">
        <v>646</v>
      </c>
      <c r="B110" s="2" t="s">
        <v>9</v>
      </c>
      <c r="C110" s="2" t="s">
        <v>161</v>
      </c>
      <c r="D110" s="2" t="s">
        <v>22</v>
      </c>
      <c r="E110" s="2">
        <v>10022</v>
      </c>
      <c r="F110" s="2" t="s">
        <v>35</v>
      </c>
      <c r="G110" s="2" t="s">
        <v>36</v>
      </c>
      <c r="H110" s="2">
        <v>1</v>
      </c>
      <c r="I110" s="2" t="s">
        <v>17</v>
      </c>
      <c r="J110" s="2" t="str">
        <f>VLOOKUP(E110,[1]LL_Hub!$A$1:$B$13,2,FALSE)</f>
        <v>New York</v>
      </c>
      <c r="K110" t="str">
        <f>VLOOKUP(D110,'[2]product Table data'!$A$2:$B$12,2,FALSE)</f>
        <v>Male</v>
      </c>
      <c r="L110" t="str">
        <f>VLOOKUP($D110,'[2]product Table data'!$A$2:$G$12,L$1,FALSE)</f>
        <v>Fancy Sheek</v>
      </c>
      <c r="M110" t="str">
        <f>VLOOKUP($D110,'[2]product Table data'!$A$2:$G$12,M$1,FALSE)</f>
        <v>Afghanistan</v>
      </c>
      <c r="N110" t="str">
        <f>VLOOKUP($D110,'[2]product Table data'!$A$2:$G$12,N$1,FALSE)</f>
        <v>Middle East</v>
      </c>
      <c r="O110">
        <f>VLOOKUP($D110,'[2]product Table data'!$A$2:$G$12,O$1,FALSE)</f>
        <v>450</v>
      </c>
      <c r="P110">
        <f>VLOOKUP($D110,'[2]product Table data'!$A$2:$G$12,P$1,FALSE)</f>
        <v>550</v>
      </c>
      <c r="Q110">
        <f t="shared" si="5"/>
        <v>100</v>
      </c>
      <c r="R110" t="str">
        <f t="shared" si="6"/>
        <v>-</v>
      </c>
      <c r="S110" t="str">
        <f t="shared" si="7"/>
        <v>Style Risk</v>
      </c>
      <c r="T110" t="str">
        <f t="shared" si="8"/>
        <v>-</v>
      </c>
      <c r="U110" t="str">
        <f t="shared" si="9"/>
        <v>High Value</v>
      </c>
    </row>
    <row r="111" spans="1:21" hidden="1" x14ac:dyDescent="0.2">
      <c r="A111" s="2">
        <v>647</v>
      </c>
      <c r="B111" s="2" t="s">
        <v>9</v>
      </c>
      <c r="C111" s="2" t="s">
        <v>162</v>
      </c>
      <c r="D111" s="2" t="s">
        <v>19</v>
      </c>
      <c r="E111" s="2">
        <v>10022</v>
      </c>
      <c r="F111" s="2" t="s">
        <v>35</v>
      </c>
      <c r="G111" s="2" t="s">
        <v>36</v>
      </c>
      <c r="H111" s="2">
        <v>1</v>
      </c>
      <c r="I111" s="2" t="s">
        <v>17</v>
      </c>
      <c r="J111" s="2" t="str">
        <f>VLOOKUP(E111,[1]LL_Hub!$A$1:$B$13,2,FALSE)</f>
        <v>New York</v>
      </c>
      <c r="K111" t="str">
        <f>VLOOKUP(D111,'[2]product Table data'!$A$2:$B$12,2,FALSE)</f>
        <v>Male</v>
      </c>
      <c r="L111" t="str">
        <f>VLOOKUP($D111,'[2]product Table data'!$A$2:$G$12,L$1,FALSE)</f>
        <v>Casual n Light</v>
      </c>
      <c r="M111" t="str">
        <f>VLOOKUP($D111,'[2]product Table data'!$A$2:$G$12,M$1,FALSE)</f>
        <v>Kenya</v>
      </c>
      <c r="N111" t="str">
        <f>VLOOKUP($D111,'[2]product Table data'!$A$2:$G$12,N$1,FALSE)</f>
        <v>Africa</v>
      </c>
      <c r="O111">
        <f>VLOOKUP($D111,'[2]product Table data'!$A$2:$G$12,O$1,FALSE)</f>
        <v>15</v>
      </c>
      <c r="P111">
        <f>VLOOKUP($D111,'[2]product Table data'!$A$2:$G$12,P$1,FALSE)</f>
        <v>30</v>
      </c>
      <c r="Q111">
        <f t="shared" si="5"/>
        <v>15</v>
      </c>
      <c r="R111" t="str">
        <f t="shared" si="6"/>
        <v>-</v>
      </c>
      <c r="S111" t="str">
        <f t="shared" si="7"/>
        <v>Style Risk</v>
      </c>
      <c r="T111" t="str">
        <f t="shared" si="8"/>
        <v>-</v>
      </c>
      <c r="U111" t="str">
        <f t="shared" si="9"/>
        <v>High Value</v>
      </c>
    </row>
    <row r="112" spans="1:21" hidden="1" x14ac:dyDescent="0.2">
      <c r="A112" s="2">
        <v>648</v>
      </c>
      <c r="B112" s="2" t="s">
        <v>9</v>
      </c>
      <c r="C112" s="2" t="s">
        <v>163</v>
      </c>
      <c r="D112" s="2" t="s">
        <v>19</v>
      </c>
      <c r="E112" s="2">
        <v>10022</v>
      </c>
      <c r="F112" s="2" t="s">
        <v>35</v>
      </c>
      <c r="G112" s="2" t="s">
        <v>36</v>
      </c>
      <c r="H112" s="2">
        <v>1</v>
      </c>
      <c r="I112" s="2" t="s">
        <v>17</v>
      </c>
      <c r="J112" s="2" t="str">
        <f>VLOOKUP(E112,[1]LL_Hub!$A$1:$B$13,2,FALSE)</f>
        <v>New York</v>
      </c>
      <c r="K112" t="str">
        <f>VLOOKUP(D112,'[2]product Table data'!$A$2:$B$12,2,FALSE)</f>
        <v>Male</v>
      </c>
      <c r="L112" t="str">
        <f>VLOOKUP($D112,'[2]product Table data'!$A$2:$G$12,L$1,FALSE)</f>
        <v>Casual n Light</v>
      </c>
      <c r="M112" t="str">
        <f>VLOOKUP($D112,'[2]product Table data'!$A$2:$G$12,M$1,FALSE)</f>
        <v>Kenya</v>
      </c>
      <c r="N112" t="str">
        <f>VLOOKUP($D112,'[2]product Table data'!$A$2:$G$12,N$1,FALSE)</f>
        <v>Africa</v>
      </c>
      <c r="O112">
        <f>VLOOKUP($D112,'[2]product Table data'!$A$2:$G$12,O$1,FALSE)</f>
        <v>15</v>
      </c>
      <c r="P112">
        <f>VLOOKUP($D112,'[2]product Table data'!$A$2:$G$12,P$1,FALSE)</f>
        <v>30</v>
      </c>
      <c r="Q112">
        <f t="shared" si="5"/>
        <v>15</v>
      </c>
      <c r="R112" t="str">
        <f t="shared" si="6"/>
        <v>-</v>
      </c>
      <c r="S112" t="str">
        <f t="shared" si="7"/>
        <v>Style Risk</v>
      </c>
      <c r="T112" t="str">
        <f t="shared" si="8"/>
        <v>-</v>
      </c>
      <c r="U112" t="str">
        <f t="shared" si="9"/>
        <v>High Value</v>
      </c>
    </row>
    <row r="113" spans="1:21" hidden="1" x14ac:dyDescent="0.2">
      <c r="A113" s="2">
        <v>649</v>
      </c>
      <c r="B113" s="2" t="s">
        <v>9</v>
      </c>
      <c r="C113" s="2" t="s">
        <v>164</v>
      </c>
      <c r="D113" s="2" t="s">
        <v>19</v>
      </c>
      <c r="E113" s="2">
        <v>10022</v>
      </c>
      <c r="F113" s="2" t="s">
        <v>35</v>
      </c>
      <c r="G113" s="2" t="s">
        <v>36</v>
      </c>
      <c r="H113" s="2">
        <v>1</v>
      </c>
      <c r="I113" s="2" t="s">
        <v>17</v>
      </c>
      <c r="J113" s="2" t="str">
        <f>VLOOKUP(E113,[1]LL_Hub!$A$1:$B$13,2,FALSE)</f>
        <v>New York</v>
      </c>
      <c r="K113" t="str">
        <f>VLOOKUP(D113,'[2]product Table data'!$A$2:$B$12,2,FALSE)</f>
        <v>Male</v>
      </c>
      <c r="L113" t="str">
        <f>VLOOKUP($D113,'[2]product Table data'!$A$2:$G$12,L$1,FALSE)</f>
        <v>Casual n Light</v>
      </c>
      <c r="M113" t="str">
        <f>VLOOKUP($D113,'[2]product Table data'!$A$2:$G$12,M$1,FALSE)</f>
        <v>Kenya</v>
      </c>
      <c r="N113" t="str">
        <f>VLOOKUP($D113,'[2]product Table data'!$A$2:$G$12,N$1,FALSE)</f>
        <v>Africa</v>
      </c>
      <c r="O113">
        <f>VLOOKUP($D113,'[2]product Table data'!$A$2:$G$12,O$1,FALSE)</f>
        <v>15</v>
      </c>
      <c r="P113">
        <f>VLOOKUP($D113,'[2]product Table data'!$A$2:$G$12,P$1,FALSE)</f>
        <v>30</v>
      </c>
      <c r="Q113">
        <f t="shared" si="5"/>
        <v>15</v>
      </c>
      <c r="R113" t="str">
        <f t="shared" si="6"/>
        <v>-</v>
      </c>
      <c r="S113" t="str">
        <f t="shared" si="7"/>
        <v>Style Risk</v>
      </c>
      <c r="T113" t="str">
        <f t="shared" si="8"/>
        <v>-</v>
      </c>
      <c r="U113" t="str">
        <f t="shared" si="9"/>
        <v>High Value</v>
      </c>
    </row>
    <row r="114" spans="1:21" hidden="1" x14ac:dyDescent="0.2">
      <c r="A114" s="2">
        <v>655</v>
      </c>
      <c r="B114" s="2" t="s">
        <v>9</v>
      </c>
      <c r="C114" s="2" t="s">
        <v>165</v>
      </c>
      <c r="D114" s="2" t="s">
        <v>41</v>
      </c>
      <c r="E114" s="2">
        <v>10022</v>
      </c>
      <c r="F114" s="2" t="s">
        <v>42</v>
      </c>
      <c r="G114" s="2" t="s">
        <v>36</v>
      </c>
      <c r="H114" s="2">
        <v>1</v>
      </c>
      <c r="I114" s="2" t="s">
        <v>39</v>
      </c>
      <c r="J114" s="2" t="str">
        <f>VLOOKUP(E114,[1]LL_Hub!$A$1:$B$13,2,FALSE)</f>
        <v>New York</v>
      </c>
      <c r="K114" t="str">
        <f>VLOOKUP(D114,'[2]product Table data'!$A$2:$B$12,2,FALSE)</f>
        <v>Male</v>
      </c>
      <c r="L114" t="str">
        <f>VLOOKUP($D114,'[2]product Table data'!$A$2:$G$12,L$1,FALSE)</f>
        <v>Winter Warmth</v>
      </c>
      <c r="M114" t="str">
        <f>VLOOKUP($D114,'[2]product Table data'!$A$2:$G$12,M$1,FALSE)</f>
        <v>Moldova</v>
      </c>
      <c r="N114" t="str">
        <f>VLOOKUP($D114,'[2]product Table data'!$A$2:$G$12,N$1,FALSE)</f>
        <v>Eastern Europe</v>
      </c>
      <c r="O114">
        <f>VLOOKUP($D114,'[2]product Table data'!$A$2:$G$12,O$1,FALSE)</f>
        <v>475</v>
      </c>
      <c r="P114">
        <f>VLOOKUP($D114,'[2]product Table data'!$A$2:$G$12,P$1,FALSE)</f>
        <v>600</v>
      </c>
      <c r="Q114">
        <f t="shared" si="5"/>
        <v>125</v>
      </c>
      <c r="R114" t="str">
        <f t="shared" si="6"/>
        <v>-</v>
      </c>
      <c r="S114" t="str">
        <f t="shared" si="7"/>
        <v>-</v>
      </c>
      <c r="T114" t="str">
        <f t="shared" si="8"/>
        <v>-</v>
      </c>
      <c r="U114" t="str">
        <f t="shared" si="9"/>
        <v>High Value</v>
      </c>
    </row>
    <row r="115" spans="1:21" hidden="1" x14ac:dyDescent="0.2">
      <c r="A115" s="2">
        <v>656</v>
      </c>
      <c r="B115" s="2" t="s">
        <v>9</v>
      </c>
      <c r="C115" s="2" t="s">
        <v>166</v>
      </c>
      <c r="D115" s="2" t="s">
        <v>41</v>
      </c>
      <c r="E115" s="2">
        <v>10022</v>
      </c>
      <c r="F115" s="2" t="s">
        <v>42</v>
      </c>
      <c r="G115" s="2" t="s">
        <v>36</v>
      </c>
      <c r="H115" s="2">
        <v>1</v>
      </c>
      <c r="I115" s="2" t="s">
        <v>39</v>
      </c>
      <c r="J115" s="2" t="str">
        <f>VLOOKUP(E115,[1]LL_Hub!$A$1:$B$13,2,FALSE)</f>
        <v>New York</v>
      </c>
      <c r="K115" t="str">
        <f>VLOOKUP(D115,'[2]product Table data'!$A$2:$B$12,2,FALSE)</f>
        <v>Male</v>
      </c>
      <c r="L115" t="str">
        <f>VLOOKUP($D115,'[2]product Table data'!$A$2:$G$12,L$1,FALSE)</f>
        <v>Winter Warmth</v>
      </c>
      <c r="M115" t="str">
        <f>VLOOKUP($D115,'[2]product Table data'!$A$2:$G$12,M$1,FALSE)</f>
        <v>Moldova</v>
      </c>
      <c r="N115" t="str">
        <f>VLOOKUP($D115,'[2]product Table data'!$A$2:$G$12,N$1,FALSE)</f>
        <v>Eastern Europe</v>
      </c>
      <c r="O115">
        <f>VLOOKUP($D115,'[2]product Table data'!$A$2:$G$12,O$1,FALSE)</f>
        <v>475</v>
      </c>
      <c r="P115">
        <f>VLOOKUP($D115,'[2]product Table data'!$A$2:$G$12,P$1,FALSE)</f>
        <v>600</v>
      </c>
      <c r="Q115">
        <f t="shared" si="5"/>
        <v>125</v>
      </c>
      <c r="R115" t="str">
        <f t="shared" si="6"/>
        <v>-</v>
      </c>
      <c r="S115" t="str">
        <f t="shared" si="7"/>
        <v>-</v>
      </c>
      <c r="T115" t="str">
        <f t="shared" si="8"/>
        <v>-</v>
      </c>
      <c r="U115" t="str">
        <f t="shared" si="9"/>
        <v>High Value</v>
      </c>
    </row>
    <row r="116" spans="1:21" hidden="1" x14ac:dyDescent="0.2">
      <c r="A116" s="2">
        <v>657</v>
      </c>
      <c r="B116" s="2" t="s">
        <v>9</v>
      </c>
      <c r="C116" s="2" t="s">
        <v>167</v>
      </c>
      <c r="D116" s="2" t="s">
        <v>41</v>
      </c>
      <c r="E116" s="2">
        <v>10022</v>
      </c>
      <c r="F116" s="2" t="s">
        <v>42</v>
      </c>
      <c r="G116" s="2" t="s">
        <v>36</v>
      </c>
      <c r="H116" s="2">
        <v>1</v>
      </c>
      <c r="I116" s="2" t="s">
        <v>39</v>
      </c>
      <c r="J116" s="2" t="str">
        <f>VLOOKUP(E116,[1]LL_Hub!$A$1:$B$13,2,FALSE)</f>
        <v>New York</v>
      </c>
      <c r="K116" t="str">
        <f>VLOOKUP(D116,'[2]product Table data'!$A$2:$B$12,2,FALSE)</f>
        <v>Male</v>
      </c>
      <c r="L116" t="str">
        <f>VLOOKUP($D116,'[2]product Table data'!$A$2:$G$12,L$1,FALSE)</f>
        <v>Winter Warmth</v>
      </c>
      <c r="M116" t="str">
        <f>VLOOKUP($D116,'[2]product Table data'!$A$2:$G$12,M$1,FALSE)</f>
        <v>Moldova</v>
      </c>
      <c r="N116" t="str">
        <f>VLOOKUP($D116,'[2]product Table data'!$A$2:$G$12,N$1,FALSE)</f>
        <v>Eastern Europe</v>
      </c>
      <c r="O116">
        <f>VLOOKUP($D116,'[2]product Table data'!$A$2:$G$12,O$1,FALSE)</f>
        <v>475</v>
      </c>
      <c r="P116">
        <f>VLOOKUP($D116,'[2]product Table data'!$A$2:$G$12,P$1,FALSE)</f>
        <v>600</v>
      </c>
      <c r="Q116">
        <f t="shared" si="5"/>
        <v>125</v>
      </c>
      <c r="R116" t="str">
        <f t="shared" si="6"/>
        <v>-</v>
      </c>
      <c r="S116" t="str">
        <f t="shared" si="7"/>
        <v>-</v>
      </c>
      <c r="T116" t="str">
        <f t="shared" si="8"/>
        <v>-</v>
      </c>
      <c r="U116" t="str">
        <f t="shared" si="9"/>
        <v>High Value</v>
      </c>
    </row>
    <row r="117" spans="1:21" hidden="1" x14ac:dyDescent="0.2">
      <c r="A117" s="2">
        <v>658</v>
      </c>
      <c r="B117" s="2" t="s">
        <v>9</v>
      </c>
      <c r="C117" s="2" t="s">
        <v>168</v>
      </c>
      <c r="D117" s="2" t="s">
        <v>41</v>
      </c>
      <c r="E117" s="2">
        <v>10022</v>
      </c>
      <c r="F117" s="2" t="s">
        <v>42</v>
      </c>
      <c r="G117" s="2" t="s">
        <v>36</v>
      </c>
      <c r="H117" s="2">
        <v>1</v>
      </c>
      <c r="I117" s="2" t="s">
        <v>39</v>
      </c>
      <c r="J117" s="2" t="str">
        <f>VLOOKUP(E117,[1]LL_Hub!$A$1:$B$13,2,FALSE)</f>
        <v>New York</v>
      </c>
      <c r="K117" t="str">
        <f>VLOOKUP(D117,'[2]product Table data'!$A$2:$B$12,2,FALSE)</f>
        <v>Male</v>
      </c>
      <c r="L117" t="str">
        <f>VLOOKUP($D117,'[2]product Table data'!$A$2:$G$12,L$1,FALSE)</f>
        <v>Winter Warmth</v>
      </c>
      <c r="M117" t="str">
        <f>VLOOKUP($D117,'[2]product Table data'!$A$2:$G$12,M$1,FALSE)</f>
        <v>Moldova</v>
      </c>
      <c r="N117" t="str">
        <f>VLOOKUP($D117,'[2]product Table data'!$A$2:$G$12,N$1,FALSE)</f>
        <v>Eastern Europe</v>
      </c>
      <c r="O117">
        <f>VLOOKUP($D117,'[2]product Table data'!$A$2:$G$12,O$1,FALSE)</f>
        <v>475</v>
      </c>
      <c r="P117">
        <f>VLOOKUP($D117,'[2]product Table data'!$A$2:$G$12,P$1,FALSE)</f>
        <v>600</v>
      </c>
      <c r="Q117">
        <f t="shared" si="5"/>
        <v>125</v>
      </c>
      <c r="R117" t="str">
        <f t="shared" si="6"/>
        <v>-</v>
      </c>
      <c r="S117" t="str">
        <f t="shared" si="7"/>
        <v>-</v>
      </c>
      <c r="T117" t="str">
        <f t="shared" si="8"/>
        <v>-</v>
      </c>
      <c r="U117" t="str">
        <f t="shared" si="9"/>
        <v>High Value</v>
      </c>
    </row>
    <row r="118" spans="1:21" hidden="1" x14ac:dyDescent="0.2">
      <c r="A118" s="2">
        <v>659</v>
      </c>
      <c r="B118" s="2" t="s">
        <v>9</v>
      </c>
      <c r="C118" s="2" t="s">
        <v>169</v>
      </c>
      <c r="D118" s="2" t="s">
        <v>41</v>
      </c>
      <c r="E118" s="2">
        <v>10022</v>
      </c>
      <c r="F118" s="2" t="s">
        <v>42</v>
      </c>
      <c r="G118" s="2" t="s">
        <v>36</v>
      </c>
      <c r="H118" s="2">
        <v>1</v>
      </c>
      <c r="I118" s="2" t="s">
        <v>39</v>
      </c>
      <c r="J118" s="2" t="str">
        <f>VLOOKUP(E118,[1]LL_Hub!$A$1:$B$13,2,FALSE)</f>
        <v>New York</v>
      </c>
      <c r="K118" t="str">
        <f>VLOOKUP(D118,'[2]product Table data'!$A$2:$B$12,2,FALSE)</f>
        <v>Male</v>
      </c>
      <c r="L118" t="str">
        <f>VLOOKUP($D118,'[2]product Table data'!$A$2:$G$12,L$1,FALSE)</f>
        <v>Winter Warmth</v>
      </c>
      <c r="M118" t="str">
        <f>VLOOKUP($D118,'[2]product Table data'!$A$2:$G$12,M$1,FALSE)</f>
        <v>Moldova</v>
      </c>
      <c r="N118" t="str">
        <f>VLOOKUP($D118,'[2]product Table data'!$A$2:$G$12,N$1,FALSE)</f>
        <v>Eastern Europe</v>
      </c>
      <c r="O118">
        <f>VLOOKUP($D118,'[2]product Table data'!$A$2:$G$12,O$1,FALSE)</f>
        <v>475</v>
      </c>
      <c r="P118">
        <f>VLOOKUP($D118,'[2]product Table data'!$A$2:$G$12,P$1,FALSE)</f>
        <v>600</v>
      </c>
      <c r="Q118">
        <f t="shared" si="5"/>
        <v>125</v>
      </c>
      <c r="R118" t="str">
        <f t="shared" si="6"/>
        <v>-</v>
      </c>
      <c r="S118" t="str">
        <f t="shared" si="7"/>
        <v>-</v>
      </c>
      <c r="T118" t="str">
        <f t="shared" si="8"/>
        <v>-</v>
      </c>
      <c r="U118" t="str">
        <f t="shared" si="9"/>
        <v>High Value</v>
      </c>
    </row>
    <row r="119" spans="1:21" hidden="1" x14ac:dyDescent="0.2">
      <c r="A119" s="2">
        <v>663</v>
      </c>
      <c r="B119" s="2" t="s">
        <v>9</v>
      </c>
      <c r="C119" s="2" t="s">
        <v>170</v>
      </c>
      <c r="D119" s="2" t="s">
        <v>41</v>
      </c>
      <c r="E119" s="2">
        <v>10022</v>
      </c>
      <c r="F119" s="2" t="s">
        <v>42</v>
      </c>
      <c r="G119" s="2" t="s">
        <v>36</v>
      </c>
      <c r="H119" s="2">
        <v>1</v>
      </c>
      <c r="I119" s="2" t="s">
        <v>39</v>
      </c>
      <c r="J119" s="2" t="str">
        <f>VLOOKUP(E119,[1]LL_Hub!$A$1:$B$13,2,FALSE)</f>
        <v>New York</v>
      </c>
      <c r="K119" t="str">
        <f>VLOOKUP(D119,'[2]product Table data'!$A$2:$B$12,2,FALSE)</f>
        <v>Male</v>
      </c>
      <c r="L119" t="str">
        <f>VLOOKUP($D119,'[2]product Table data'!$A$2:$G$12,L$1,FALSE)</f>
        <v>Winter Warmth</v>
      </c>
      <c r="M119" t="str">
        <f>VLOOKUP($D119,'[2]product Table data'!$A$2:$G$12,M$1,FALSE)</f>
        <v>Moldova</v>
      </c>
      <c r="N119" t="str">
        <f>VLOOKUP($D119,'[2]product Table data'!$A$2:$G$12,N$1,FALSE)</f>
        <v>Eastern Europe</v>
      </c>
      <c r="O119">
        <f>VLOOKUP($D119,'[2]product Table data'!$A$2:$G$12,O$1,FALSE)</f>
        <v>475</v>
      </c>
      <c r="P119">
        <f>VLOOKUP($D119,'[2]product Table data'!$A$2:$G$12,P$1,FALSE)</f>
        <v>600</v>
      </c>
      <c r="Q119">
        <f t="shared" si="5"/>
        <v>125</v>
      </c>
      <c r="R119" t="str">
        <f t="shared" si="6"/>
        <v>-</v>
      </c>
      <c r="S119" t="str">
        <f t="shared" si="7"/>
        <v>-</v>
      </c>
      <c r="T119" t="str">
        <f t="shared" si="8"/>
        <v>-</v>
      </c>
      <c r="U119" t="str">
        <f t="shared" si="9"/>
        <v>High Value</v>
      </c>
    </row>
    <row r="120" spans="1:21" hidden="1" x14ac:dyDescent="0.2">
      <c r="A120" s="2">
        <v>666</v>
      </c>
      <c r="B120" s="2" t="s">
        <v>9</v>
      </c>
      <c r="C120" s="2" t="s">
        <v>171</v>
      </c>
      <c r="D120" s="2" t="s">
        <v>19</v>
      </c>
      <c r="E120" s="2">
        <v>10022</v>
      </c>
      <c r="F120" s="2" t="s">
        <v>35</v>
      </c>
      <c r="G120" s="2" t="s">
        <v>36</v>
      </c>
      <c r="H120" s="2">
        <v>1</v>
      </c>
      <c r="I120" s="2" t="s">
        <v>17</v>
      </c>
      <c r="J120" s="2" t="str">
        <f>VLOOKUP(E120,[1]LL_Hub!$A$1:$B$13,2,FALSE)</f>
        <v>New York</v>
      </c>
      <c r="K120" t="str">
        <f>VLOOKUP(D120,'[2]product Table data'!$A$2:$B$12,2,FALSE)</f>
        <v>Male</v>
      </c>
      <c r="L120" t="str">
        <f>VLOOKUP($D120,'[2]product Table data'!$A$2:$G$12,L$1,FALSE)</f>
        <v>Casual n Light</v>
      </c>
      <c r="M120" t="str">
        <f>VLOOKUP($D120,'[2]product Table data'!$A$2:$G$12,M$1,FALSE)</f>
        <v>Kenya</v>
      </c>
      <c r="N120" t="str">
        <f>VLOOKUP($D120,'[2]product Table data'!$A$2:$G$12,N$1,FALSE)</f>
        <v>Africa</v>
      </c>
      <c r="O120">
        <f>VLOOKUP($D120,'[2]product Table data'!$A$2:$G$12,O$1,FALSE)</f>
        <v>15</v>
      </c>
      <c r="P120">
        <f>VLOOKUP($D120,'[2]product Table data'!$A$2:$G$12,P$1,FALSE)</f>
        <v>30</v>
      </c>
      <c r="Q120">
        <f t="shared" si="5"/>
        <v>15</v>
      </c>
      <c r="R120" t="str">
        <f t="shared" si="6"/>
        <v>-</v>
      </c>
      <c r="S120" t="str">
        <f t="shared" si="7"/>
        <v>Style Risk</v>
      </c>
      <c r="T120" t="str">
        <f t="shared" si="8"/>
        <v>-</v>
      </c>
      <c r="U120" t="str">
        <f t="shared" si="9"/>
        <v>High Value</v>
      </c>
    </row>
    <row r="121" spans="1:21" hidden="1" x14ac:dyDescent="0.2">
      <c r="A121" s="2">
        <v>668</v>
      </c>
      <c r="B121" s="2" t="s">
        <v>9</v>
      </c>
      <c r="C121" s="2" t="s">
        <v>172</v>
      </c>
      <c r="D121" s="2" t="s">
        <v>19</v>
      </c>
      <c r="E121" s="2">
        <v>10022</v>
      </c>
      <c r="F121" s="2" t="s">
        <v>35</v>
      </c>
      <c r="G121" s="2" t="s">
        <v>36</v>
      </c>
      <c r="H121" s="2">
        <v>1</v>
      </c>
      <c r="I121" s="2" t="s">
        <v>17</v>
      </c>
      <c r="J121" s="2" t="str">
        <f>VLOOKUP(E121,[1]LL_Hub!$A$1:$B$13,2,FALSE)</f>
        <v>New York</v>
      </c>
      <c r="K121" t="str">
        <f>VLOOKUP(D121,'[2]product Table data'!$A$2:$B$12,2,FALSE)</f>
        <v>Male</v>
      </c>
      <c r="L121" t="str">
        <f>VLOOKUP($D121,'[2]product Table data'!$A$2:$G$12,L$1,FALSE)</f>
        <v>Casual n Light</v>
      </c>
      <c r="M121" t="str">
        <f>VLOOKUP($D121,'[2]product Table data'!$A$2:$G$12,M$1,FALSE)</f>
        <v>Kenya</v>
      </c>
      <c r="N121" t="str">
        <f>VLOOKUP($D121,'[2]product Table data'!$A$2:$G$12,N$1,FALSE)</f>
        <v>Africa</v>
      </c>
      <c r="O121">
        <f>VLOOKUP($D121,'[2]product Table data'!$A$2:$G$12,O$1,FALSE)</f>
        <v>15</v>
      </c>
      <c r="P121">
        <f>VLOOKUP($D121,'[2]product Table data'!$A$2:$G$12,P$1,FALSE)</f>
        <v>30</v>
      </c>
      <c r="Q121">
        <f t="shared" si="5"/>
        <v>15</v>
      </c>
      <c r="R121" t="str">
        <f t="shared" si="6"/>
        <v>-</v>
      </c>
      <c r="S121" t="str">
        <f t="shared" si="7"/>
        <v>Style Risk</v>
      </c>
      <c r="T121" t="str">
        <f t="shared" si="8"/>
        <v>-</v>
      </c>
      <c r="U121" t="str">
        <f t="shared" si="9"/>
        <v>High Value</v>
      </c>
    </row>
    <row r="122" spans="1:21" hidden="1" x14ac:dyDescent="0.2">
      <c r="A122" s="2">
        <v>670</v>
      </c>
      <c r="B122" s="2" t="s">
        <v>9</v>
      </c>
      <c r="C122" s="2" t="s">
        <v>173</v>
      </c>
      <c r="D122" s="2" t="s">
        <v>41</v>
      </c>
      <c r="E122" s="2">
        <v>10022</v>
      </c>
      <c r="F122" s="2" t="s">
        <v>42</v>
      </c>
      <c r="G122" s="2" t="s">
        <v>36</v>
      </c>
      <c r="H122" s="2">
        <v>1</v>
      </c>
      <c r="I122" s="2" t="s">
        <v>39</v>
      </c>
      <c r="J122" s="2" t="str">
        <f>VLOOKUP(E122,[1]LL_Hub!$A$1:$B$13,2,FALSE)</f>
        <v>New York</v>
      </c>
      <c r="K122" t="str">
        <f>VLOOKUP(D122,'[2]product Table data'!$A$2:$B$12,2,FALSE)</f>
        <v>Male</v>
      </c>
      <c r="L122" t="str">
        <f>VLOOKUP($D122,'[2]product Table data'!$A$2:$G$12,L$1,FALSE)</f>
        <v>Winter Warmth</v>
      </c>
      <c r="M122" t="str">
        <f>VLOOKUP($D122,'[2]product Table data'!$A$2:$G$12,M$1,FALSE)</f>
        <v>Moldova</v>
      </c>
      <c r="N122" t="str">
        <f>VLOOKUP($D122,'[2]product Table data'!$A$2:$G$12,N$1,FALSE)</f>
        <v>Eastern Europe</v>
      </c>
      <c r="O122">
        <f>VLOOKUP($D122,'[2]product Table data'!$A$2:$G$12,O$1,FALSE)</f>
        <v>475</v>
      </c>
      <c r="P122">
        <f>VLOOKUP($D122,'[2]product Table data'!$A$2:$G$12,P$1,FALSE)</f>
        <v>600</v>
      </c>
      <c r="Q122">
        <f t="shared" si="5"/>
        <v>125</v>
      </c>
      <c r="R122" t="str">
        <f t="shared" si="6"/>
        <v>-</v>
      </c>
      <c r="S122" t="str">
        <f t="shared" si="7"/>
        <v>-</v>
      </c>
      <c r="T122" t="str">
        <f t="shared" si="8"/>
        <v>-</v>
      </c>
      <c r="U122" t="str">
        <f t="shared" si="9"/>
        <v>High Value</v>
      </c>
    </row>
    <row r="123" spans="1:21" hidden="1" x14ac:dyDescent="0.2">
      <c r="A123" s="2">
        <v>672</v>
      </c>
      <c r="B123" s="2" t="s">
        <v>9</v>
      </c>
      <c r="C123" s="2" t="s">
        <v>174</v>
      </c>
      <c r="D123" s="2" t="s">
        <v>41</v>
      </c>
      <c r="E123" s="2">
        <v>10022</v>
      </c>
      <c r="F123" s="2" t="s">
        <v>42</v>
      </c>
      <c r="G123" s="2" t="s">
        <v>36</v>
      </c>
      <c r="H123" s="2">
        <v>1</v>
      </c>
      <c r="I123" s="2" t="s">
        <v>39</v>
      </c>
      <c r="J123" s="2" t="str">
        <f>VLOOKUP(E123,[1]LL_Hub!$A$1:$B$13,2,FALSE)</f>
        <v>New York</v>
      </c>
      <c r="K123" t="str">
        <f>VLOOKUP(D123,'[2]product Table data'!$A$2:$B$12,2,FALSE)</f>
        <v>Male</v>
      </c>
      <c r="L123" t="str">
        <f>VLOOKUP($D123,'[2]product Table data'!$A$2:$G$12,L$1,FALSE)</f>
        <v>Winter Warmth</v>
      </c>
      <c r="M123" t="str">
        <f>VLOOKUP($D123,'[2]product Table data'!$A$2:$G$12,M$1,FALSE)</f>
        <v>Moldova</v>
      </c>
      <c r="N123" t="str">
        <f>VLOOKUP($D123,'[2]product Table data'!$A$2:$G$12,N$1,FALSE)</f>
        <v>Eastern Europe</v>
      </c>
      <c r="O123">
        <f>VLOOKUP($D123,'[2]product Table data'!$A$2:$G$12,O$1,FALSE)</f>
        <v>475</v>
      </c>
      <c r="P123">
        <f>VLOOKUP($D123,'[2]product Table data'!$A$2:$G$12,P$1,FALSE)</f>
        <v>600</v>
      </c>
      <c r="Q123">
        <f t="shared" si="5"/>
        <v>125</v>
      </c>
      <c r="R123" t="str">
        <f t="shared" si="6"/>
        <v>-</v>
      </c>
      <c r="S123" t="str">
        <f t="shared" si="7"/>
        <v>-</v>
      </c>
      <c r="T123" t="str">
        <f t="shared" si="8"/>
        <v>-</v>
      </c>
      <c r="U123" t="str">
        <f t="shared" si="9"/>
        <v>High Value</v>
      </c>
    </row>
    <row r="124" spans="1:21" hidden="1" x14ac:dyDescent="0.2">
      <c r="A124" s="2">
        <v>674</v>
      </c>
      <c r="B124" s="2" t="s">
        <v>9</v>
      </c>
      <c r="C124" s="2" t="s">
        <v>175</v>
      </c>
      <c r="D124" s="2" t="s">
        <v>41</v>
      </c>
      <c r="E124" s="2">
        <v>10022</v>
      </c>
      <c r="F124" s="2" t="s">
        <v>42</v>
      </c>
      <c r="G124" s="2" t="s">
        <v>36</v>
      </c>
      <c r="H124" s="2">
        <v>1</v>
      </c>
      <c r="I124" s="2" t="s">
        <v>39</v>
      </c>
      <c r="J124" s="2" t="str">
        <f>VLOOKUP(E124,[1]LL_Hub!$A$1:$B$13,2,FALSE)</f>
        <v>New York</v>
      </c>
      <c r="K124" t="str">
        <f>VLOOKUP(D124,'[2]product Table data'!$A$2:$B$12,2,FALSE)</f>
        <v>Male</v>
      </c>
      <c r="L124" t="str">
        <f>VLOOKUP($D124,'[2]product Table data'!$A$2:$G$12,L$1,FALSE)</f>
        <v>Winter Warmth</v>
      </c>
      <c r="M124" t="str">
        <f>VLOOKUP($D124,'[2]product Table data'!$A$2:$G$12,M$1,FALSE)</f>
        <v>Moldova</v>
      </c>
      <c r="N124" t="str">
        <f>VLOOKUP($D124,'[2]product Table data'!$A$2:$G$12,N$1,FALSE)</f>
        <v>Eastern Europe</v>
      </c>
      <c r="O124">
        <f>VLOOKUP($D124,'[2]product Table data'!$A$2:$G$12,O$1,FALSE)</f>
        <v>475</v>
      </c>
      <c r="P124">
        <f>VLOOKUP($D124,'[2]product Table data'!$A$2:$G$12,P$1,FALSE)</f>
        <v>600</v>
      </c>
      <c r="Q124">
        <f t="shared" si="5"/>
        <v>125</v>
      </c>
      <c r="R124" t="str">
        <f t="shared" si="6"/>
        <v>-</v>
      </c>
      <c r="S124" t="str">
        <f t="shared" si="7"/>
        <v>-</v>
      </c>
      <c r="T124" t="str">
        <f t="shared" si="8"/>
        <v>-</v>
      </c>
      <c r="U124" t="str">
        <f t="shared" si="9"/>
        <v>High Value</v>
      </c>
    </row>
    <row r="125" spans="1:21" hidden="1" x14ac:dyDescent="0.2">
      <c r="A125" s="2">
        <v>675</v>
      </c>
      <c r="B125" s="2" t="s">
        <v>9</v>
      </c>
      <c r="C125" s="2" t="s">
        <v>176</v>
      </c>
      <c r="D125" s="2" t="s">
        <v>41</v>
      </c>
      <c r="E125" s="2">
        <v>10022</v>
      </c>
      <c r="F125" s="2" t="s">
        <v>42</v>
      </c>
      <c r="G125" s="2" t="s">
        <v>36</v>
      </c>
      <c r="H125" s="2">
        <v>1</v>
      </c>
      <c r="I125" s="2" t="s">
        <v>39</v>
      </c>
      <c r="J125" s="2" t="str">
        <f>VLOOKUP(E125,[1]LL_Hub!$A$1:$B$13,2,FALSE)</f>
        <v>New York</v>
      </c>
      <c r="K125" t="str">
        <f>VLOOKUP(D125,'[2]product Table data'!$A$2:$B$12,2,FALSE)</f>
        <v>Male</v>
      </c>
      <c r="L125" t="str">
        <f>VLOOKUP($D125,'[2]product Table data'!$A$2:$G$12,L$1,FALSE)</f>
        <v>Winter Warmth</v>
      </c>
      <c r="M125" t="str">
        <f>VLOOKUP($D125,'[2]product Table data'!$A$2:$G$12,M$1,FALSE)</f>
        <v>Moldova</v>
      </c>
      <c r="N125" t="str">
        <f>VLOOKUP($D125,'[2]product Table data'!$A$2:$G$12,N$1,FALSE)</f>
        <v>Eastern Europe</v>
      </c>
      <c r="O125">
        <f>VLOOKUP($D125,'[2]product Table data'!$A$2:$G$12,O$1,FALSE)</f>
        <v>475</v>
      </c>
      <c r="P125">
        <f>VLOOKUP($D125,'[2]product Table data'!$A$2:$G$12,P$1,FALSE)</f>
        <v>600</v>
      </c>
      <c r="Q125">
        <f t="shared" si="5"/>
        <v>125</v>
      </c>
      <c r="R125" t="str">
        <f t="shared" si="6"/>
        <v>-</v>
      </c>
      <c r="S125" t="str">
        <f t="shared" si="7"/>
        <v>-</v>
      </c>
      <c r="T125" t="str">
        <f t="shared" si="8"/>
        <v>-</v>
      </c>
      <c r="U125" t="str">
        <f t="shared" si="9"/>
        <v>High Value</v>
      </c>
    </row>
    <row r="126" spans="1:21" hidden="1" x14ac:dyDescent="0.2">
      <c r="A126" s="2">
        <v>676</v>
      </c>
      <c r="B126" s="2" t="s">
        <v>9</v>
      </c>
      <c r="C126" s="2" t="s">
        <v>177</v>
      </c>
      <c r="D126" s="2" t="s">
        <v>41</v>
      </c>
      <c r="E126" s="2">
        <v>10022</v>
      </c>
      <c r="F126" s="2" t="s">
        <v>42</v>
      </c>
      <c r="G126" s="2" t="s">
        <v>36</v>
      </c>
      <c r="H126" s="2">
        <v>1</v>
      </c>
      <c r="I126" s="2" t="s">
        <v>39</v>
      </c>
      <c r="J126" s="2" t="str">
        <f>VLOOKUP(E126,[1]LL_Hub!$A$1:$B$13,2,FALSE)</f>
        <v>New York</v>
      </c>
      <c r="K126" t="str">
        <f>VLOOKUP(D126,'[2]product Table data'!$A$2:$B$12,2,FALSE)</f>
        <v>Male</v>
      </c>
      <c r="L126" t="str">
        <f>VLOOKUP($D126,'[2]product Table data'!$A$2:$G$12,L$1,FALSE)</f>
        <v>Winter Warmth</v>
      </c>
      <c r="M126" t="str">
        <f>VLOOKUP($D126,'[2]product Table data'!$A$2:$G$12,M$1,FALSE)</f>
        <v>Moldova</v>
      </c>
      <c r="N126" t="str">
        <f>VLOOKUP($D126,'[2]product Table data'!$A$2:$G$12,N$1,FALSE)</f>
        <v>Eastern Europe</v>
      </c>
      <c r="O126">
        <f>VLOOKUP($D126,'[2]product Table data'!$A$2:$G$12,O$1,FALSE)</f>
        <v>475</v>
      </c>
      <c r="P126">
        <f>VLOOKUP($D126,'[2]product Table data'!$A$2:$G$12,P$1,FALSE)</f>
        <v>600</v>
      </c>
      <c r="Q126">
        <f t="shared" si="5"/>
        <v>125</v>
      </c>
      <c r="R126" t="str">
        <f t="shared" si="6"/>
        <v>-</v>
      </c>
      <c r="S126" t="str">
        <f t="shared" si="7"/>
        <v>-</v>
      </c>
      <c r="T126" t="str">
        <f t="shared" si="8"/>
        <v>-</v>
      </c>
      <c r="U126" t="str">
        <f t="shared" si="9"/>
        <v>High Value</v>
      </c>
    </row>
    <row r="127" spans="1:21" hidden="1" x14ac:dyDescent="0.2">
      <c r="A127" s="2">
        <v>679</v>
      </c>
      <c r="B127" s="2" t="s">
        <v>9</v>
      </c>
      <c r="C127" s="2" t="s">
        <v>178</v>
      </c>
      <c r="D127" s="2" t="s">
        <v>19</v>
      </c>
      <c r="E127" s="2">
        <v>10022</v>
      </c>
      <c r="F127" s="2" t="s">
        <v>35</v>
      </c>
      <c r="G127" s="2" t="s">
        <v>36</v>
      </c>
      <c r="H127" s="2">
        <v>1</v>
      </c>
      <c r="I127" s="2" t="s">
        <v>17</v>
      </c>
      <c r="J127" s="2" t="str">
        <f>VLOOKUP(E127,[1]LL_Hub!$A$1:$B$13,2,FALSE)</f>
        <v>New York</v>
      </c>
      <c r="K127" t="str">
        <f>VLOOKUP(D127,'[2]product Table data'!$A$2:$B$12,2,FALSE)</f>
        <v>Male</v>
      </c>
      <c r="L127" t="str">
        <f>VLOOKUP($D127,'[2]product Table data'!$A$2:$G$12,L$1,FALSE)</f>
        <v>Casual n Light</v>
      </c>
      <c r="M127" t="str">
        <f>VLOOKUP($D127,'[2]product Table data'!$A$2:$G$12,M$1,FALSE)</f>
        <v>Kenya</v>
      </c>
      <c r="N127" t="str">
        <f>VLOOKUP($D127,'[2]product Table data'!$A$2:$G$12,N$1,FALSE)</f>
        <v>Africa</v>
      </c>
      <c r="O127">
        <f>VLOOKUP($D127,'[2]product Table data'!$A$2:$G$12,O$1,FALSE)</f>
        <v>15</v>
      </c>
      <c r="P127">
        <f>VLOOKUP($D127,'[2]product Table data'!$A$2:$G$12,P$1,FALSE)</f>
        <v>30</v>
      </c>
      <c r="Q127">
        <f t="shared" si="5"/>
        <v>15</v>
      </c>
      <c r="R127" t="str">
        <f t="shared" si="6"/>
        <v>-</v>
      </c>
      <c r="S127" t="str">
        <f t="shared" si="7"/>
        <v>Style Risk</v>
      </c>
      <c r="T127" t="str">
        <f t="shared" si="8"/>
        <v>-</v>
      </c>
      <c r="U127" t="str">
        <f t="shared" si="9"/>
        <v>High Value</v>
      </c>
    </row>
    <row r="128" spans="1:21" hidden="1" x14ac:dyDescent="0.2">
      <c r="A128" s="2">
        <v>680</v>
      </c>
      <c r="B128" s="2" t="s">
        <v>9</v>
      </c>
      <c r="C128" s="2" t="s">
        <v>179</v>
      </c>
      <c r="D128" s="2" t="s">
        <v>19</v>
      </c>
      <c r="E128" s="2">
        <v>10022</v>
      </c>
      <c r="F128" s="2" t="s">
        <v>35</v>
      </c>
      <c r="G128" s="2" t="s">
        <v>36</v>
      </c>
      <c r="H128" s="2">
        <v>1</v>
      </c>
      <c r="I128" s="2" t="s">
        <v>17</v>
      </c>
      <c r="J128" s="2" t="str">
        <f>VLOOKUP(E128,[1]LL_Hub!$A$1:$B$13,2,FALSE)</f>
        <v>New York</v>
      </c>
      <c r="K128" t="str">
        <f>VLOOKUP(D128,'[2]product Table data'!$A$2:$B$12,2,FALSE)</f>
        <v>Male</v>
      </c>
      <c r="L128" t="str">
        <f>VLOOKUP($D128,'[2]product Table data'!$A$2:$G$12,L$1,FALSE)</f>
        <v>Casual n Light</v>
      </c>
      <c r="M128" t="str">
        <f>VLOOKUP($D128,'[2]product Table data'!$A$2:$G$12,M$1,FALSE)</f>
        <v>Kenya</v>
      </c>
      <c r="N128" t="str">
        <f>VLOOKUP($D128,'[2]product Table data'!$A$2:$G$12,N$1,FALSE)</f>
        <v>Africa</v>
      </c>
      <c r="O128">
        <f>VLOOKUP($D128,'[2]product Table data'!$A$2:$G$12,O$1,FALSE)</f>
        <v>15</v>
      </c>
      <c r="P128">
        <f>VLOOKUP($D128,'[2]product Table data'!$A$2:$G$12,P$1,FALSE)</f>
        <v>30</v>
      </c>
      <c r="Q128">
        <f t="shared" si="5"/>
        <v>15</v>
      </c>
      <c r="R128" t="str">
        <f t="shared" si="6"/>
        <v>-</v>
      </c>
      <c r="S128" t="str">
        <f t="shared" si="7"/>
        <v>Style Risk</v>
      </c>
      <c r="T128" t="str">
        <f t="shared" si="8"/>
        <v>-</v>
      </c>
      <c r="U128" t="str">
        <f t="shared" si="9"/>
        <v>High Value</v>
      </c>
    </row>
    <row r="129" spans="1:21" hidden="1" x14ac:dyDescent="0.2">
      <c r="A129" s="2">
        <v>681</v>
      </c>
      <c r="B129" s="2" t="s">
        <v>9</v>
      </c>
      <c r="C129" s="2" t="s">
        <v>180</v>
      </c>
      <c r="D129" s="2" t="s">
        <v>19</v>
      </c>
      <c r="E129" s="2">
        <v>10022</v>
      </c>
      <c r="F129" s="2" t="s">
        <v>181</v>
      </c>
      <c r="G129" s="2" t="s">
        <v>13</v>
      </c>
      <c r="H129" s="2">
        <v>1</v>
      </c>
      <c r="I129" s="2" t="s">
        <v>17</v>
      </c>
      <c r="J129" s="2" t="str">
        <f>VLOOKUP(E129,[1]LL_Hub!$A$1:$B$13,2,FALSE)</f>
        <v>New York</v>
      </c>
      <c r="K129" t="str">
        <f>VLOOKUP(D129,'[2]product Table data'!$A$2:$B$12,2,FALSE)</f>
        <v>Male</v>
      </c>
      <c r="L129" t="str">
        <f>VLOOKUP($D129,'[2]product Table data'!$A$2:$G$12,L$1,FALSE)</f>
        <v>Casual n Light</v>
      </c>
      <c r="M129" t="str">
        <f>VLOOKUP($D129,'[2]product Table data'!$A$2:$G$12,M$1,FALSE)</f>
        <v>Kenya</v>
      </c>
      <c r="N129" t="str">
        <f>VLOOKUP($D129,'[2]product Table data'!$A$2:$G$12,N$1,FALSE)</f>
        <v>Africa</v>
      </c>
      <c r="O129">
        <f>VLOOKUP($D129,'[2]product Table data'!$A$2:$G$12,O$1,FALSE)</f>
        <v>15</v>
      </c>
      <c r="P129">
        <f>VLOOKUP($D129,'[2]product Table data'!$A$2:$G$12,P$1,FALSE)</f>
        <v>30</v>
      </c>
      <c r="Q129">
        <f t="shared" si="5"/>
        <v>15</v>
      </c>
      <c r="R129" t="str">
        <f t="shared" si="6"/>
        <v>-</v>
      </c>
      <c r="S129" t="str">
        <f t="shared" si="7"/>
        <v>Style Risk</v>
      </c>
      <c r="T129" t="str">
        <f t="shared" si="8"/>
        <v>-</v>
      </c>
      <c r="U129" t="str">
        <f t="shared" si="9"/>
        <v>High Value</v>
      </c>
    </row>
    <row r="130" spans="1:21" hidden="1" x14ac:dyDescent="0.2">
      <c r="A130" s="2">
        <v>682</v>
      </c>
      <c r="B130" s="2" t="s">
        <v>9</v>
      </c>
      <c r="C130" s="2" t="s">
        <v>182</v>
      </c>
      <c r="D130" s="2" t="s">
        <v>19</v>
      </c>
      <c r="E130" s="2">
        <v>10022</v>
      </c>
      <c r="F130" s="2" t="s">
        <v>183</v>
      </c>
      <c r="G130" s="2" t="s">
        <v>13</v>
      </c>
      <c r="H130" s="2">
        <v>1</v>
      </c>
      <c r="I130" s="2" t="s">
        <v>17</v>
      </c>
      <c r="J130" s="2" t="str">
        <f>VLOOKUP(E130,[1]LL_Hub!$A$1:$B$13,2,FALSE)</f>
        <v>New York</v>
      </c>
      <c r="K130" t="str">
        <f>VLOOKUP(D130,'[2]product Table data'!$A$2:$B$12,2,FALSE)</f>
        <v>Male</v>
      </c>
      <c r="L130" t="str">
        <f>VLOOKUP($D130,'[2]product Table data'!$A$2:$G$12,L$1,FALSE)</f>
        <v>Casual n Light</v>
      </c>
      <c r="M130" t="str">
        <f>VLOOKUP($D130,'[2]product Table data'!$A$2:$G$12,M$1,FALSE)</f>
        <v>Kenya</v>
      </c>
      <c r="N130" t="str">
        <f>VLOOKUP($D130,'[2]product Table data'!$A$2:$G$12,N$1,FALSE)</f>
        <v>Africa</v>
      </c>
      <c r="O130">
        <f>VLOOKUP($D130,'[2]product Table data'!$A$2:$G$12,O$1,FALSE)</f>
        <v>15</v>
      </c>
      <c r="P130">
        <f>VLOOKUP($D130,'[2]product Table data'!$A$2:$G$12,P$1,FALSE)</f>
        <v>30</v>
      </c>
      <c r="Q130">
        <f t="shared" si="5"/>
        <v>15</v>
      </c>
      <c r="R130" t="str">
        <f t="shared" si="6"/>
        <v>-</v>
      </c>
      <c r="S130" t="str">
        <f t="shared" si="7"/>
        <v>Style Risk</v>
      </c>
      <c r="T130" t="str">
        <f t="shared" si="8"/>
        <v>-</v>
      </c>
      <c r="U130" t="str">
        <f t="shared" si="9"/>
        <v>High Value</v>
      </c>
    </row>
    <row r="131" spans="1:21" hidden="1" x14ac:dyDescent="0.2">
      <c r="A131" s="2">
        <v>683</v>
      </c>
      <c r="B131" s="2" t="s">
        <v>9</v>
      </c>
      <c r="C131" s="2" t="s">
        <v>184</v>
      </c>
      <c r="D131" s="2" t="s">
        <v>19</v>
      </c>
      <c r="E131" s="2">
        <v>10022</v>
      </c>
      <c r="F131" s="2" t="s">
        <v>185</v>
      </c>
      <c r="G131" s="2" t="s">
        <v>13</v>
      </c>
      <c r="H131" s="2">
        <v>1</v>
      </c>
      <c r="I131" s="2" t="s">
        <v>17</v>
      </c>
      <c r="J131" s="2" t="str">
        <f>VLOOKUP(E131,[1]LL_Hub!$A$1:$B$13,2,FALSE)</f>
        <v>New York</v>
      </c>
      <c r="K131" t="str">
        <f>VLOOKUP(D131,'[2]product Table data'!$A$2:$B$12,2,FALSE)</f>
        <v>Male</v>
      </c>
      <c r="L131" t="str">
        <f>VLOOKUP($D131,'[2]product Table data'!$A$2:$G$12,L$1,FALSE)</f>
        <v>Casual n Light</v>
      </c>
      <c r="M131" t="str">
        <f>VLOOKUP($D131,'[2]product Table data'!$A$2:$G$12,M$1,FALSE)</f>
        <v>Kenya</v>
      </c>
      <c r="N131" t="str">
        <f>VLOOKUP($D131,'[2]product Table data'!$A$2:$G$12,N$1,FALSE)</f>
        <v>Africa</v>
      </c>
      <c r="O131">
        <f>VLOOKUP($D131,'[2]product Table data'!$A$2:$G$12,O$1,FALSE)</f>
        <v>15</v>
      </c>
      <c r="P131">
        <f>VLOOKUP($D131,'[2]product Table data'!$A$2:$G$12,P$1,FALSE)</f>
        <v>30</v>
      </c>
      <c r="Q131">
        <f t="shared" ref="Q131:Q194" si="10">P131-O131</f>
        <v>15</v>
      </c>
      <c r="R131" t="str">
        <f t="shared" ref="R131:R194" si="11">IF(OR(J131="Los Angeles",J131="Denver"),"Hub Risk","-")</f>
        <v>-</v>
      </c>
      <c r="S131" t="str">
        <f t="shared" ref="S131:S194" si="12">IF(OR(L131="Casual n Light",L131="Fancy Sheek"),"Style Risk","-")</f>
        <v>Style Risk</v>
      </c>
      <c r="T131" t="str">
        <f t="shared" ref="T131:T194" si="13">IF(AND(R131="Hub Risk", S131="Style Risk"), "Risk", "-")</f>
        <v>-</v>
      </c>
      <c r="U131" t="str">
        <f t="shared" ref="U131:U194" si="14">IF(Q131&lt;=5, "Low Value", "High Value")</f>
        <v>High Value</v>
      </c>
    </row>
    <row r="132" spans="1:21" hidden="1" x14ac:dyDescent="0.2">
      <c r="A132" s="2">
        <v>684</v>
      </c>
      <c r="B132" s="2" t="s">
        <v>9</v>
      </c>
      <c r="C132" s="2" t="s">
        <v>186</v>
      </c>
      <c r="D132" s="2" t="s">
        <v>19</v>
      </c>
      <c r="E132" s="2">
        <v>10022</v>
      </c>
      <c r="F132" s="2" t="s">
        <v>187</v>
      </c>
      <c r="G132" s="2" t="s">
        <v>13</v>
      </c>
      <c r="H132" s="2">
        <v>1</v>
      </c>
      <c r="I132" s="2" t="s">
        <v>17</v>
      </c>
      <c r="J132" s="2" t="str">
        <f>VLOOKUP(E132,[1]LL_Hub!$A$1:$B$13,2,FALSE)</f>
        <v>New York</v>
      </c>
      <c r="K132" t="str">
        <f>VLOOKUP(D132,'[2]product Table data'!$A$2:$B$12,2,FALSE)</f>
        <v>Male</v>
      </c>
      <c r="L132" t="str">
        <f>VLOOKUP($D132,'[2]product Table data'!$A$2:$G$12,L$1,FALSE)</f>
        <v>Casual n Light</v>
      </c>
      <c r="M132" t="str">
        <f>VLOOKUP($D132,'[2]product Table data'!$A$2:$G$12,M$1,FALSE)</f>
        <v>Kenya</v>
      </c>
      <c r="N132" t="str">
        <f>VLOOKUP($D132,'[2]product Table data'!$A$2:$G$12,N$1,FALSE)</f>
        <v>Africa</v>
      </c>
      <c r="O132">
        <f>VLOOKUP($D132,'[2]product Table data'!$A$2:$G$12,O$1,FALSE)</f>
        <v>15</v>
      </c>
      <c r="P132">
        <f>VLOOKUP($D132,'[2]product Table data'!$A$2:$G$12,P$1,FALSE)</f>
        <v>30</v>
      </c>
      <c r="Q132">
        <f t="shared" si="10"/>
        <v>15</v>
      </c>
      <c r="R132" t="str">
        <f t="shared" si="11"/>
        <v>-</v>
      </c>
      <c r="S132" t="str">
        <f t="shared" si="12"/>
        <v>Style Risk</v>
      </c>
      <c r="T132" t="str">
        <f t="shared" si="13"/>
        <v>-</v>
      </c>
      <c r="U132" t="str">
        <f t="shared" si="14"/>
        <v>High Value</v>
      </c>
    </row>
    <row r="133" spans="1:21" hidden="1" x14ac:dyDescent="0.2">
      <c r="A133" s="2">
        <v>688</v>
      </c>
      <c r="B133" s="2" t="s">
        <v>9</v>
      </c>
      <c r="C133" s="2" t="s">
        <v>188</v>
      </c>
      <c r="D133" s="2" t="s">
        <v>41</v>
      </c>
      <c r="E133" s="2">
        <v>10022</v>
      </c>
      <c r="F133" s="2" t="s">
        <v>42</v>
      </c>
      <c r="G133" s="2" t="s">
        <v>36</v>
      </c>
      <c r="H133" s="2">
        <v>1</v>
      </c>
      <c r="I133" s="2" t="s">
        <v>39</v>
      </c>
      <c r="J133" s="2" t="str">
        <f>VLOOKUP(E133,[1]LL_Hub!$A$1:$B$13,2,FALSE)</f>
        <v>New York</v>
      </c>
      <c r="K133" t="str">
        <f>VLOOKUP(D133,'[2]product Table data'!$A$2:$B$12,2,FALSE)</f>
        <v>Male</v>
      </c>
      <c r="L133" t="str">
        <f>VLOOKUP($D133,'[2]product Table data'!$A$2:$G$12,L$1,FALSE)</f>
        <v>Winter Warmth</v>
      </c>
      <c r="M133" t="str">
        <f>VLOOKUP($D133,'[2]product Table data'!$A$2:$G$12,M$1,FALSE)</f>
        <v>Moldova</v>
      </c>
      <c r="N133" t="str">
        <f>VLOOKUP($D133,'[2]product Table data'!$A$2:$G$12,N$1,FALSE)</f>
        <v>Eastern Europe</v>
      </c>
      <c r="O133">
        <f>VLOOKUP($D133,'[2]product Table data'!$A$2:$G$12,O$1,FALSE)</f>
        <v>475</v>
      </c>
      <c r="P133">
        <f>VLOOKUP($D133,'[2]product Table data'!$A$2:$G$12,P$1,FALSE)</f>
        <v>600</v>
      </c>
      <c r="Q133">
        <f t="shared" si="10"/>
        <v>125</v>
      </c>
      <c r="R133" t="str">
        <f t="shared" si="11"/>
        <v>-</v>
      </c>
      <c r="S133" t="str">
        <f t="shared" si="12"/>
        <v>-</v>
      </c>
      <c r="T133" t="str">
        <f t="shared" si="13"/>
        <v>-</v>
      </c>
      <c r="U133" t="str">
        <f t="shared" si="14"/>
        <v>High Value</v>
      </c>
    </row>
    <row r="134" spans="1:21" hidden="1" x14ac:dyDescent="0.2">
      <c r="A134" s="2">
        <v>689</v>
      </c>
      <c r="B134" s="2" t="s">
        <v>9</v>
      </c>
      <c r="C134" s="2" t="s">
        <v>189</v>
      </c>
      <c r="D134" s="2" t="s">
        <v>41</v>
      </c>
      <c r="E134" s="2">
        <v>10022</v>
      </c>
      <c r="F134" s="2" t="s">
        <v>42</v>
      </c>
      <c r="G134" s="2" t="s">
        <v>36</v>
      </c>
      <c r="H134" s="2">
        <v>1</v>
      </c>
      <c r="I134" s="2" t="s">
        <v>39</v>
      </c>
      <c r="J134" s="2" t="str">
        <f>VLOOKUP(E134,[1]LL_Hub!$A$1:$B$13,2,FALSE)</f>
        <v>New York</v>
      </c>
      <c r="K134" t="str">
        <f>VLOOKUP(D134,'[2]product Table data'!$A$2:$B$12,2,FALSE)</f>
        <v>Male</v>
      </c>
      <c r="L134" t="str">
        <f>VLOOKUP($D134,'[2]product Table data'!$A$2:$G$12,L$1,FALSE)</f>
        <v>Winter Warmth</v>
      </c>
      <c r="M134" t="str">
        <f>VLOOKUP($D134,'[2]product Table data'!$A$2:$G$12,M$1,FALSE)</f>
        <v>Moldova</v>
      </c>
      <c r="N134" t="str">
        <f>VLOOKUP($D134,'[2]product Table data'!$A$2:$G$12,N$1,FALSE)</f>
        <v>Eastern Europe</v>
      </c>
      <c r="O134">
        <f>VLOOKUP($D134,'[2]product Table data'!$A$2:$G$12,O$1,FALSE)</f>
        <v>475</v>
      </c>
      <c r="P134">
        <f>VLOOKUP($D134,'[2]product Table data'!$A$2:$G$12,P$1,FALSE)</f>
        <v>600</v>
      </c>
      <c r="Q134">
        <f t="shared" si="10"/>
        <v>125</v>
      </c>
      <c r="R134" t="str">
        <f t="shared" si="11"/>
        <v>-</v>
      </c>
      <c r="S134" t="str">
        <f t="shared" si="12"/>
        <v>-</v>
      </c>
      <c r="T134" t="str">
        <f t="shared" si="13"/>
        <v>-</v>
      </c>
      <c r="U134" t="str">
        <f t="shared" si="14"/>
        <v>High Value</v>
      </c>
    </row>
    <row r="135" spans="1:21" hidden="1" x14ac:dyDescent="0.2">
      <c r="A135" s="2">
        <v>690</v>
      </c>
      <c r="B135" s="2" t="s">
        <v>9</v>
      </c>
      <c r="C135" s="2" t="s">
        <v>190</v>
      </c>
      <c r="D135" s="2" t="s">
        <v>41</v>
      </c>
      <c r="E135" s="2">
        <v>10022</v>
      </c>
      <c r="F135" s="2" t="s">
        <v>42</v>
      </c>
      <c r="G135" s="2" t="s">
        <v>36</v>
      </c>
      <c r="H135" s="2">
        <v>1</v>
      </c>
      <c r="I135" s="2" t="s">
        <v>39</v>
      </c>
      <c r="J135" s="2" t="str">
        <f>VLOOKUP(E135,[1]LL_Hub!$A$1:$B$13,2,FALSE)</f>
        <v>New York</v>
      </c>
      <c r="K135" t="str">
        <f>VLOOKUP(D135,'[2]product Table data'!$A$2:$B$12,2,FALSE)</f>
        <v>Male</v>
      </c>
      <c r="L135" t="str">
        <f>VLOOKUP($D135,'[2]product Table data'!$A$2:$G$12,L$1,FALSE)</f>
        <v>Winter Warmth</v>
      </c>
      <c r="M135" t="str">
        <f>VLOOKUP($D135,'[2]product Table data'!$A$2:$G$12,M$1,FALSE)</f>
        <v>Moldova</v>
      </c>
      <c r="N135" t="str">
        <f>VLOOKUP($D135,'[2]product Table data'!$A$2:$G$12,N$1,FALSE)</f>
        <v>Eastern Europe</v>
      </c>
      <c r="O135">
        <f>VLOOKUP($D135,'[2]product Table data'!$A$2:$G$12,O$1,FALSE)</f>
        <v>475</v>
      </c>
      <c r="P135">
        <f>VLOOKUP($D135,'[2]product Table data'!$A$2:$G$12,P$1,FALSE)</f>
        <v>600</v>
      </c>
      <c r="Q135">
        <f t="shared" si="10"/>
        <v>125</v>
      </c>
      <c r="R135" t="str">
        <f t="shared" si="11"/>
        <v>-</v>
      </c>
      <c r="S135" t="str">
        <f t="shared" si="12"/>
        <v>-</v>
      </c>
      <c r="T135" t="str">
        <f t="shared" si="13"/>
        <v>-</v>
      </c>
      <c r="U135" t="str">
        <f t="shared" si="14"/>
        <v>High Value</v>
      </c>
    </row>
    <row r="136" spans="1:21" x14ac:dyDescent="0.2">
      <c r="A136" s="2">
        <v>403</v>
      </c>
      <c r="B136" s="2" t="s">
        <v>9</v>
      </c>
      <c r="C136" s="2" t="s">
        <v>987</v>
      </c>
      <c r="D136" s="2" t="s">
        <v>558</v>
      </c>
      <c r="E136" s="2">
        <v>90005</v>
      </c>
      <c r="F136" s="2" t="s">
        <v>981</v>
      </c>
      <c r="G136" s="2" t="s">
        <v>36</v>
      </c>
      <c r="H136" s="2">
        <v>1</v>
      </c>
      <c r="I136" s="2" t="s">
        <v>14</v>
      </c>
      <c r="J136" s="2" t="str">
        <f>VLOOKUP(E136,[1]LL_Hub!$A$1:$B$13,2,FALSE)</f>
        <v>Los Angeles</v>
      </c>
      <c r="K136" t="str">
        <f>VLOOKUP(D136,'[2]product Table data'!$A$2:$B$12,2,FALSE)</f>
        <v>Female</v>
      </c>
      <c r="L136" t="str">
        <f>VLOOKUP($D136,'[2]product Table data'!$A$2:$G$12,L$1,FALSE)</f>
        <v>Fancy Sheek</v>
      </c>
      <c r="M136" t="str">
        <f>VLOOKUP($D136,'[2]product Table data'!$A$2:$G$12,M$1,FALSE)</f>
        <v>Afghanistan</v>
      </c>
      <c r="N136" t="str">
        <f>VLOOKUP($D136,'[2]product Table data'!$A$2:$G$12,N$1,FALSE)</f>
        <v>Middle East</v>
      </c>
      <c r="O136">
        <f>VLOOKUP($D136,'[2]product Table data'!$A$2:$G$12,O$1,FALSE)</f>
        <v>150</v>
      </c>
      <c r="P136">
        <f>VLOOKUP($D136,'[2]product Table data'!$A$2:$G$12,P$1,FALSE)</f>
        <v>75</v>
      </c>
      <c r="Q136">
        <f t="shared" si="10"/>
        <v>-75</v>
      </c>
      <c r="R136" t="str">
        <f t="shared" si="11"/>
        <v>Hub Risk</v>
      </c>
      <c r="S136" t="str">
        <f t="shared" si="12"/>
        <v>Style Risk</v>
      </c>
      <c r="T136" t="str">
        <f t="shared" si="13"/>
        <v>Risk</v>
      </c>
      <c r="U136" t="str">
        <f t="shared" si="14"/>
        <v>Low Value</v>
      </c>
    </row>
    <row r="137" spans="1:21" hidden="1" x14ac:dyDescent="0.2">
      <c r="A137" s="2">
        <v>697</v>
      </c>
      <c r="B137" s="2" t="s">
        <v>9</v>
      </c>
      <c r="C137" s="2" t="s">
        <v>193</v>
      </c>
      <c r="D137" s="2" t="s">
        <v>19</v>
      </c>
      <c r="E137" s="2">
        <v>10022</v>
      </c>
      <c r="F137" s="2" t="s">
        <v>194</v>
      </c>
      <c r="G137" s="2" t="s">
        <v>13</v>
      </c>
      <c r="H137" s="2">
        <v>1</v>
      </c>
      <c r="I137" s="2" t="s">
        <v>17</v>
      </c>
      <c r="J137" s="2" t="str">
        <f>VLOOKUP(E137,[1]LL_Hub!$A$1:$B$13,2,FALSE)</f>
        <v>New York</v>
      </c>
      <c r="K137" t="str">
        <f>VLOOKUP(D137,'[2]product Table data'!$A$2:$B$12,2,FALSE)</f>
        <v>Male</v>
      </c>
      <c r="L137" t="str">
        <f>VLOOKUP($D137,'[2]product Table data'!$A$2:$G$12,L$1,FALSE)</f>
        <v>Casual n Light</v>
      </c>
      <c r="M137" t="str">
        <f>VLOOKUP($D137,'[2]product Table data'!$A$2:$G$12,M$1,FALSE)</f>
        <v>Kenya</v>
      </c>
      <c r="N137" t="str">
        <f>VLOOKUP($D137,'[2]product Table data'!$A$2:$G$12,N$1,FALSE)</f>
        <v>Africa</v>
      </c>
      <c r="O137">
        <f>VLOOKUP($D137,'[2]product Table data'!$A$2:$G$12,O$1,FALSE)</f>
        <v>15</v>
      </c>
      <c r="P137">
        <f>VLOOKUP($D137,'[2]product Table data'!$A$2:$G$12,P$1,FALSE)</f>
        <v>30</v>
      </c>
      <c r="Q137">
        <f t="shared" si="10"/>
        <v>15</v>
      </c>
      <c r="R137" t="str">
        <f t="shared" si="11"/>
        <v>-</v>
      </c>
      <c r="S137" t="str">
        <f t="shared" si="12"/>
        <v>Style Risk</v>
      </c>
      <c r="T137" t="str">
        <f t="shared" si="13"/>
        <v>-</v>
      </c>
      <c r="U137" t="str">
        <f t="shared" si="14"/>
        <v>High Value</v>
      </c>
    </row>
    <row r="138" spans="1:21" hidden="1" x14ac:dyDescent="0.2">
      <c r="A138" s="2">
        <v>698</v>
      </c>
      <c r="B138" s="2" t="s">
        <v>9</v>
      </c>
      <c r="C138" s="2" t="s">
        <v>195</v>
      </c>
      <c r="D138" s="2" t="s">
        <v>19</v>
      </c>
      <c r="E138" s="2">
        <v>10022</v>
      </c>
      <c r="F138" s="2" t="s">
        <v>35</v>
      </c>
      <c r="G138" s="2" t="s">
        <v>36</v>
      </c>
      <c r="H138" s="2">
        <v>1</v>
      </c>
      <c r="I138" s="2" t="s">
        <v>17</v>
      </c>
      <c r="J138" s="2" t="str">
        <f>VLOOKUP(E138,[1]LL_Hub!$A$1:$B$13,2,FALSE)</f>
        <v>New York</v>
      </c>
      <c r="K138" t="str">
        <f>VLOOKUP(D138,'[2]product Table data'!$A$2:$B$12,2,FALSE)</f>
        <v>Male</v>
      </c>
      <c r="L138" t="str">
        <f>VLOOKUP($D138,'[2]product Table data'!$A$2:$G$12,L$1,FALSE)</f>
        <v>Casual n Light</v>
      </c>
      <c r="M138" t="str">
        <f>VLOOKUP($D138,'[2]product Table data'!$A$2:$G$12,M$1,FALSE)</f>
        <v>Kenya</v>
      </c>
      <c r="N138" t="str">
        <f>VLOOKUP($D138,'[2]product Table data'!$A$2:$G$12,N$1,FALSE)</f>
        <v>Africa</v>
      </c>
      <c r="O138">
        <f>VLOOKUP($D138,'[2]product Table data'!$A$2:$G$12,O$1,FALSE)</f>
        <v>15</v>
      </c>
      <c r="P138">
        <f>VLOOKUP($D138,'[2]product Table data'!$A$2:$G$12,P$1,FALSE)</f>
        <v>30</v>
      </c>
      <c r="Q138">
        <f t="shared" si="10"/>
        <v>15</v>
      </c>
      <c r="R138" t="str">
        <f t="shared" si="11"/>
        <v>-</v>
      </c>
      <c r="S138" t="str">
        <f t="shared" si="12"/>
        <v>Style Risk</v>
      </c>
      <c r="T138" t="str">
        <f t="shared" si="13"/>
        <v>-</v>
      </c>
      <c r="U138" t="str">
        <f t="shared" si="14"/>
        <v>High Value</v>
      </c>
    </row>
    <row r="139" spans="1:21" hidden="1" x14ac:dyDescent="0.2">
      <c r="A139" s="2">
        <v>699</v>
      </c>
      <c r="B139" s="2" t="s">
        <v>9</v>
      </c>
      <c r="C139" s="2" t="s">
        <v>196</v>
      </c>
      <c r="D139" s="2" t="s">
        <v>19</v>
      </c>
      <c r="E139" s="2">
        <v>10022</v>
      </c>
      <c r="F139" s="2" t="s">
        <v>35</v>
      </c>
      <c r="G139" s="2" t="s">
        <v>36</v>
      </c>
      <c r="H139" s="2">
        <v>1</v>
      </c>
      <c r="I139" s="2" t="s">
        <v>17</v>
      </c>
      <c r="J139" s="2" t="str">
        <f>VLOOKUP(E139,[1]LL_Hub!$A$1:$B$13,2,FALSE)</f>
        <v>New York</v>
      </c>
      <c r="K139" t="str">
        <f>VLOOKUP(D139,'[2]product Table data'!$A$2:$B$12,2,FALSE)</f>
        <v>Male</v>
      </c>
      <c r="L139" t="str">
        <f>VLOOKUP($D139,'[2]product Table data'!$A$2:$G$12,L$1,FALSE)</f>
        <v>Casual n Light</v>
      </c>
      <c r="M139" t="str">
        <f>VLOOKUP($D139,'[2]product Table data'!$A$2:$G$12,M$1,FALSE)</f>
        <v>Kenya</v>
      </c>
      <c r="N139" t="str">
        <f>VLOOKUP($D139,'[2]product Table data'!$A$2:$G$12,N$1,FALSE)</f>
        <v>Africa</v>
      </c>
      <c r="O139">
        <f>VLOOKUP($D139,'[2]product Table data'!$A$2:$G$12,O$1,FALSE)</f>
        <v>15</v>
      </c>
      <c r="P139">
        <f>VLOOKUP($D139,'[2]product Table data'!$A$2:$G$12,P$1,FALSE)</f>
        <v>30</v>
      </c>
      <c r="Q139">
        <f t="shared" si="10"/>
        <v>15</v>
      </c>
      <c r="R139" t="str">
        <f t="shared" si="11"/>
        <v>-</v>
      </c>
      <c r="S139" t="str">
        <f t="shared" si="12"/>
        <v>Style Risk</v>
      </c>
      <c r="T139" t="str">
        <f t="shared" si="13"/>
        <v>-</v>
      </c>
      <c r="U139" t="str">
        <f t="shared" si="14"/>
        <v>High Value</v>
      </c>
    </row>
    <row r="140" spans="1:21" hidden="1" x14ac:dyDescent="0.2">
      <c r="A140" s="2">
        <v>700</v>
      </c>
      <c r="B140" s="2" t="s">
        <v>9</v>
      </c>
      <c r="C140" s="2" t="s">
        <v>197</v>
      </c>
      <c r="D140" s="2" t="s">
        <v>19</v>
      </c>
      <c r="E140" s="2">
        <v>10022</v>
      </c>
      <c r="F140" s="2" t="s">
        <v>35</v>
      </c>
      <c r="G140" s="2" t="s">
        <v>36</v>
      </c>
      <c r="H140" s="2">
        <v>1</v>
      </c>
      <c r="I140" s="2" t="s">
        <v>17</v>
      </c>
      <c r="J140" s="2" t="str">
        <f>VLOOKUP(E140,[1]LL_Hub!$A$1:$B$13,2,FALSE)</f>
        <v>New York</v>
      </c>
      <c r="K140" t="str">
        <f>VLOOKUP(D140,'[2]product Table data'!$A$2:$B$12,2,FALSE)</f>
        <v>Male</v>
      </c>
      <c r="L140" t="str">
        <f>VLOOKUP($D140,'[2]product Table data'!$A$2:$G$12,L$1,FALSE)</f>
        <v>Casual n Light</v>
      </c>
      <c r="M140" t="str">
        <f>VLOOKUP($D140,'[2]product Table data'!$A$2:$G$12,M$1,FALSE)</f>
        <v>Kenya</v>
      </c>
      <c r="N140" t="str">
        <f>VLOOKUP($D140,'[2]product Table data'!$A$2:$G$12,N$1,FALSE)</f>
        <v>Africa</v>
      </c>
      <c r="O140">
        <f>VLOOKUP($D140,'[2]product Table data'!$A$2:$G$12,O$1,FALSE)</f>
        <v>15</v>
      </c>
      <c r="P140">
        <f>VLOOKUP($D140,'[2]product Table data'!$A$2:$G$12,P$1,FALSE)</f>
        <v>30</v>
      </c>
      <c r="Q140">
        <f t="shared" si="10"/>
        <v>15</v>
      </c>
      <c r="R140" t="str">
        <f t="shared" si="11"/>
        <v>-</v>
      </c>
      <c r="S140" t="str">
        <f t="shared" si="12"/>
        <v>Style Risk</v>
      </c>
      <c r="T140" t="str">
        <f t="shared" si="13"/>
        <v>-</v>
      </c>
      <c r="U140" t="str">
        <f t="shared" si="14"/>
        <v>High Value</v>
      </c>
    </row>
    <row r="141" spans="1:21" hidden="1" x14ac:dyDescent="0.2">
      <c r="A141" s="2">
        <v>701</v>
      </c>
      <c r="B141" s="2" t="s">
        <v>9</v>
      </c>
      <c r="C141" s="2" t="s">
        <v>198</v>
      </c>
      <c r="D141" s="2" t="s">
        <v>19</v>
      </c>
      <c r="E141" s="2">
        <v>10022</v>
      </c>
      <c r="F141" s="2" t="s">
        <v>35</v>
      </c>
      <c r="G141" s="2" t="s">
        <v>36</v>
      </c>
      <c r="H141" s="2">
        <v>1</v>
      </c>
      <c r="I141" s="2" t="s">
        <v>17</v>
      </c>
      <c r="J141" s="2" t="str">
        <f>VLOOKUP(E141,[1]LL_Hub!$A$1:$B$13,2,FALSE)</f>
        <v>New York</v>
      </c>
      <c r="K141" t="str">
        <f>VLOOKUP(D141,'[2]product Table data'!$A$2:$B$12,2,FALSE)</f>
        <v>Male</v>
      </c>
      <c r="L141" t="str">
        <f>VLOOKUP($D141,'[2]product Table data'!$A$2:$G$12,L$1,FALSE)</f>
        <v>Casual n Light</v>
      </c>
      <c r="M141" t="str">
        <f>VLOOKUP($D141,'[2]product Table data'!$A$2:$G$12,M$1,FALSE)</f>
        <v>Kenya</v>
      </c>
      <c r="N141" t="str">
        <f>VLOOKUP($D141,'[2]product Table data'!$A$2:$G$12,N$1,FALSE)</f>
        <v>Africa</v>
      </c>
      <c r="O141">
        <f>VLOOKUP($D141,'[2]product Table data'!$A$2:$G$12,O$1,FALSE)</f>
        <v>15</v>
      </c>
      <c r="P141">
        <f>VLOOKUP($D141,'[2]product Table data'!$A$2:$G$12,P$1,FALSE)</f>
        <v>30</v>
      </c>
      <c r="Q141">
        <f t="shared" si="10"/>
        <v>15</v>
      </c>
      <c r="R141" t="str">
        <f t="shared" si="11"/>
        <v>-</v>
      </c>
      <c r="S141" t="str">
        <f t="shared" si="12"/>
        <v>Style Risk</v>
      </c>
      <c r="T141" t="str">
        <f t="shared" si="13"/>
        <v>-</v>
      </c>
      <c r="U141" t="str">
        <f t="shared" si="14"/>
        <v>High Value</v>
      </c>
    </row>
    <row r="142" spans="1:21" hidden="1" x14ac:dyDescent="0.2">
      <c r="A142" s="2">
        <v>702</v>
      </c>
      <c r="B142" s="2" t="s">
        <v>9</v>
      </c>
      <c r="C142" s="2" t="s">
        <v>199</v>
      </c>
      <c r="D142" s="2" t="s">
        <v>19</v>
      </c>
      <c r="E142" s="2">
        <v>10022</v>
      </c>
      <c r="F142" s="2" t="s">
        <v>35</v>
      </c>
      <c r="G142" s="2" t="s">
        <v>36</v>
      </c>
      <c r="H142" s="2">
        <v>1</v>
      </c>
      <c r="I142" s="2" t="s">
        <v>17</v>
      </c>
      <c r="J142" s="2" t="str">
        <f>VLOOKUP(E142,[1]LL_Hub!$A$1:$B$13,2,FALSE)</f>
        <v>New York</v>
      </c>
      <c r="K142" t="str">
        <f>VLOOKUP(D142,'[2]product Table data'!$A$2:$B$12,2,FALSE)</f>
        <v>Male</v>
      </c>
      <c r="L142" t="str">
        <f>VLOOKUP($D142,'[2]product Table data'!$A$2:$G$12,L$1,FALSE)</f>
        <v>Casual n Light</v>
      </c>
      <c r="M142" t="str">
        <f>VLOOKUP($D142,'[2]product Table data'!$A$2:$G$12,M$1,FALSE)</f>
        <v>Kenya</v>
      </c>
      <c r="N142" t="str">
        <f>VLOOKUP($D142,'[2]product Table data'!$A$2:$G$12,N$1,FALSE)</f>
        <v>Africa</v>
      </c>
      <c r="O142">
        <f>VLOOKUP($D142,'[2]product Table data'!$A$2:$G$12,O$1,FALSE)</f>
        <v>15</v>
      </c>
      <c r="P142">
        <f>VLOOKUP($D142,'[2]product Table data'!$A$2:$G$12,P$1,FALSE)</f>
        <v>30</v>
      </c>
      <c r="Q142">
        <f t="shared" si="10"/>
        <v>15</v>
      </c>
      <c r="R142" t="str">
        <f t="shared" si="11"/>
        <v>-</v>
      </c>
      <c r="S142" t="str">
        <f t="shared" si="12"/>
        <v>Style Risk</v>
      </c>
      <c r="T142" t="str">
        <f t="shared" si="13"/>
        <v>-</v>
      </c>
      <c r="U142" t="str">
        <f t="shared" si="14"/>
        <v>High Value</v>
      </c>
    </row>
    <row r="143" spans="1:21" hidden="1" x14ac:dyDescent="0.2">
      <c r="A143" s="2">
        <v>703</v>
      </c>
      <c r="B143" s="2" t="s">
        <v>9</v>
      </c>
      <c r="C143" s="2" t="s">
        <v>200</v>
      </c>
      <c r="D143" s="2" t="s">
        <v>19</v>
      </c>
      <c r="E143" s="2">
        <v>10022</v>
      </c>
      <c r="F143" s="2" t="s">
        <v>35</v>
      </c>
      <c r="G143" s="2" t="s">
        <v>36</v>
      </c>
      <c r="H143" s="2">
        <v>1</v>
      </c>
      <c r="I143" s="2" t="s">
        <v>17</v>
      </c>
      <c r="J143" s="2" t="str">
        <f>VLOOKUP(E143,[1]LL_Hub!$A$1:$B$13,2,FALSE)</f>
        <v>New York</v>
      </c>
      <c r="K143" t="str">
        <f>VLOOKUP(D143,'[2]product Table data'!$A$2:$B$12,2,FALSE)</f>
        <v>Male</v>
      </c>
      <c r="L143" t="str">
        <f>VLOOKUP($D143,'[2]product Table data'!$A$2:$G$12,L$1,FALSE)</f>
        <v>Casual n Light</v>
      </c>
      <c r="M143" t="str">
        <f>VLOOKUP($D143,'[2]product Table data'!$A$2:$G$12,M$1,FALSE)</f>
        <v>Kenya</v>
      </c>
      <c r="N143" t="str">
        <f>VLOOKUP($D143,'[2]product Table data'!$A$2:$G$12,N$1,FALSE)</f>
        <v>Africa</v>
      </c>
      <c r="O143">
        <f>VLOOKUP($D143,'[2]product Table data'!$A$2:$G$12,O$1,FALSE)</f>
        <v>15</v>
      </c>
      <c r="P143">
        <f>VLOOKUP($D143,'[2]product Table data'!$A$2:$G$12,P$1,FALSE)</f>
        <v>30</v>
      </c>
      <c r="Q143">
        <f t="shared" si="10"/>
        <v>15</v>
      </c>
      <c r="R143" t="str">
        <f t="shared" si="11"/>
        <v>-</v>
      </c>
      <c r="S143" t="str">
        <f t="shared" si="12"/>
        <v>Style Risk</v>
      </c>
      <c r="T143" t="str">
        <f t="shared" si="13"/>
        <v>-</v>
      </c>
      <c r="U143" t="str">
        <f t="shared" si="14"/>
        <v>High Value</v>
      </c>
    </row>
    <row r="144" spans="1:21" hidden="1" x14ac:dyDescent="0.2">
      <c r="A144" s="2">
        <v>704</v>
      </c>
      <c r="B144" s="2" t="s">
        <v>9</v>
      </c>
      <c r="C144" s="2" t="s">
        <v>201</v>
      </c>
      <c r="D144" s="2" t="s">
        <v>19</v>
      </c>
      <c r="E144" s="2">
        <v>10022</v>
      </c>
      <c r="F144" s="2" t="s">
        <v>35</v>
      </c>
      <c r="G144" s="2" t="s">
        <v>36</v>
      </c>
      <c r="H144" s="2">
        <v>1</v>
      </c>
      <c r="I144" s="2" t="s">
        <v>17</v>
      </c>
      <c r="J144" s="2" t="str">
        <f>VLOOKUP(E144,[1]LL_Hub!$A$1:$B$13,2,FALSE)</f>
        <v>New York</v>
      </c>
      <c r="K144" t="str">
        <f>VLOOKUP(D144,'[2]product Table data'!$A$2:$B$12,2,FALSE)</f>
        <v>Male</v>
      </c>
      <c r="L144" t="str">
        <f>VLOOKUP($D144,'[2]product Table data'!$A$2:$G$12,L$1,FALSE)</f>
        <v>Casual n Light</v>
      </c>
      <c r="M144" t="str">
        <f>VLOOKUP($D144,'[2]product Table data'!$A$2:$G$12,M$1,FALSE)</f>
        <v>Kenya</v>
      </c>
      <c r="N144" t="str">
        <f>VLOOKUP($D144,'[2]product Table data'!$A$2:$G$12,N$1,FALSE)</f>
        <v>Africa</v>
      </c>
      <c r="O144">
        <f>VLOOKUP($D144,'[2]product Table data'!$A$2:$G$12,O$1,FALSE)</f>
        <v>15</v>
      </c>
      <c r="P144">
        <f>VLOOKUP($D144,'[2]product Table data'!$A$2:$G$12,P$1,FALSE)</f>
        <v>30</v>
      </c>
      <c r="Q144">
        <f t="shared" si="10"/>
        <v>15</v>
      </c>
      <c r="R144" t="str">
        <f t="shared" si="11"/>
        <v>-</v>
      </c>
      <c r="S144" t="str">
        <f t="shared" si="12"/>
        <v>Style Risk</v>
      </c>
      <c r="T144" t="str">
        <f t="shared" si="13"/>
        <v>-</v>
      </c>
      <c r="U144" t="str">
        <f t="shared" si="14"/>
        <v>High Value</v>
      </c>
    </row>
    <row r="145" spans="1:21" hidden="1" x14ac:dyDescent="0.2">
      <c r="A145" s="2">
        <v>705</v>
      </c>
      <c r="B145" s="2" t="s">
        <v>9</v>
      </c>
      <c r="C145" s="2" t="s">
        <v>202</v>
      </c>
      <c r="D145" s="2" t="s">
        <v>19</v>
      </c>
      <c r="E145" s="2">
        <v>10022</v>
      </c>
      <c r="F145" s="2" t="s">
        <v>35</v>
      </c>
      <c r="G145" s="2" t="s">
        <v>36</v>
      </c>
      <c r="H145" s="2">
        <v>1</v>
      </c>
      <c r="I145" s="2" t="s">
        <v>17</v>
      </c>
      <c r="J145" s="2" t="str">
        <f>VLOOKUP(E145,[1]LL_Hub!$A$1:$B$13,2,FALSE)</f>
        <v>New York</v>
      </c>
      <c r="K145" t="str">
        <f>VLOOKUP(D145,'[2]product Table data'!$A$2:$B$12,2,FALSE)</f>
        <v>Male</v>
      </c>
      <c r="L145" t="str">
        <f>VLOOKUP($D145,'[2]product Table data'!$A$2:$G$12,L$1,FALSE)</f>
        <v>Casual n Light</v>
      </c>
      <c r="M145" t="str">
        <f>VLOOKUP($D145,'[2]product Table data'!$A$2:$G$12,M$1,FALSE)</f>
        <v>Kenya</v>
      </c>
      <c r="N145" t="str">
        <f>VLOOKUP($D145,'[2]product Table data'!$A$2:$G$12,N$1,FALSE)</f>
        <v>Africa</v>
      </c>
      <c r="O145">
        <f>VLOOKUP($D145,'[2]product Table data'!$A$2:$G$12,O$1,FALSE)</f>
        <v>15</v>
      </c>
      <c r="P145">
        <f>VLOOKUP($D145,'[2]product Table data'!$A$2:$G$12,P$1,FALSE)</f>
        <v>30</v>
      </c>
      <c r="Q145">
        <f t="shared" si="10"/>
        <v>15</v>
      </c>
      <c r="R145" t="str">
        <f t="shared" si="11"/>
        <v>-</v>
      </c>
      <c r="S145" t="str">
        <f t="shared" si="12"/>
        <v>Style Risk</v>
      </c>
      <c r="T145" t="str">
        <f t="shared" si="13"/>
        <v>-</v>
      </c>
      <c r="U145" t="str">
        <f t="shared" si="14"/>
        <v>High Value</v>
      </c>
    </row>
    <row r="146" spans="1:21" hidden="1" x14ac:dyDescent="0.2">
      <c r="A146" s="2">
        <v>707</v>
      </c>
      <c r="B146" s="2" t="s">
        <v>9</v>
      </c>
      <c r="C146" s="2" t="s">
        <v>203</v>
      </c>
      <c r="D146" s="2" t="s">
        <v>19</v>
      </c>
      <c r="E146" s="2">
        <v>10022</v>
      </c>
      <c r="F146" s="2" t="s">
        <v>35</v>
      </c>
      <c r="G146" s="2" t="s">
        <v>36</v>
      </c>
      <c r="H146" s="2">
        <v>1</v>
      </c>
      <c r="I146" s="2" t="s">
        <v>17</v>
      </c>
      <c r="J146" s="2" t="str">
        <f>VLOOKUP(E146,[1]LL_Hub!$A$1:$B$13,2,FALSE)</f>
        <v>New York</v>
      </c>
      <c r="K146" t="str">
        <f>VLOOKUP(D146,'[2]product Table data'!$A$2:$B$12,2,FALSE)</f>
        <v>Male</v>
      </c>
      <c r="L146" t="str">
        <f>VLOOKUP($D146,'[2]product Table data'!$A$2:$G$12,L$1,FALSE)</f>
        <v>Casual n Light</v>
      </c>
      <c r="M146" t="str">
        <f>VLOOKUP($D146,'[2]product Table data'!$A$2:$G$12,M$1,FALSE)</f>
        <v>Kenya</v>
      </c>
      <c r="N146" t="str">
        <f>VLOOKUP($D146,'[2]product Table data'!$A$2:$G$12,N$1,FALSE)</f>
        <v>Africa</v>
      </c>
      <c r="O146">
        <f>VLOOKUP($D146,'[2]product Table data'!$A$2:$G$12,O$1,FALSE)</f>
        <v>15</v>
      </c>
      <c r="P146">
        <f>VLOOKUP($D146,'[2]product Table data'!$A$2:$G$12,P$1,FALSE)</f>
        <v>30</v>
      </c>
      <c r="Q146">
        <f t="shared" si="10"/>
        <v>15</v>
      </c>
      <c r="R146" t="str">
        <f t="shared" si="11"/>
        <v>-</v>
      </c>
      <c r="S146" t="str">
        <f t="shared" si="12"/>
        <v>Style Risk</v>
      </c>
      <c r="T146" t="str">
        <f t="shared" si="13"/>
        <v>-</v>
      </c>
      <c r="U146" t="str">
        <f t="shared" si="14"/>
        <v>High Value</v>
      </c>
    </row>
    <row r="147" spans="1:21" hidden="1" x14ac:dyDescent="0.2">
      <c r="A147" s="2">
        <v>709</v>
      </c>
      <c r="B147" s="2" t="s">
        <v>9</v>
      </c>
      <c r="C147" s="2" t="s">
        <v>204</v>
      </c>
      <c r="D147" s="2" t="s">
        <v>19</v>
      </c>
      <c r="E147" s="2">
        <v>10022</v>
      </c>
      <c r="F147" s="2" t="s">
        <v>35</v>
      </c>
      <c r="G147" s="2" t="s">
        <v>36</v>
      </c>
      <c r="H147" s="2">
        <v>1</v>
      </c>
      <c r="I147" s="2" t="s">
        <v>17</v>
      </c>
      <c r="J147" s="2" t="str">
        <f>VLOOKUP(E147,[1]LL_Hub!$A$1:$B$13,2,FALSE)</f>
        <v>New York</v>
      </c>
      <c r="K147" t="str">
        <f>VLOOKUP(D147,'[2]product Table data'!$A$2:$B$12,2,FALSE)</f>
        <v>Male</v>
      </c>
      <c r="L147" t="str">
        <f>VLOOKUP($D147,'[2]product Table data'!$A$2:$G$12,L$1,FALSE)</f>
        <v>Casual n Light</v>
      </c>
      <c r="M147" t="str">
        <f>VLOOKUP($D147,'[2]product Table data'!$A$2:$G$12,M$1,FALSE)</f>
        <v>Kenya</v>
      </c>
      <c r="N147" t="str">
        <f>VLOOKUP($D147,'[2]product Table data'!$A$2:$G$12,N$1,FALSE)</f>
        <v>Africa</v>
      </c>
      <c r="O147">
        <f>VLOOKUP($D147,'[2]product Table data'!$A$2:$G$12,O$1,FALSE)</f>
        <v>15</v>
      </c>
      <c r="P147">
        <f>VLOOKUP($D147,'[2]product Table data'!$A$2:$G$12,P$1,FALSE)</f>
        <v>30</v>
      </c>
      <c r="Q147">
        <f t="shared" si="10"/>
        <v>15</v>
      </c>
      <c r="R147" t="str">
        <f t="shared" si="11"/>
        <v>-</v>
      </c>
      <c r="S147" t="str">
        <f t="shared" si="12"/>
        <v>Style Risk</v>
      </c>
      <c r="T147" t="str">
        <f t="shared" si="13"/>
        <v>-</v>
      </c>
      <c r="U147" t="str">
        <f t="shared" si="14"/>
        <v>High Value</v>
      </c>
    </row>
    <row r="148" spans="1:21" hidden="1" x14ac:dyDescent="0.2">
      <c r="A148" s="2">
        <v>710</v>
      </c>
      <c r="B148" s="2" t="s">
        <v>9</v>
      </c>
      <c r="C148" s="2" t="s">
        <v>205</v>
      </c>
      <c r="D148" s="2" t="s">
        <v>19</v>
      </c>
      <c r="E148" s="2">
        <v>10022</v>
      </c>
      <c r="F148" s="2" t="s">
        <v>35</v>
      </c>
      <c r="G148" s="2" t="s">
        <v>36</v>
      </c>
      <c r="H148" s="2">
        <v>1</v>
      </c>
      <c r="I148" s="2" t="s">
        <v>17</v>
      </c>
      <c r="J148" s="2" t="str">
        <f>VLOOKUP(E148,[1]LL_Hub!$A$1:$B$13,2,FALSE)</f>
        <v>New York</v>
      </c>
      <c r="K148" t="str">
        <f>VLOOKUP(D148,'[2]product Table data'!$A$2:$B$12,2,FALSE)</f>
        <v>Male</v>
      </c>
      <c r="L148" t="str">
        <f>VLOOKUP($D148,'[2]product Table data'!$A$2:$G$12,L$1,FALSE)</f>
        <v>Casual n Light</v>
      </c>
      <c r="M148" t="str">
        <f>VLOOKUP($D148,'[2]product Table data'!$A$2:$G$12,M$1,FALSE)</f>
        <v>Kenya</v>
      </c>
      <c r="N148" t="str">
        <f>VLOOKUP($D148,'[2]product Table data'!$A$2:$G$12,N$1,FALSE)</f>
        <v>Africa</v>
      </c>
      <c r="O148">
        <f>VLOOKUP($D148,'[2]product Table data'!$A$2:$G$12,O$1,FALSE)</f>
        <v>15</v>
      </c>
      <c r="P148">
        <f>VLOOKUP($D148,'[2]product Table data'!$A$2:$G$12,P$1,FALSE)</f>
        <v>30</v>
      </c>
      <c r="Q148">
        <f t="shared" si="10"/>
        <v>15</v>
      </c>
      <c r="R148" t="str">
        <f t="shared" si="11"/>
        <v>-</v>
      </c>
      <c r="S148" t="str">
        <f t="shared" si="12"/>
        <v>Style Risk</v>
      </c>
      <c r="T148" t="str">
        <f t="shared" si="13"/>
        <v>-</v>
      </c>
      <c r="U148" t="str">
        <f t="shared" si="14"/>
        <v>High Value</v>
      </c>
    </row>
    <row r="149" spans="1:21" hidden="1" x14ac:dyDescent="0.2">
      <c r="A149" s="2">
        <v>711</v>
      </c>
      <c r="B149" s="2" t="s">
        <v>9</v>
      </c>
      <c r="C149" s="2" t="s">
        <v>206</v>
      </c>
      <c r="D149" s="2" t="s">
        <v>19</v>
      </c>
      <c r="E149" s="2">
        <v>10022</v>
      </c>
      <c r="F149" s="2" t="s">
        <v>35</v>
      </c>
      <c r="G149" s="2" t="s">
        <v>36</v>
      </c>
      <c r="H149" s="2">
        <v>1</v>
      </c>
      <c r="I149" s="2" t="s">
        <v>17</v>
      </c>
      <c r="J149" s="2" t="str">
        <f>VLOOKUP(E149,[1]LL_Hub!$A$1:$B$13,2,FALSE)</f>
        <v>New York</v>
      </c>
      <c r="K149" t="str">
        <f>VLOOKUP(D149,'[2]product Table data'!$A$2:$B$12,2,FALSE)</f>
        <v>Male</v>
      </c>
      <c r="L149" t="str">
        <f>VLOOKUP($D149,'[2]product Table data'!$A$2:$G$12,L$1,FALSE)</f>
        <v>Casual n Light</v>
      </c>
      <c r="M149" t="str">
        <f>VLOOKUP($D149,'[2]product Table data'!$A$2:$G$12,M$1,FALSE)</f>
        <v>Kenya</v>
      </c>
      <c r="N149" t="str">
        <f>VLOOKUP($D149,'[2]product Table data'!$A$2:$G$12,N$1,FALSE)</f>
        <v>Africa</v>
      </c>
      <c r="O149">
        <f>VLOOKUP($D149,'[2]product Table data'!$A$2:$G$12,O$1,FALSE)</f>
        <v>15</v>
      </c>
      <c r="P149">
        <f>VLOOKUP($D149,'[2]product Table data'!$A$2:$G$12,P$1,FALSE)</f>
        <v>30</v>
      </c>
      <c r="Q149">
        <f t="shared" si="10"/>
        <v>15</v>
      </c>
      <c r="R149" t="str">
        <f t="shared" si="11"/>
        <v>-</v>
      </c>
      <c r="S149" t="str">
        <f t="shared" si="12"/>
        <v>Style Risk</v>
      </c>
      <c r="T149" t="str">
        <f t="shared" si="13"/>
        <v>-</v>
      </c>
      <c r="U149" t="str">
        <f t="shared" si="14"/>
        <v>High Value</v>
      </c>
    </row>
    <row r="150" spans="1:21" hidden="1" x14ac:dyDescent="0.2">
      <c r="A150" s="2">
        <v>712</v>
      </c>
      <c r="B150" s="2" t="s">
        <v>9</v>
      </c>
      <c r="C150" s="2" t="s">
        <v>207</v>
      </c>
      <c r="D150" s="2" t="s">
        <v>19</v>
      </c>
      <c r="E150" s="2">
        <v>10022</v>
      </c>
      <c r="F150" s="2" t="s">
        <v>35</v>
      </c>
      <c r="G150" s="2" t="s">
        <v>36</v>
      </c>
      <c r="H150" s="2">
        <v>1</v>
      </c>
      <c r="I150" s="2" t="s">
        <v>17</v>
      </c>
      <c r="J150" s="2" t="str">
        <f>VLOOKUP(E150,[1]LL_Hub!$A$1:$B$13,2,FALSE)</f>
        <v>New York</v>
      </c>
      <c r="K150" t="str">
        <f>VLOOKUP(D150,'[2]product Table data'!$A$2:$B$12,2,FALSE)</f>
        <v>Male</v>
      </c>
      <c r="L150" t="str">
        <f>VLOOKUP($D150,'[2]product Table data'!$A$2:$G$12,L$1,FALSE)</f>
        <v>Casual n Light</v>
      </c>
      <c r="M150" t="str">
        <f>VLOOKUP($D150,'[2]product Table data'!$A$2:$G$12,M$1,FALSE)</f>
        <v>Kenya</v>
      </c>
      <c r="N150" t="str">
        <f>VLOOKUP($D150,'[2]product Table data'!$A$2:$G$12,N$1,FALSE)</f>
        <v>Africa</v>
      </c>
      <c r="O150">
        <f>VLOOKUP($D150,'[2]product Table data'!$A$2:$G$12,O$1,FALSE)</f>
        <v>15</v>
      </c>
      <c r="P150">
        <f>VLOOKUP($D150,'[2]product Table data'!$A$2:$G$12,P$1,FALSE)</f>
        <v>30</v>
      </c>
      <c r="Q150">
        <f t="shared" si="10"/>
        <v>15</v>
      </c>
      <c r="R150" t="str">
        <f t="shared" si="11"/>
        <v>-</v>
      </c>
      <c r="S150" t="str">
        <f t="shared" si="12"/>
        <v>Style Risk</v>
      </c>
      <c r="T150" t="str">
        <f t="shared" si="13"/>
        <v>-</v>
      </c>
      <c r="U150" t="str">
        <f t="shared" si="14"/>
        <v>High Value</v>
      </c>
    </row>
    <row r="151" spans="1:21" hidden="1" x14ac:dyDescent="0.2">
      <c r="A151" s="2">
        <v>713</v>
      </c>
      <c r="B151" s="2" t="s">
        <v>9</v>
      </c>
      <c r="C151" s="2" t="s">
        <v>208</v>
      </c>
      <c r="D151" s="2" t="s">
        <v>19</v>
      </c>
      <c r="E151" s="2">
        <v>10022</v>
      </c>
      <c r="F151" s="2" t="s">
        <v>35</v>
      </c>
      <c r="G151" s="2" t="s">
        <v>36</v>
      </c>
      <c r="H151" s="2">
        <v>1</v>
      </c>
      <c r="I151" s="2" t="s">
        <v>17</v>
      </c>
      <c r="J151" s="2" t="str">
        <f>VLOOKUP(E151,[1]LL_Hub!$A$1:$B$13,2,FALSE)</f>
        <v>New York</v>
      </c>
      <c r="K151" t="str">
        <f>VLOOKUP(D151,'[2]product Table data'!$A$2:$B$12,2,FALSE)</f>
        <v>Male</v>
      </c>
      <c r="L151" t="str">
        <f>VLOOKUP($D151,'[2]product Table data'!$A$2:$G$12,L$1,FALSE)</f>
        <v>Casual n Light</v>
      </c>
      <c r="M151" t="str">
        <f>VLOOKUP($D151,'[2]product Table data'!$A$2:$G$12,M$1,FALSE)</f>
        <v>Kenya</v>
      </c>
      <c r="N151" t="str">
        <f>VLOOKUP($D151,'[2]product Table data'!$A$2:$G$12,N$1,FALSE)</f>
        <v>Africa</v>
      </c>
      <c r="O151">
        <f>VLOOKUP($D151,'[2]product Table data'!$A$2:$G$12,O$1,FALSE)</f>
        <v>15</v>
      </c>
      <c r="P151">
        <f>VLOOKUP($D151,'[2]product Table data'!$A$2:$G$12,P$1,FALSE)</f>
        <v>30</v>
      </c>
      <c r="Q151">
        <f t="shared" si="10"/>
        <v>15</v>
      </c>
      <c r="R151" t="str">
        <f t="shared" si="11"/>
        <v>-</v>
      </c>
      <c r="S151" t="str">
        <f t="shared" si="12"/>
        <v>Style Risk</v>
      </c>
      <c r="T151" t="str">
        <f t="shared" si="13"/>
        <v>-</v>
      </c>
      <c r="U151" t="str">
        <f t="shared" si="14"/>
        <v>High Value</v>
      </c>
    </row>
    <row r="152" spans="1:21" hidden="1" x14ac:dyDescent="0.2">
      <c r="A152" s="2">
        <v>714</v>
      </c>
      <c r="B152" s="2" t="s">
        <v>9</v>
      </c>
      <c r="C152" s="2" t="s">
        <v>209</v>
      </c>
      <c r="D152" s="2" t="s">
        <v>19</v>
      </c>
      <c r="E152" s="2">
        <v>10022</v>
      </c>
      <c r="F152" s="2" t="s">
        <v>35</v>
      </c>
      <c r="G152" s="2" t="s">
        <v>36</v>
      </c>
      <c r="H152" s="2">
        <v>1</v>
      </c>
      <c r="I152" s="2" t="s">
        <v>17</v>
      </c>
      <c r="J152" s="2" t="str">
        <f>VLOOKUP(E152,[1]LL_Hub!$A$1:$B$13,2,FALSE)</f>
        <v>New York</v>
      </c>
      <c r="K152" t="str">
        <f>VLOOKUP(D152,'[2]product Table data'!$A$2:$B$12,2,FALSE)</f>
        <v>Male</v>
      </c>
      <c r="L152" t="str">
        <f>VLOOKUP($D152,'[2]product Table data'!$A$2:$G$12,L$1,FALSE)</f>
        <v>Casual n Light</v>
      </c>
      <c r="M152" t="str">
        <f>VLOOKUP($D152,'[2]product Table data'!$A$2:$G$12,M$1,FALSE)</f>
        <v>Kenya</v>
      </c>
      <c r="N152" t="str">
        <f>VLOOKUP($D152,'[2]product Table data'!$A$2:$G$12,N$1,FALSE)</f>
        <v>Africa</v>
      </c>
      <c r="O152">
        <f>VLOOKUP($D152,'[2]product Table data'!$A$2:$G$12,O$1,FALSE)</f>
        <v>15</v>
      </c>
      <c r="P152">
        <f>VLOOKUP($D152,'[2]product Table data'!$A$2:$G$12,P$1,FALSE)</f>
        <v>30</v>
      </c>
      <c r="Q152">
        <f t="shared" si="10"/>
        <v>15</v>
      </c>
      <c r="R152" t="str">
        <f t="shared" si="11"/>
        <v>-</v>
      </c>
      <c r="S152" t="str">
        <f t="shared" si="12"/>
        <v>Style Risk</v>
      </c>
      <c r="T152" t="str">
        <f t="shared" si="13"/>
        <v>-</v>
      </c>
      <c r="U152" t="str">
        <f t="shared" si="14"/>
        <v>High Value</v>
      </c>
    </row>
    <row r="153" spans="1:21" hidden="1" x14ac:dyDescent="0.2">
      <c r="A153" s="2">
        <v>715</v>
      </c>
      <c r="B153" s="2" t="s">
        <v>9</v>
      </c>
      <c r="C153" s="2" t="s">
        <v>210</v>
      </c>
      <c r="D153" s="2" t="s">
        <v>19</v>
      </c>
      <c r="E153" s="2">
        <v>10022</v>
      </c>
      <c r="F153" s="2" t="s">
        <v>35</v>
      </c>
      <c r="G153" s="2" t="s">
        <v>36</v>
      </c>
      <c r="H153" s="2">
        <v>1</v>
      </c>
      <c r="I153" s="2" t="s">
        <v>17</v>
      </c>
      <c r="J153" s="2" t="str">
        <f>VLOOKUP(E153,[1]LL_Hub!$A$1:$B$13,2,FALSE)</f>
        <v>New York</v>
      </c>
      <c r="K153" t="str">
        <f>VLOOKUP(D153,'[2]product Table data'!$A$2:$B$12,2,FALSE)</f>
        <v>Male</v>
      </c>
      <c r="L153" t="str">
        <f>VLOOKUP($D153,'[2]product Table data'!$A$2:$G$12,L$1,FALSE)</f>
        <v>Casual n Light</v>
      </c>
      <c r="M153" t="str">
        <f>VLOOKUP($D153,'[2]product Table data'!$A$2:$G$12,M$1,FALSE)</f>
        <v>Kenya</v>
      </c>
      <c r="N153" t="str">
        <f>VLOOKUP($D153,'[2]product Table data'!$A$2:$G$12,N$1,FALSE)</f>
        <v>Africa</v>
      </c>
      <c r="O153">
        <f>VLOOKUP($D153,'[2]product Table data'!$A$2:$G$12,O$1,FALSE)</f>
        <v>15</v>
      </c>
      <c r="P153">
        <f>VLOOKUP($D153,'[2]product Table data'!$A$2:$G$12,P$1,FALSE)</f>
        <v>30</v>
      </c>
      <c r="Q153">
        <f t="shared" si="10"/>
        <v>15</v>
      </c>
      <c r="R153" t="str">
        <f t="shared" si="11"/>
        <v>-</v>
      </c>
      <c r="S153" t="str">
        <f t="shared" si="12"/>
        <v>Style Risk</v>
      </c>
      <c r="T153" t="str">
        <f t="shared" si="13"/>
        <v>-</v>
      </c>
      <c r="U153" t="str">
        <f t="shared" si="14"/>
        <v>High Value</v>
      </c>
    </row>
    <row r="154" spans="1:21" hidden="1" x14ac:dyDescent="0.2">
      <c r="A154" s="2">
        <v>716</v>
      </c>
      <c r="B154" s="2" t="s">
        <v>9</v>
      </c>
      <c r="C154" s="2" t="s">
        <v>211</v>
      </c>
      <c r="D154" s="2" t="s">
        <v>19</v>
      </c>
      <c r="E154" s="2">
        <v>10022</v>
      </c>
      <c r="F154" s="2" t="s">
        <v>35</v>
      </c>
      <c r="G154" s="2" t="s">
        <v>36</v>
      </c>
      <c r="H154" s="2">
        <v>1</v>
      </c>
      <c r="I154" s="2" t="s">
        <v>17</v>
      </c>
      <c r="J154" s="2" t="str">
        <f>VLOOKUP(E154,[1]LL_Hub!$A$1:$B$13,2,FALSE)</f>
        <v>New York</v>
      </c>
      <c r="K154" t="str">
        <f>VLOOKUP(D154,'[2]product Table data'!$A$2:$B$12,2,FALSE)</f>
        <v>Male</v>
      </c>
      <c r="L154" t="str">
        <f>VLOOKUP($D154,'[2]product Table data'!$A$2:$G$12,L$1,FALSE)</f>
        <v>Casual n Light</v>
      </c>
      <c r="M154" t="str">
        <f>VLOOKUP($D154,'[2]product Table data'!$A$2:$G$12,M$1,FALSE)</f>
        <v>Kenya</v>
      </c>
      <c r="N154" t="str">
        <f>VLOOKUP($D154,'[2]product Table data'!$A$2:$G$12,N$1,FALSE)</f>
        <v>Africa</v>
      </c>
      <c r="O154">
        <f>VLOOKUP($D154,'[2]product Table data'!$A$2:$G$12,O$1,FALSE)</f>
        <v>15</v>
      </c>
      <c r="P154">
        <f>VLOOKUP($D154,'[2]product Table data'!$A$2:$G$12,P$1,FALSE)</f>
        <v>30</v>
      </c>
      <c r="Q154">
        <f t="shared" si="10"/>
        <v>15</v>
      </c>
      <c r="R154" t="str">
        <f t="shared" si="11"/>
        <v>-</v>
      </c>
      <c r="S154" t="str">
        <f t="shared" si="12"/>
        <v>Style Risk</v>
      </c>
      <c r="T154" t="str">
        <f t="shared" si="13"/>
        <v>-</v>
      </c>
      <c r="U154" t="str">
        <f t="shared" si="14"/>
        <v>High Value</v>
      </c>
    </row>
    <row r="155" spans="1:21" hidden="1" x14ac:dyDescent="0.2">
      <c r="A155" s="2">
        <v>717</v>
      </c>
      <c r="B155" s="2" t="s">
        <v>9</v>
      </c>
      <c r="C155" s="2" t="s">
        <v>212</v>
      </c>
      <c r="D155" s="2" t="s">
        <v>19</v>
      </c>
      <c r="E155" s="2">
        <v>10022</v>
      </c>
      <c r="F155" s="2" t="s">
        <v>35</v>
      </c>
      <c r="G155" s="2" t="s">
        <v>36</v>
      </c>
      <c r="H155" s="2">
        <v>1</v>
      </c>
      <c r="I155" s="2" t="s">
        <v>17</v>
      </c>
      <c r="J155" s="2" t="str">
        <f>VLOOKUP(E155,[1]LL_Hub!$A$1:$B$13,2,FALSE)</f>
        <v>New York</v>
      </c>
      <c r="K155" t="str">
        <f>VLOOKUP(D155,'[2]product Table data'!$A$2:$B$12,2,FALSE)</f>
        <v>Male</v>
      </c>
      <c r="L155" t="str">
        <f>VLOOKUP($D155,'[2]product Table data'!$A$2:$G$12,L$1,FALSE)</f>
        <v>Casual n Light</v>
      </c>
      <c r="M155" t="str">
        <f>VLOOKUP($D155,'[2]product Table data'!$A$2:$G$12,M$1,FALSE)</f>
        <v>Kenya</v>
      </c>
      <c r="N155" t="str">
        <f>VLOOKUP($D155,'[2]product Table data'!$A$2:$G$12,N$1,FALSE)</f>
        <v>Africa</v>
      </c>
      <c r="O155">
        <f>VLOOKUP($D155,'[2]product Table data'!$A$2:$G$12,O$1,FALSE)</f>
        <v>15</v>
      </c>
      <c r="P155">
        <f>VLOOKUP($D155,'[2]product Table data'!$A$2:$G$12,P$1,FALSE)</f>
        <v>30</v>
      </c>
      <c r="Q155">
        <f t="shared" si="10"/>
        <v>15</v>
      </c>
      <c r="R155" t="str">
        <f t="shared" si="11"/>
        <v>-</v>
      </c>
      <c r="S155" t="str">
        <f t="shared" si="12"/>
        <v>Style Risk</v>
      </c>
      <c r="T155" t="str">
        <f t="shared" si="13"/>
        <v>-</v>
      </c>
      <c r="U155" t="str">
        <f t="shared" si="14"/>
        <v>High Value</v>
      </c>
    </row>
    <row r="156" spans="1:21" hidden="1" x14ac:dyDescent="0.2">
      <c r="A156" s="2">
        <v>718</v>
      </c>
      <c r="B156" s="2" t="s">
        <v>9</v>
      </c>
      <c r="C156" s="2" t="s">
        <v>213</v>
      </c>
      <c r="D156" s="2" t="s">
        <v>19</v>
      </c>
      <c r="E156" s="2">
        <v>10022</v>
      </c>
      <c r="F156" s="2" t="s">
        <v>35</v>
      </c>
      <c r="G156" s="2" t="s">
        <v>36</v>
      </c>
      <c r="H156" s="2">
        <v>1</v>
      </c>
      <c r="I156" s="2" t="s">
        <v>17</v>
      </c>
      <c r="J156" s="2" t="str">
        <f>VLOOKUP(E156,[1]LL_Hub!$A$1:$B$13,2,FALSE)</f>
        <v>New York</v>
      </c>
      <c r="K156" t="str">
        <f>VLOOKUP(D156,'[2]product Table data'!$A$2:$B$12,2,FALSE)</f>
        <v>Male</v>
      </c>
      <c r="L156" t="str">
        <f>VLOOKUP($D156,'[2]product Table data'!$A$2:$G$12,L$1,FALSE)</f>
        <v>Casual n Light</v>
      </c>
      <c r="M156" t="str">
        <f>VLOOKUP($D156,'[2]product Table data'!$A$2:$G$12,M$1,FALSE)</f>
        <v>Kenya</v>
      </c>
      <c r="N156" t="str">
        <f>VLOOKUP($D156,'[2]product Table data'!$A$2:$G$12,N$1,FALSE)</f>
        <v>Africa</v>
      </c>
      <c r="O156">
        <f>VLOOKUP($D156,'[2]product Table data'!$A$2:$G$12,O$1,FALSE)</f>
        <v>15</v>
      </c>
      <c r="P156">
        <f>VLOOKUP($D156,'[2]product Table data'!$A$2:$G$12,P$1,FALSE)</f>
        <v>30</v>
      </c>
      <c r="Q156">
        <f t="shared" si="10"/>
        <v>15</v>
      </c>
      <c r="R156" t="str">
        <f t="shared" si="11"/>
        <v>-</v>
      </c>
      <c r="S156" t="str">
        <f t="shared" si="12"/>
        <v>Style Risk</v>
      </c>
      <c r="T156" t="str">
        <f t="shared" si="13"/>
        <v>-</v>
      </c>
      <c r="U156" t="str">
        <f t="shared" si="14"/>
        <v>High Value</v>
      </c>
    </row>
    <row r="157" spans="1:21" hidden="1" x14ac:dyDescent="0.2">
      <c r="A157" s="2">
        <v>721</v>
      </c>
      <c r="B157" s="2" t="s">
        <v>9</v>
      </c>
      <c r="C157" s="2" t="s">
        <v>214</v>
      </c>
      <c r="D157" s="2" t="s">
        <v>19</v>
      </c>
      <c r="E157" s="2">
        <v>10022</v>
      </c>
      <c r="F157" s="2" t="s">
        <v>215</v>
      </c>
      <c r="G157" s="2" t="s">
        <v>13</v>
      </c>
      <c r="H157" s="2">
        <v>1</v>
      </c>
      <c r="I157" s="2" t="s">
        <v>17</v>
      </c>
      <c r="J157" s="2" t="str">
        <f>VLOOKUP(E157,[1]LL_Hub!$A$1:$B$13,2,FALSE)</f>
        <v>New York</v>
      </c>
      <c r="K157" t="str">
        <f>VLOOKUP(D157,'[2]product Table data'!$A$2:$B$12,2,FALSE)</f>
        <v>Male</v>
      </c>
      <c r="L157" t="str">
        <f>VLOOKUP($D157,'[2]product Table data'!$A$2:$G$12,L$1,FALSE)</f>
        <v>Casual n Light</v>
      </c>
      <c r="M157" t="str">
        <f>VLOOKUP($D157,'[2]product Table data'!$A$2:$G$12,M$1,FALSE)</f>
        <v>Kenya</v>
      </c>
      <c r="N157" t="str">
        <f>VLOOKUP($D157,'[2]product Table data'!$A$2:$G$12,N$1,FALSE)</f>
        <v>Africa</v>
      </c>
      <c r="O157">
        <f>VLOOKUP($D157,'[2]product Table data'!$A$2:$G$12,O$1,FALSE)</f>
        <v>15</v>
      </c>
      <c r="P157">
        <f>VLOOKUP($D157,'[2]product Table data'!$A$2:$G$12,P$1,FALSE)</f>
        <v>30</v>
      </c>
      <c r="Q157">
        <f t="shared" si="10"/>
        <v>15</v>
      </c>
      <c r="R157" t="str">
        <f t="shared" si="11"/>
        <v>-</v>
      </c>
      <c r="S157" t="str">
        <f t="shared" si="12"/>
        <v>Style Risk</v>
      </c>
      <c r="T157" t="str">
        <f t="shared" si="13"/>
        <v>-</v>
      </c>
      <c r="U157" t="str">
        <f t="shared" si="14"/>
        <v>High Value</v>
      </c>
    </row>
    <row r="158" spans="1:21" hidden="1" x14ac:dyDescent="0.2">
      <c r="A158" s="2">
        <v>726</v>
      </c>
      <c r="B158" s="2" t="s">
        <v>9</v>
      </c>
      <c r="C158" s="2" t="s">
        <v>216</v>
      </c>
      <c r="D158" s="2" t="s">
        <v>19</v>
      </c>
      <c r="E158" s="2">
        <v>10022</v>
      </c>
      <c r="F158" s="2" t="s">
        <v>217</v>
      </c>
      <c r="G158" s="2" t="s">
        <v>13</v>
      </c>
      <c r="H158" s="2">
        <v>1</v>
      </c>
      <c r="I158" s="2" t="s">
        <v>17</v>
      </c>
      <c r="J158" s="2" t="str">
        <f>VLOOKUP(E158,[1]LL_Hub!$A$1:$B$13,2,FALSE)</f>
        <v>New York</v>
      </c>
      <c r="K158" t="str">
        <f>VLOOKUP(D158,'[2]product Table data'!$A$2:$B$12,2,FALSE)</f>
        <v>Male</v>
      </c>
      <c r="L158" t="str">
        <f>VLOOKUP($D158,'[2]product Table data'!$A$2:$G$12,L$1,FALSE)</f>
        <v>Casual n Light</v>
      </c>
      <c r="M158" t="str">
        <f>VLOOKUP($D158,'[2]product Table data'!$A$2:$G$12,M$1,FALSE)</f>
        <v>Kenya</v>
      </c>
      <c r="N158" t="str">
        <f>VLOOKUP($D158,'[2]product Table data'!$A$2:$G$12,N$1,FALSE)</f>
        <v>Africa</v>
      </c>
      <c r="O158">
        <f>VLOOKUP($D158,'[2]product Table data'!$A$2:$G$12,O$1,FALSE)</f>
        <v>15</v>
      </c>
      <c r="P158">
        <f>VLOOKUP($D158,'[2]product Table data'!$A$2:$G$12,P$1,FALSE)</f>
        <v>30</v>
      </c>
      <c r="Q158">
        <f t="shared" si="10"/>
        <v>15</v>
      </c>
      <c r="R158" t="str">
        <f t="shared" si="11"/>
        <v>-</v>
      </c>
      <c r="S158" t="str">
        <f t="shared" si="12"/>
        <v>Style Risk</v>
      </c>
      <c r="T158" t="str">
        <f t="shared" si="13"/>
        <v>-</v>
      </c>
      <c r="U158" t="str">
        <f t="shared" si="14"/>
        <v>High Value</v>
      </c>
    </row>
    <row r="159" spans="1:21" hidden="1" x14ac:dyDescent="0.2">
      <c r="A159" s="2">
        <v>727</v>
      </c>
      <c r="B159" s="2" t="s">
        <v>9</v>
      </c>
      <c r="C159" s="2" t="s">
        <v>218</v>
      </c>
      <c r="D159" s="2" t="s">
        <v>19</v>
      </c>
      <c r="E159" s="2">
        <v>10022</v>
      </c>
      <c r="F159" s="2" t="s">
        <v>219</v>
      </c>
      <c r="G159" s="2" t="s">
        <v>13</v>
      </c>
      <c r="H159" s="2">
        <v>1</v>
      </c>
      <c r="I159" s="2" t="s">
        <v>17</v>
      </c>
      <c r="J159" s="2" t="str">
        <f>VLOOKUP(E159,[1]LL_Hub!$A$1:$B$13,2,FALSE)</f>
        <v>New York</v>
      </c>
      <c r="K159" t="str">
        <f>VLOOKUP(D159,'[2]product Table data'!$A$2:$B$12,2,FALSE)</f>
        <v>Male</v>
      </c>
      <c r="L159" t="str">
        <f>VLOOKUP($D159,'[2]product Table data'!$A$2:$G$12,L$1,FALSE)</f>
        <v>Casual n Light</v>
      </c>
      <c r="M159" t="str">
        <f>VLOOKUP($D159,'[2]product Table data'!$A$2:$G$12,M$1,FALSE)</f>
        <v>Kenya</v>
      </c>
      <c r="N159" t="str">
        <f>VLOOKUP($D159,'[2]product Table data'!$A$2:$G$12,N$1,FALSE)</f>
        <v>Africa</v>
      </c>
      <c r="O159">
        <f>VLOOKUP($D159,'[2]product Table data'!$A$2:$G$12,O$1,FALSE)</f>
        <v>15</v>
      </c>
      <c r="P159">
        <f>VLOOKUP($D159,'[2]product Table data'!$A$2:$G$12,P$1,FALSE)</f>
        <v>30</v>
      </c>
      <c r="Q159">
        <f t="shared" si="10"/>
        <v>15</v>
      </c>
      <c r="R159" t="str">
        <f t="shared" si="11"/>
        <v>-</v>
      </c>
      <c r="S159" t="str">
        <f t="shared" si="12"/>
        <v>Style Risk</v>
      </c>
      <c r="T159" t="str">
        <f t="shared" si="13"/>
        <v>-</v>
      </c>
      <c r="U159" t="str">
        <f t="shared" si="14"/>
        <v>High Value</v>
      </c>
    </row>
    <row r="160" spans="1:21" hidden="1" x14ac:dyDescent="0.2">
      <c r="A160" s="2">
        <v>728</v>
      </c>
      <c r="B160" s="2" t="s">
        <v>9</v>
      </c>
      <c r="C160" s="2" t="s">
        <v>220</v>
      </c>
      <c r="D160" s="2" t="s">
        <v>19</v>
      </c>
      <c r="E160" s="2">
        <v>10022</v>
      </c>
      <c r="F160" s="2" t="s">
        <v>221</v>
      </c>
      <c r="G160" s="2" t="s">
        <v>13</v>
      </c>
      <c r="H160" s="2">
        <v>1</v>
      </c>
      <c r="I160" s="2" t="s">
        <v>17</v>
      </c>
      <c r="J160" s="2" t="str">
        <f>VLOOKUP(E160,[1]LL_Hub!$A$1:$B$13,2,FALSE)</f>
        <v>New York</v>
      </c>
      <c r="K160" t="str">
        <f>VLOOKUP(D160,'[2]product Table data'!$A$2:$B$12,2,FALSE)</f>
        <v>Male</v>
      </c>
      <c r="L160" t="str">
        <f>VLOOKUP($D160,'[2]product Table data'!$A$2:$G$12,L$1,FALSE)</f>
        <v>Casual n Light</v>
      </c>
      <c r="M160" t="str">
        <f>VLOOKUP($D160,'[2]product Table data'!$A$2:$G$12,M$1,FALSE)</f>
        <v>Kenya</v>
      </c>
      <c r="N160" t="str">
        <f>VLOOKUP($D160,'[2]product Table data'!$A$2:$G$12,N$1,FALSE)</f>
        <v>Africa</v>
      </c>
      <c r="O160">
        <f>VLOOKUP($D160,'[2]product Table data'!$A$2:$G$12,O$1,FALSE)</f>
        <v>15</v>
      </c>
      <c r="P160">
        <f>VLOOKUP($D160,'[2]product Table data'!$A$2:$G$12,P$1,FALSE)</f>
        <v>30</v>
      </c>
      <c r="Q160">
        <f t="shared" si="10"/>
        <v>15</v>
      </c>
      <c r="R160" t="str">
        <f t="shared" si="11"/>
        <v>-</v>
      </c>
      <c r="S160" t="str">
        <f t="shared" si="12"/>
        <v>Style Risk</v>
      </c>
      <c r="T160" t="str">
        <f t="shared" si="13"/>
        <v>-</v>
      </c>
      <c r="U160" t="str">
        <f t="shared" si="14"/>
        <v>High Value</v>
      </c>
    </row>
    <row r="161" spans="1:21" hidden="1" x14ac:dyDescent="0.2">
      <c r="A161" s="2">
        <v>729</v>
      </c>
      <c r="B161" s="2" t="s">
        <v>9</v>
      </c>
      <c r="C161" s="2" t="s">
        <v>222</v>
      </c>
      <c r="D161" s="2" t="s">
        <v>19</v>
      </c>
      <c r="E161" s="2">
        <v>10022</v>
      </c>
      <c r="F161" s="2" t="s">
        <v>223</v>
      </c>
      <c r="G161" s="2" t="s">
        <v>13</v>
      </c>
      <c r="H161" s="2">
        <v>1</v>
      </c>
      <c r="I161" s="2" t="s">
        <v>17</v>
      </c>
      <c r="J161" s="2" t="str">
        <f>VLOOKUP(E161,[1]LL_Hub!$A$1:$B$13,2,FALSE)</f>
        <v>New York</v>
      </c>
      <c r="K161" t="str">
        <f>VLOOKUP(D161,'[2]product Table data'!$A$2:$B$12,2,FALSE)</f>
        <v>Male</v>
      </c>
      <c r="L161" t="str">
        <f>VLOOKUP($D161,'[2]product Table data'!$A$2:$G$12,L$1,FALSE)</f>
        <v>Casual n Light</v>
      </c>
      <c r="M161" t="str">
        <f>VLOOKUP($D161,'[2]product Table data'!$A$2:$G$12,M$1,FALSE)</f>
        <v>Kenya</v>
      </c>
      <c r="N161" t="str">
        <f>VLOOKUP($D161,'[2]product Table data'!$A$2:$G$12,N$1,FALSE)</f>
        <v>Africa</v>
      </c>
      <c r="O161">
        <f>VLOOKUP($D161,'[2]product Table data'!$A$2:$G$12,O$1,FALSE)</f>
        <v>15</v>
      </c>
      <c r="P161">
        <f>VLOOKUP($D161,'[2]product Table data'!$A$2:$G$12,P$1,FALSE)</f>
        <v>30</v>
      </c>
      <c r="Q161">
        <f t="shared" si="10"/>
        <v>15</v>
      </c>
      <c r="R161" t="str">
        <f t="shared" si="11"/>
        <v>-</v>
      </c>
      <c r="S161" t="str">
        <f t="shared" si="12"/>
        <v>Style Risk</v>
      </c>
      <c r="T161" t="str">
        <f t="shared" si="13"/>
        <v>-</v>
      </c>
      <c r="U161" t="str">
        <f t="shared" si="14"/>
        <v>High Value</v>
      </c>
    </row>
    <row r="162" spans="1:21" hidden="1" x14ac:dyDescent="0.2">
      <c r="A162" s="2">
        <v>730</v>
      </c>
      <c r="B162" s="2" t="s">
        <v>9</v>
      </c>
      <c r="C162" s="2" t="s">
        <v>224</v>
      </c>
      <c r="D162" s="2" t="s">
        <v>19</v>
      </c>
      <c r="E162" s="2">
        <v>10022</v>
      </c>
      <c r="F162" s="2" t="s">
        <v>225</v>
      </c>
      <c r="G162" s="2" t="s">
        <v>13</v>
      </c>
      <c r="H162" s="2">
        <v>1</v>
      </c>
      <c r="I162" s="2" t="s">
        <v>17</v>
      </c>
      <c r="J162" s="2" t="str">
        <f>VLOOKUP(E162,[1]LL_Hub!$A$1:$B$13,2,FALSE)</f>
        <v>New York</v>
      </c>
      <c r="K162" t="str">
        <f>VLOOKUP(D162,'[2]product Table data'!$A$2:$B$12,2,FALSE)</f>
        <v>Male</v>
      </c>
      <c r="L162" t="str">
        <f>VLOOKUP($D162,'[2]product Table data'!$A$2:$G$12,L$1,FALSE)</f>
        <v>Casual n Light</v>
      </c>
      <c r="M162" t="str">
        <f>VLOOKUP($D162,'[2]product Table data'!$A$2:$G$12,M$1,FALSE)</f>
        <v>Kenya</v>
      </c>
      <c r="N162" t="str">
        <f>VLOOKUP($D162,'[2]product Table data'!$A$2:$G$12,N$1,FALSE)</f>
        <v>Africa</v>
      </c>
      <c r="O162">
        <f>VLOOKUP($D162,'[2]product Table data'!$A$2:$G$12,O$1,FALSE)</f>
        <v>15</v>
      </c>
      <c r="P162">
        <f>VLOOKUP($D162,'[2]product Table data'!$A$2:$G$12,P$1,FALSE)</f>
        <v>30</v>
      </c>
      <c r="Q162">
        <f t="shared" si="10"/>
        <v>15</v>
      </c>
      <c r="R162" t="str">
        <f t="shared" si="11"/>
        <v>-</v>
      </c>
      <c r="S162" t="str">
        <f t="shared" si="12"/>
        <v>Style Risk</v>
      </c>
      <c r="T162" t="str">
        <f t="shared" si="13"/>
        <v>-</v>
      </c>
      <c r="U162" t="str">
        <f t="shared" si="14"/>
        <v>High Value</v>
      </c>
    </row>
    <row r="163" spans="1:21" hidden="1" x14ac:dyDescent="0.2">
      <c r="A163" s="2">
        <v>731</v>
      </c>
      <c r="B163" s="2" t="s">
        <v>9</v>
      </c>
      <c r="C163" s="2" t="s">
        <v>226</v>
      </c>
      <c r="D163" s="2" t="s">
        <v>19</v>
      </c>
      <c r="E163" s="2">
        <v>10022</v>
      </c>
      <c r="F163" s="2" t="s">
        <v>227</v>
      </c>
      <c r="G163" s="2" t="s">
        <v>13</v>
      </c>
      <c r="H163" s="2">
        <v>1</v>
      </c>
      <c r="I163" s="2" t="s">
        <v>17</v>
      </c>
      <c r="J163" s="2" t="str">
        <f>VLOOKUP(E163,[1]LL_Hub!$A$1:$B$13,2,FALSE)</f>
        <v>New York</v>
      </c>
      <c r="K163" t="str">
        <f>VLOOKUP(D163,'[2]product Table data'!$A$2:$B$12,2,FALSE)</f>
        <v>Male</v>
      </c>
      <c r="L163" t="str">
        <f>VLOOKUP($D163,'[2]product Table data'!$A$2:$G$12,L$1,FALSE)</f>
        <v>Casual n Light</v>
      </c>
      <c r="M163" t="str">
        <f>VLOOKUP($D163,'[2]product Table data'!$A$2:$G$12,M$1,FALSE)</f>
        <v>Kenya</v>
      </c>
      <c r="N163" t="str">
        <f>VLOOKUP($D163,'[2]product Table data'!$A$2:$G$12,N$1,FALSE)</f>
        <v>Africa</v>
      </c>
      <c r="O163">
        <f>VLOOKUP($D163,'[2]product Table data'!$A$2:$G$12,O$1,FALSE)</f>
        <v>15</v>
      </c>
      <c r="P163">
        <f>VLOOKUP($D163,'[2]product Table data'!$A$2:$G$12,P$1,FALSE)</f>
        <v>30</v>
      </c>
      <c r="Q163">
        <f t="shared" si="10"/>
        <v>15</v>
      </c>
      <c r="R163" t="str">
        <f t="shared" si="11"/>
        <v>-</v>
      </c>
      <c r="S163" t="str">
        <f t="shared" si="12"/>
        <v>Style Risk</v>
      </c>
      <c r="T163" t="str">
        <f t="shared" si="13"/>
        <v>-</v>
      </c>
      <c r="U163" t="str">
        <f t="shared" si="14"/>
        <v>High Value</v>
      </c>
    </row>
    <row r="164" spans="1:21" hidden="1" x14ac:dyDescent="0.2">
      <c r="A164" s="2">
        <v>735</v>
      </c>
      <c r="B164" s="2" t="s">
        <v>9</v>
      </c>
      <c r="C164" s="2" t="s">
        <v>228</v>
      </c>
      <c r="D164" s="2" t="s">
        <v>19</v>
      </c>
      <c r="E164" s="2">
        <v>10022</v>
      </c>
      <c r="F164" s="2" t="s">
        <v>229</v>
      </c>
      <c r="G164" s="2" t="s">
        <v>13</v>
      </c>
      <c r="H164" s="2">
        <v>1</v>
      </c>
      <c r="I164" s="2" t="s">
        <v>17</v>
      </c>
      <c r="J164" s="2" t="str">
        <f>VLOOKUP(E164,[1]LL_Hub!$A$1:$B$13,2,FALSE)</f>
        <v>New York</v>
      </c>
      <c r="K164" t="str">
        <f>VLOOKUP(D164,'[2]product Table data'!$A$2:$B$12,2,FALSE)</f>
        <v>Male</v>
      </c>
      <c r="L164" t="str">
        <f>VLOOKUP($D164,'[2]product Table data'!$A$2:$G$12,L$1,FALSE)</f>
        <v>Casual n Light</v>
      </c>
      <c r="M164" t="str">
        <f>VLOOKUP($D164,'[2]product Table data'!$A$2:$G$12,M$1,FALSE)</f>
        <v>Kenya</v>
      </c>
      <c r="N164" t="str">
        <f>VLOOKUP($D164,'[2]product Table data'!$A$2:$G$12,N$1,FALSE)</f>
        <v>Africa</v>
      </c>
      <c r="O164">
        <f>VLOOKUP($D164,'[2]product Table data'!$A$2:$G$12,O$1,FALSE)</f>
        <v>15</v>
      </c>
      <c r="P164">
        <f>VLOOKUP($D164,'[2]product Table data'!$A$2:$G$12,P$1,FALSE)</f>
        <v>30</v>
      </c>
      <c r="Q164">
        <f t="shared" si="10"/>
        <v>15</v>
      </c>
      <c r="R164" t="str">
        <f t="shared" si="11"/>
        <v>-</v>
      </c>
      <c r="S164" t="str">
        <f t="shared" si="12"/>
        <v>Style Risk</v>
      </c>
      <c r="T164" t="str">
        <f t="shared" si="13"/>
        <v>-</v>
      </c>
      <c r="U164" t="str">
        <f t="shared" si="14"/>
        <v>High Value</v>
      </c>
    </row>
    <row r="165" spans="1:21" hidden="1" x14ac:dyDescent="0.2">
      <c r="A165" s="2">
        <v>736</v>
      </c>
      <c r="B165" s="2" t="s">
        <v>9</v>
      </c>
      <c r="C165" s="2" t="s">
        <v>230</v>
      </c>
      <c r="D165" s="2" t="s">
        <v>19</v>
      </c>
      <c r="E165" s="2">
        <v>10022</v>
      </c>
      <c r="F165" s="2" t="s">
        <v>231</v>
      </c>
      <c r="G165" s="2" t="s">
        <v>13</v>
      </c>
      <c r="H165" s="2">
        <v>1</v>
      </c>
      <c r="I165" s="2" t="s">
        <v>17</v>
      </c>
      <c r="J165" s="2" t="str">
        <f>VLOOKUP(E165,[1]LL_Hub!$A$1:$B$13,2,FALSE)</f>
        <v>New York</v>
      </c>
      <c r="K165" t="str">
        <f>VLOOKUP(D165,'[2]product Table data'!$A$2:$B$12,2,FALSE)</f>
        <v>Male</v>
      </c>
      <c r="L165" t="str">
        <f>VLOOKUP($D165,'[2]product Table data'!$A$2:$G$12,L$1,FALSE)</f>
        <v>Casual n Light</v>
      </c>
      <c r="M165" t="str">
        <f>VLOOKUP($D165,'[2]product Table data'!$A$2:$G$12,M$1,FALSE)</f>
        <v>Kenya</v>
      </c>
      <c r="N165" t="str">
        <f>VLOOKUP($D165,'[2]product Table data'!$A$2:$G$12,N$1,FALSE)</f>
        <v>Africa</v>
      </c>
      <c r="O165">
        <f>VLOOKUP($D165,'[2]product Table data'!$A$2:$G$12,O$1,FALSE)</f>
        <v>15</v>
      </c>
      <c r="P165">
        <f>VLOOKUP($D165,'[2]product Table data'!$A$2:$G$12,P$1,FALSE)</f>
        <v>30</v>
      </c>
      <c r="Q165">
        <f t="shared" si="10"/>
        <v>15</v>
      </c>
      <c r="R165" t="str">
        <f t="shared" si="11"/>
        <v>-</v>
      </c>
      <c r="S165" t="str">
        <f t="shared" si="12"/>
        <v>Style Risk</v>
      </c>
      <c r="T165" t="str">
        <f t="shared" si="13"/>
        <v>-</v>
      </c>
      <c r="U165" t="str">
        <f t="shared" si="14"/>
        <v>High Value</v>
      </c>
    </row>
    <row r="166" spans="1:21" hidden="1" x14ac:dyDescent="0.2">
      <c r="A166" s="2">
        <v>737</v>
      </c>
      <c r="B166" s="2" t="s">
        <v>9</v>
      </c>
      <c r="C166" s="2" t="s">
        <v>232</v>
      </c>
      <c r="D166" s="2" t="s">
        <v>19</v>
      </c>
      <c r="E166" s="2">
        <v>10022</v>
      </c>
      <c r="F166" s="2" t="s">
        <v>233</v>
      </c>
      <c r="G166" s="2" t="s">
        <v>13</v>
      </c>
      <c r="H166" s="2">
        <v>1</v>
      </c>
      <c r="I166" s="2" t="s">
        <v>17</v>
      </c>
      <c r="J166" s="2" t="str">
        <f>VLOOKUP(E166,[1]LL_Hub!$A$1:$B$13,2,FALSE)</f>
        <v>New York</v>
      </c>
      <c r="K166" t="str">
        <f>VLOOKUP(D166,'[2]product Table data'!$A$2:$B$12,2,FALSE)</f>
        <v>Male</v>
      </c>
      <c r="L166" t="str">
        <f>VLOOKUP($D166,'[2]product Table data'!$A$2:$G$12,L$1,FALSE)</f>
        <v>Casual n Light</v>
      </c>
      <c r="M166" t="str">
        <f>VLOOKUP($D166,'[2]product Table data'!$A$2:$G$12,M$1,FALSE)</f>
        <v>Kenya</v>
      </c>
      <c r="N166" t="str">
        <f>VLOOKUP($D166,'[2]product Table data'!$A$2:$G$12,N$1,FALSE)</f>
        <v>Africa</v>
      </c>
      <c r="O166">
        <f>VLOOKUP($D166,'[2]product Table data'!$A$2:$G$12,O$1,FALSE)</f>
        <v>15</v>
      </c>
      <c r="P166">
        <f>VLOOKUP($D166,'[2]product Table data'!$A$2:$G$12,P$1,FALSE)</f>
        <v>30</v>
      </c>
      <c r="Q166">
        <f t="shared" si="10"/>
        <v>15</v>
      </c>
      <c r="R166" t="str">
        <f t="shared" si="11"/>
        <v>-</v>
      </c>
      <c r="S166" t="str">
        <f t="shared" si="12"/>
        <v>Style Risk</v>
      </c>
      <c r="T166" t="str">
        <f t="shared" si="13"/>
        <v>-</v>
      </c>
      <c r="U166" t="str">
        <f t="shared" si="14"/>
        <v>High Value</v>
      </c>
    </row>
    <row r="167" spans="1:21" hidden="1" x14ac:dyDescent="0.2">
      <c r="A167" s="2">
        <v>738</v>
      </c>
      <c r="B167" s="2" t="s">
        <v>9</v>
      </c>
      <c r="C167" s="2" t="s">
        <v>234</v>
      </c>
      <c r="D167" s="2" t="s">
        <v>19</v>
      </c>
      <c r="E167" s="2">
        <v>10022</v>
      </c>
      <c r="F167" s="2" t="s">
        <v>235</v>
      </c>
      <c r="G167" s="2" t="s">
        <v>13</v>
      </c>
      <c r="H167" s="2">
        <v>1</v>
      </c>
      <c r="I167" s="2" t="s">
        <v>17</v>
      </c>
      <c r="J167" s="2" t="str">
        <f>VLOOKUP(E167,[1]LL_Hub!$A$1:$B$13,2,FALSE)</f>
        <v>New York</v>
      </c>
      <c r="K167" t="str">
        <f>VLOOKUP(D167,'[2]product Table data'!$A$2:$B$12,2,FALSE)</f>
        <v>Male</v>
      </c>
      <c r="L167" t="str">
        <f>VLOOKUP($D167,'[2]product Table data'!$A$2:$G$12,L$1,FALSE)</f>
        <v>Casual n Light</v>
      </c>
      <c r="M167" t="str">
        <f>VLOOKUP($D167,'[2]product Table data'!$A$2:$G$12,M$1,FALSE)</f>
        <v>Kenya</v>
      </c>
      <c r="N167" t="str">
        <f>VLOOKUP($D167,'[2]product Table data'!$A$2:$G$12,N$1,FALSE)</f>
        <v>Africa</v>
      </c>
      <c r="O167">
        <f>VLOOKUP($D167,'[2]product Table data'!$A$2:$G$12,O$1,FALSE)</f>
        <v>15</v>
      </c>
      <c r="P167">
        <f>VLOOKUP($D167,'[2]product Table data'!$A$2:$G$12,P$1,FALSE)</f>
        <v>30</v>
      </c>
      <c r="Q167">
        <f t="shared" si="10"/>
        <v>15</v>
      </c>
      <c r="R167" t="str">
        <f t="shared" si="11"/>
        <v>-</v>
      </c>
      <c r="S167" t="str">
        <f t="shared" si="12"/>
        <v>Style Risk</v>
      </c>
      <c r="T167" t="str">
        <f t="shared" si="13"/>
        <v>-</v>
      </c>
      <c r="U167" t="str">
        <f t="shared" si="14"/>
        <v>High Value</v>
      </c>
    </row>
    <row r="168" spans="1:21" hidden="1" x14ac:dyDescent="0.2">
      <c r="A168" s="2">
        <v>742</v>
      </c>
      <c r="B168" s="2" t="s">
        <v>9</v>
      </c>
      <c r="C168" s="2" t="s">
        <v>236</v>
      </c>
      <c r="D168" s="2" t="s">
        <v>19</v>
      </c>
      <c r="E168" s="2">
        <v>10022</v>
      </c>
      <c r="F168" s="2" t="s">
        <v>35</v>
      </c>
      <c r="G168" s="2" t="s">
        <v>36</v>
      </c>
      <c r="H168" s="2">
        <v>1</v>
      </c>
      <c r="I168" s="2" t="s">
        <v>17</v>
      </c>
      <c r="J168" s="2" t="str">
        <f>VLOOKUP(E168,[1]LL_Hub!$A$1:$B$13,2,FALSE)</f>
        <v>New York</v>
      </c>
      <c r="K168" t="str">
        <f>VLOOKUP(D168,'[2]product Table data'!$A$2:$B$12,2,FALSE)</f>
        <v>Male</v>
      </c>
      <c r="L168" t="str">
        <f>VLOOKUP($D168,'[2]product Table data'!$A$2:$G$12,L$1,FALSE)</f>
        <v>Casual n Light</v>
      </c>
      <c r="M168" t="str">
        <f>VLOOKUP($D168,'[2]product Table data'!$A$2:$G$12,M$1,FALSE)</f>
        <v>Kenya</v>
      </c>
      <c r="N168" t="str">
        <f>VLOOKUP($D168,'[2]product Table data'!$A$2:$G$12,N$1,FALSE)</f>
        <v>Africa</v>
      </c>
      <c r="O168">
        <f>VLOOKUP($D168,'[2]product Table data'!$A$2:$G$12,O$1,FALSE)</f>
        <v>15</v>
      </c>
      <c r="P168">
        <f>VLOOKUP($D168,'[2]product Table data'!$A$2:$G$12,P$1,FALSE)</f>
        <v>30</v>
      </c>
      <c r="Q168">
        <f t="shared" si="10"/>
        <v>15</v>
      </c>
      <c r="R168" t="str">
        <f t="shared" si="11"/>
        <v>-</v>
      </c>
      <c r="S168" t="str">
        <f t="shared" si="12"/>
        <v>Style Risk</v>
      </c>
      <c r="T168" t="str">
        <f t="shared" si="13"/>
        <v>-</v>
      </c>
      <c r="U168" t="str">
        <f t="shared" si="14"/>
        <v>High Value</v>
      </c>
    </row>
    <row r="169" spans="1:21" x14ac:dyDescent="0.2">
      <c r="A169" s="2">
        <v>404</v>
      </c>
      <c r="B169" s="2" t="s">
        <v>9</v>
      </c>
      <c r="C169" s="2" t="s">
        <v>988</v>
      </c>
      <c r="D169" s="2" t="s">
        <v>558</v>
      </c>
      <c r="E169" s="2">
        <v>90005</v>
      </c>
      <c r="F169" s="2" t="s">
        <v>989</v>
      </c>
      <c r="G169" s="2" t="s">
        <v>13</v>
      </c>
      <c r="H169" s="2">
        <v>1</v>
      </c>
      <c r="I169" s="2" t="s">
        <v>14</v>
      </c>
      <c r="J169" s="2" t="str">
        <f>VLOOKUP(E169,[1]LL_Hub!$A$1:$B$13,2,FALSE)</f>
        <v>Los Angeles</v>
      </c>
      <c r="K169" t="str">
        <f>VLOOKUP(D169,'[2]product Table data'!$A$2:$B$12,2,FALSE)</f>
        <v>Female</v>
      </c>
      <c r="L169" t="str">
        <f>VLOOKUP($D169,'[2]product Table data'!$A$2:$G$12,L$1,FALSE)</f>
        <v>Fancy Sheek</v>
      </c>
      <c r="M169" t="str">
        <f>VLOOKUP($D169,'[2]product Table data'!$A$2:$G$12,M$1,FALSE)</f>
        <v>Afghanistan</v>
      </c>
      <c r="N169" t="str">
        <f>VLOOKUP($D169,'[2]product Table data'!$A$2:$G$12,N$1,FALSE)</f>
        <v>Middle East</v>
      </c>
      <c r="O169">
        <f>VLOOKUP($D169,'[2]product Table data'!$A$2:$G$12,O$1,FALSE)</f>
        <v>150</v>
      </c>
      <c r="P169">
        <f>VLOOKUP($D169,'[2]product Table data'!$A$2:$G$12,P$1,FALSE)</f>
        <v>75</v>
      </c>
      <c r="Q169">
        <f t="shared" si="10"/>
        <v>-75</v>
      </c>
      <c r="R169" t="str">
        <f t="shared" si="11"/>
        <v>Hub Risk</v>
      </c>
      <c r="S169" t="str">
        <f t="shared" si="12"/>
        <v>Style Risk</v>
      </c>
      <c r="T169" t="str">
        <f t="shared" si="13"/>
        <v>Risk</v>
      </c>
      <c r="U169" t="str">
        <f t="shared" si="14"/>
        <v>Low Value</v>
      </c>
    </row>
    <row r="170" spans="1:21" hidden="1" x14ac:dyDescent="0.2">
      <c r="A170" s="2">
        <v>967</v>
      </c>
      <c r="B170" s="2" t="s">
        <v>9</v>
      </c>
      <c r="C170" s="2" t="s">
        <v>238</v>
      </c>
      <c r="D170" s="2" t="s">
        <v>11</v>
      </c>
      <c r="E170" s="2">
        <v>80123</v>
      </c>
      <c r="F170" s="2" t="s">
        <v>239</v>
      </c>
      <c r="G170" s="2" t="s">
        <v>13</v>
      </c>
      <c r="H170" s="2">
        <v>1</v>
      </c>
      <c r="I170" s="2" t="s">
        <v>39</v>
      </c>
      <c r="J170" s="2" t="str">
        <f>VLOOKUP(E170,[1]LL_Hub!$A$1:$B$13,2,FALSE)</f>
        <v>Denver</v>
      </c>
      <c r="K170" t="str">
        <f>VLOOKUP(D170,'[2]product Table data'!$A$2:$B$12,2,FALSE)</f>
        <v>Male</v>
      </c>
      <c r="L170" t="str">
        <f>VLOOKUP($D170,'[2]product Table data'!$A$2:$G$12,L$1,FALSE)</f>
        <v>Casual n Light</v>
      </c>
      <c r="M170" t="str">
        <f>VLOOKUP($D170,'[2]product Table data'!$A$2:$G$12,M$1,FALSE)</f>
        <v>Ethiopia</v>
      </c>
      <c r="N170" t="str">
        <f>VLOOKUP($D170,'[2]product Table data'!$A$2:$G$12,N$1,FALSE)</f>
        <v>Africa</v>
      </c>
      <c r="O170">
        <f>VLOOKUP($D170,'[2]product Table data'!$A$2:$G$12,O$1,FALSE)</f>
        <v>10</v>
      </c>
      <c r="P170">
        <f>VLOOKUP($D170,'[2]product Table data'!$A$2:$G$12,P$1,FALSE)</f>
        <v>20</v>
      </c>
      <c r="Q170">
        <f t="shared" si="10"/>
        <v>10</v>
      </c>
      <c r="R170" t="str">
        <f t="shared" si="11"/>
        <v>Hub Risk</v>
      </c>
      <c r="S170" t="str">
        <f t="shared" si="12"/>
        <v>Style Risk</v>
      </c>
      <c r="T170" t="str">
        <f t="shared" si="13"/>
        <v>Risk</v>
      </c>
      <c r="U170" t="str">
        <f t="shared" si="14"/>
        <v>High Value</v>
      </c>
    </row>
    <row r="171" spans="1:21" hidden="1" x14ac:dyDescent="0.2">
      <c r="A171" s="2">
        <v>968</v>
      </c>
      <c r="B171" s="2" t="s">
        <v>9</v>
      </c>
      <c r="C171" s="2" t="s">
        <v>240</v>
      </c>
      <c r="D171" s="2" t="s">
        <v>11</v>
      </c>
      <c r="E171" s="2">
        <v>80123</v>
      </c>
      <c r="F171" s="2" t="s">
        <v>241</v>
      </c>
      <c r="G171" s="2" t="s">
        <v>13</v>
      </c>
      <c r="H171" s="2">
        <v>1</v>
      </c>
      <c r="I171" s="2" t="s">
        <v>39</v>
      </c>
      <c r="J171" s="2" t="str">
        <f>VLOOKUP(E171,[1]LL_Hub!$A$1:$B$13,2,FALSE)</f>
        <v>Denver</v>
      </c>
      <c r="K171" t="str">
        <f>VLOOKUP(D171,'[2]product Table data'!$A$2:$B$12,2,FALSE)</f>
        <v>Male</v>
      </c>
      <c r="L171" t="str">
        <f>VLOOKUP($D171,'[2]product Table data'!$A$2:$G$12,L$1,FALSE)</f>
        <v>Casual n Light</v>
      </c>
      <c r="M171" t="str">
        <f>VLOOKUP($D171,'[2]product Table data'!$A$2:$G$12,M$1,FALSE)</f>
        <v>Ethiopia</v>
      </c>
      <c r="N171" t="str">
        <f>VLOOKUP($D171,'[2]product Table data'!$A$2:$G$12,N$1,FALSE)</f>
        <v>Africa</v>
      </c>
      <c r="O171">
        <f>VLOOKUP($D171,'[2]product Table data'!$A$2:$G$12,O$1,FALSE)</f>
        <v>10</v>
      </c>
      <c r="P171">
        <f>VLOOKUP($D171,'[2]product Table data'!$A$2:$G$12,P$1,FALSE)</f>
        <v>20</v>
      </c>
      <c r="Q171">
        <f t="shared" si="10"/>
        <v>10</v>
      </c>
      <c r="R171" t="str">
        <f t="shared" si="11"/>
        <v>Hub Risk</v>
      </c>
      <c r="S171" t="str">
        <f t="shared" si="12"/>
        <v>Style Risk</v>
      </c>
      <c r="T171" t="str">
        <f t="shared" si="13"/>
        <v>Risk</v>
      </c>
      <c r="U171" t="str">
        <f t="shared" si="14"/>
        <v>High Value</v>
      </c>
    </row>
    <row r="172" spans="1:21" hidden="1" x14ac:dyDescent="0.2">
      <c r="A172" s="2">
        <v>969</v>
      </c>
      <c r="B172" s="2" t="s">
        <v>9</v>
      </c>
      <c r="C172" s="2" t="s">
        <v>242</v>
      </c>
      <c r="D172" s="2" t="s">
        <v>11</v>
      </c>
      <c r="E172" s="2">
        <v>80123</v>
      </c>
      <c r="F172" s="2" t="s">
        <v>243</v>
      </c>
      <c r="G172" s="2" t="s">
        <v>13</v>
      </c>
      <c r="H172" s="2">
        <v>1</v>
      </c>
      <c r="I172" s="2" t="s">
        <v>39</v>
      </c>
      <c r="J172" s="2" t="str">
        <f>VLOOKUP(E172,[1]LL_Hub!$A$1:$B$13,2,FALSE)</f>
        <v>Denver</v>
      </c>
      <c r="K172" t="str">
        <f>VLOOKUP(D172,'[2]product Table data'!$A$2:$B$12,2,FALSE)</f>
        <v>Male</v>
      </c>
      <c r="L172" t="str">
        <f>VLOOKUP($D172,'[2]product Table data'!$A$2:$G$12,L$1,FALSE)</f>
        <v>Casual n Light</v>
      </c>
      <c r="M172" t="str">
        <f>VLOOKUP($D172,'[2]product Table data'!$A$2:$G$12,M$1,FALSE)</f>
        <v>Ethiopia</v>
      </c>
      <c r="N172" t="str">
        <f>VLOOKUP($D172,'[2]product Table data'!$A$2:$G$12,N$1,FALSE)</f>
        <v>Africa</v>
      </c>
      <c r="O172">
        <f>VLOOKUP($D172,'[2]product Table data'!$A$2:$G$12,O$1,FALSE)</f>
        <v>10</v>
      </c>
      <c r="P172">
        <f>VLOOKUP($D172,'[2]product Table data'!$A$2:$G$12,P$1,FALSE)</f>
        <v>20</v>
      </c>
      <c r="Q172">
        <f t="shared" si="10"/>
        <v>10</v>
      </c>
      <c r="R172" t="str">
        <f t="shared" si="11"/>
        <v>Hub Risk</v>
      </c>
      <c r="S172" t="str">
        <f t="shared" si="12"/>
        <v>Style Risk</v>
      </c>
      <c r="T172" t="str">
        <f t="shared" si="13"/>
        <v>Risk</v>
      </c>
      <c r="U172" t="str">
        <f t="shared" si="14"/>
        <v>High Value</v>
      </c>
    </row>
    <row r="173" spans="1:21" hidden="1" x14ac:dyDescent="0.2">
      <c r="A173" s="2">
        <v>970</v>
      </c>
      <c r="B173" s="2" t="s">
        <v>9</v>
      </c>
      <c r="C173" s="2" t="s">
        <v>244</v>
      </c>
      <c r="D173" s="2" t="s">
        <v>11</v>
      </c>
      <c r="E173" s="2">
        <v>80123</v>
      </c>
      <c r="F173" s="2" t="s">
        <v>245</v>
      </c>
      <c r="G173" s="2" t="s">
        <v>13</v>
      </c>
      <c r="H173" s="2">
        <v>1</v>
      </c>
      <c r="I173" s="2" t="s">
        <v>39</v>
      </c>
      <c r="J173" s="2" t="str">
        <f>VLOOKUP(E173,[1]LL_Hub!$A$1:$B$13,2,FALSE)</f>
        <v>Denver</v>
      </c>
      <c r="K173" t="str">
        <f>VLOOKUP(D173,'[2]product Table data'!$A$2:$B$12,2,FALSE)</f>
        <v>Male</v>
      </c>
      <c r="L173" t="str">
        <f>VLOOKUP($D173,'[2]product Table data'!$A$2:$G$12,L$1,FALSE)</f>
        <v>Casual n Light</v>
      </c>
      <c r="M173" t="str">
        <f>VLOOKUP($D173,'[2]product Table data'!$A$2:$G$12,M$1,FALSE)</f>
        <v>Ethiopia</v>
      </c>
      <c r="N173" t="str">
        <f>VLOOKUP($D173,'[2]product Table data'!$A$2:$G$12,N$1,FALSE)</f>
        <v>Africa</v>
      </c>
      <c r="O173">
        <f>VLOOKUP($D173,'[2]product Table data'!$A$2:$G$12,O$1,FALSE)</f>
        <v>10</v>
      </c>
      <c r="P173">
        <f>VLOOKUP($D173,'[2]product Table data'!$A$2:$G$12,P$1,FALSE)</f>
        <v>20</v>
      </c>
      <c r="Q173">
        <f t="shared" si="10"/>
        <v>10</v>
      </c>
      <c r="R173" t="str">
        <f t="shared" si="11"/>
        <v>Hub Risk</v>
      </c>
      <c r="S173" t="str">
        <f t="shared" si="12"/>
        <v>Style Risk</v>
      </c>
      <c r="T173" t="str">
        <f t="shared" si="13"/>
        <v>Risk</v>
      </c>
      <c r="U173" t="str">
        <f t="shared" si="14"/>
        <v>High Value</v>
      </c>
    </row>
    <row r="174" spans="1:21" hidden="1" x14ac:dyDescent="0.2">
      <c r="A174" s="2">
        <v>971</v>
      </c>
      <c r="B174" s="2" t="s">
        <v>9</v>
      </c>
      <c r="C174" s="2" t="s">
        <v>246</v>
      </c>
      <c r="D174" s="2" t="s">
        <v>11</v>
      </c>
      <c r="E174" s="2">
        <v>80123</v>
      </c>
      <c r="F174" s="2" t="s">
        <v>247</v>
      </c>
      <c r="G174" s="2" t="s">
        <v>13</v>
      </c>
      <c r="H174" s="2">
        <v>1</v>
      </c>
      <c r="I174" s="2" t="s">
        <v>39</v>
      </c>
      <c r="J174" s="2" t="str">
        <f>VLOOKUP(E174,[1]LL_Hub!$A$1:$B$13,2,FALSE)</f>
        <v>Denver</v>
      </c>
      <c r="K174" t="str">
        <f>VLOOKUP(D174,'[2]product Table data'!$A$2:$B$12,2,FALSE)</f>
        <v>Male</v>
      </c>
      <c r="L174" t="str">
        <f>VLOOKUP($D174,'[2]product Table data'!$A$2:$G$12,L$1,FALSE)</f>
        <v>Casual n Light</v>
      </c>
      <c r="M174" t="str">
        <f>VLOOKUP($D174,'[2]product Table data'!$A$2:$G$12,M$1,FALSE)</f>
        <v>Ethiopia</v>
      </c>
      <c r="N174" t="str">
        <f>VLOOKUP($D174,'[2]product Table data'!$A$2:$G$12,N$1,FALSE)</f>
        <v>Africa</v>
      </c>
      <c r="O174">
        <f>VLOOKUP($D174,'[2]product Table data'!$A$2:$G$12,O$1,FALSE)</f>
        <v>10</v>
      </c>
      <c r="P174">
        <f>VLOOKUP($D174,'[2]product Table data'!$A$2:$G$12,P$1,FALSE)</f>
        <v>20</v>
      </c>
      <c r="Q174">
        <f t="shared" si="10"/>
        <v>10</v>
      </c>
      <c r="R174" t="str">
        <f t="shared" si="11"/>
        <v>Hub Risk</v>
      </c>
      <c r="S174" t="str">
        <f t="shared" si="12"/>
        <v>Style Risk</v>
      </c>
      <c r="T174" t="str">
        <f t="shared" si="13"/>
        <v>Risk</v>
      </c>
      <c r="U174" t="str">
        <f t="shared" si="14"/>
        <v>High Value</v>
      </c>
    </row>
    <row r="175" spans="1:21" hidden="1" x14ac:dyDescent="0.2">
      <c r="A175" s="2">
        <v>972</v>
      </c>
      <c r="B175" s="2" t="s">
        <v>9</v>
      </c>
      <c r="C175" s="2" t="s">
        <v>248</v>
      </c>
      <c r="D175" s="2" t="s">
        <v>11</v>
      </c>
      <c r="E175" s="2">
        <v>80123</v>
      </c>
      <c r="F175" s="2" t="s">
        <v>249</v>
      </c>
      <c r="G175" s="2" t="s">
        <v>13</v>
      </c>
      <c r="H175" s="2">
        <v>1</v>
      </c>
      <c r="I175" s="2" t="s">
        <v>39</v>
      </c>
      <c r="J175" s="2" t="str">
        <f>VLOOKUP(E175,[1]LL_Hub!$A$1:$B$13,2,FALSE)</f>
        <v>Denver</v>
      </c>
      <c r="K175" t="str">
        <f>VLOOKUP(D175,'[2]product Table data'!$A$2:$B$12,2,FALSE)</f>
        <v>Male</v>
      </c>
      <c r="L175" t="str">
        <f>VLOOKUP($D175,'[2]product Table data'!$A$2:$G$12,L$1,FALSE)</f>
        <v>Casual n Light</v>
      </c>
      <c r="M175" t="str">
        <f>VLOOKUP($D175,'[2]product Table data'!$A$2:$G$12,M$1,FALSE)</f>
        <v>Ethiopia</v>
      </c>
      <c r="N175" t="str">
        <f>VLOOKUP($D175,'[2]product Table data'!$A$2:$G$12,N$1,FALSE)</f>
        <v>Africa</v>
      </c>
      <c r="O175">
        <f>VLOOKUP($D175,'[2]product Table data'!$A$2:$G$12,O$1,FALSE)</f>
        <v>10</v>
      </c>
      <c r="P175">
        <f>VLOOKUP($D175,'[2]product Table data'!$A$2:$G$12,P$1,FALSE)</f>
        <v>20</v>
      </c>
      <c r="Q175">
        <f t="shared" si="10"/>
        <v>10</v>
      </c>
      <c r="R175" t="str">
        <f t="shared" si="11"/>
        <v>Hub Risk</v>
      </c>
      <c r="S175" t="str">
        <f t="shared" si="12"/>
        <v>Style Risk</v>
      </c>
      <c r="T175" t="str">
        <f t="shared" si="13"/>
        <v>Risk</v>
      </c>
      <c r="U175" t="str">
        <f t="shared" si="14"/>
        <v>High Value</v>
      </c>
    </row>
    <row r="176" spans="1:21" hidden="1" x14ac:dyDescent="0.2">
      <c r="A176" s="2">
        <v>973</v>
      </c>
      <c r="B176" s="2" t="s">
        <v>9</v>
      </c>
      <c r="C176" s="2" t="s">
        <v>250</v>
      </c>
      <c r="D176" s="2" t="s">
        <v>11</v>
      </c>
      <c r="E176" s="2">
        <v>80123</v>
      </c>
      <c r="F176" s="2" t="s">
        <v>251</v>
      </c>
      <c r="G176" s="2" t="s">
        <v>13</v>
      </c>
      <c r="H176" s="2">
        <v>1</v>
      </c>
      <c r="I176" s="2" t="s">
        <v>39</v>
      </c>
      <c r="J176" s="2" t="str">
        <f>VLOOKUP(E176,[1]LL_Hub!$A$1:$B$13,2,FALSE)</f>
        <v>Denver</v>
      </c>
      <c r="K176" t="str">
        <f>VLOOKUP(D176,'[2]product Table data'!$A$2:$B$12,2,FALSE)</f>
        <v>Male</v>
      </c>
      <c r="L176" t="str">
        <f>VLOOKUP($D176,'[2]product Table data'!$A$2:$G$12,L$1,FALSE)</f>
        <v>Casual n Light</v>
      </c>
      <c r="M176" t="str">
        <f>VLOOKUP($D176,'[2]product Table data'!$A$2:$G$12,M$1,FALSE)</f>
        <v>Ethiopia</v>
      </c>
      <c r="N176" t="str">
        <f>VLOOKUP($D176,'[2]product Table data'!$A$2:$G$12,N$1,FALSE)</f>
        <v>Africa</v>
      </c>
      <c r="O176">
        <f>VLOOKUP($D176,'[2]product Table data'!$A$2:$G$12,O$1,FALSE)</f>
        <v>10</v>
      </c>
      <c r="P176">
        <f>VLOOKUP($D176,'[2]product Table data'!$A$2:$G$12,P$1,FALSE)</f>
        <v>20</v>
      </c>
      <c r="Q176">
        <f t="shared" si="10"/>
        <v>10</v>
      </c>
      <c r="R176" t="str">
        <f t="shared" si="11"/>
        <v>Hub Risk</v>
      </c>
      <c r="S176" t="str">
        <f t="shared" si="12"/>
        <v>Style Risk</v>
      </c>
      <c r="T176" t="str">
        <f t="shared" si="13"/>
        <v>Risk</v>
      </c>
      <c r="U176" t="str">
        <f t="shared" si="14"/>
        <v>High Value</v>
      </c>
    </row>
    <row r="177" spans="1:21" hidden="1" x14ac:dyDescent="0.2">
      <c r="A177" s="2">
        <v>974</v>
      </c>
      <c r="B177" s="2" t="s">
        <v>9</v>
      </c>
      <c r="C177" s="2" t="s">
        <v>252</v>
      </c>
      <c r="D177" s="2" t="s">
        <v>11</v>
      </c>
      <c r="E177" s="2">
        <v>80123</v>
      </c>
      <c r="F177" s="2" t="s">
        <v>253</v>
      </c>
      <c r="G177" s="2" t="s">
        <v>13</v>
      </c>
      <c r="H177" s="2">
        <v>1</v>
      </c>
      <c r="I177" s="2" t="s">
        <v>39</v>
      </c>
      <c r="J177" s="2" t="str">
        <f>VLOOKUP(E177,[1]LL_Hub!$A$1:$B$13,2,FALSE)</f>
        <v>Denver</v>
      </c>
      <c r="K177" t="str">
        <f>VLOOKUP(D177,'[2]product Table data'!$A$2:$B$12,2,FALSE)</f>
        <v>Male</v>
      </c>
      <c r="L177" t="str">
        <f>VLOOKUP($D177,'[2]product Table data'!$A$2:$G$12,L$1,FALSE)</f>
        <v>Casual n Light</v>
      </c>
      <c r="M177" t="str">
        <f>VLOOKUP($D177,'[2]product Table data'!$A$2:$G$12,M$1,FALSE)</f>
        <v>Ethiopia</v>
      </c>
      <c r="N177" t="str">
        <f>VLOOKUP($D177,'[2]product Table data'!$A$2:$G$12,N$1,FALSE)</f>
        <v>Africa</v>
      </c>
      <c r="O177">
        <f>VLOOKUP($D177,'[2]product Table data'!$A$2:$G$12,O$1,FALSE)</f>
        <v>10</v>
      </c>
      <c r="P177">
        <f>VLOOKUP($D177,'[2]product Table data'!$A$2:$G$12,P$1,FALSE)</f>
        <v>20</v>
      </c>
      <c r="Q177">
        <f t="shared" si="10"/>
        <v>10</v>
      </c>
      <c r="R177" t="str">
        <f t="shared" si="11"/>
        <v>Hub Risk</v>
      </c>
      <c r="S177" t="str">
        <f t="shared" si="12"/>
        <v>Style Risk</v>
      </c>
      <c r="T177" t="str">
        <f t="shared" si="13"/>
        <v>Risk</v>
      </c>
      <c r="U177" t="str">
        <f t="shared" si="14"/>
        <v>High Value</v>
      </c>
    </row>
    <row r="178" spans="1:21" hidden="1" x14ac:dyDescent="0.2">
      <c r="A178" s="2">
        <v>975</v>
      </c>
      <c r="B178" s="2" t="s">
        <v>9</v>
      </c>
      <c r="C178" s="2" t="s">
        <v>254</v>
      </c>
      <c r="D178" s="2" t="s">
        <v>11</v>
      </c>
      <c r="E178" s="2">
        <v>80123</v>
      </c>
      <c r="F178" s="2" t="s">
        <v>255</v>
      </c>
      <c r="G178" s="2" t="s">
        <v>13</v>
      </c>
      <c r="H178" s="2">
        <v>1</v>
      </c>
      <c r="I178" s="2" t="s">
        <v>39</v>
      </c>
      <c r="J178" s="2" t="str">
        <f>VLOOKUP(E178,[1]LL_Hub!$A$1:$B$13,2,FALSE)</f>
        <v>Denver</v>
      </c>
      <c r="K178" t="str">
        <f>VLOOKUP(D178,'[2]product Table data'!$A$2:$B$12,2,FALSE)</f>
        <v>Male</v>
      </c>
      <c r="L178" t="str">
        <f>VLOOKUP($D178,'[2]product Table data'!$A$2:$G$12,L$1,FALSE)</f>
        <v>Casual n Light</v>
      </c>
      <c r="M178" t="str">
        <f>VLOOKUP($D178,'[2]product Table data'!$A$2:$G$12,M$1,FALSE)</f>
        <v>Ethiopia</v>
      </c>
      <c r="N178" t="str">
        <f>VLOOKUP($D178,'[2]product Table data'!$A$2:$G$12,N$1,FALSE)</f>
        <v>Africa</v>
      </c>
      <c r="O178">
        <f>VLOOKUP($D178,'[2]product Table data'!$A$2:$G$12,O$1,FALSE)</f>
        <v>10</v>
      </c>
      <c r="P178">
        <f>VLOOKUP($D178,'[2]product Table data'!$A$2:$G$12,P$1,FALSE)</f>
        <v>20</v>
      </c>
      <c r="Q178">
        <f t="shared" si="10"/>
        <v>10</v>
      </c>
      <c r="R178" t="str">
        <f t="shared" si="11"/>
        <v>Hub Risk</v>
      </c>
      <c r="S178" t="str">
        <f t="shared" si="12"/>
        <v>Style Risk</v>
      </c>
      <c r="T178" t="str">
        <f t="shared" si="13"/>
        <v>Risk</v>
      </c>
      <c r="U178" t="str">
        <f t="shared" si="14"/>
        <v>High Value</v>
      </c>
    </row>
    <row r="179" spans="1:21" hidden="1" x14ac:dyDescent="0.2">
      <c r="A179" s="2">
        <v>976</v>
      </c>
      <c r="B179" s="2" t="s">
        <v>9</v>
      </c>
      <c r="C179" s="2" t="s">
        <v>256</v>
      </c>
      <c r="D179" s="2" t="s">
        <v>11</v>
      </c>
      <c r="E179" s="2">
        <v>80123</v>
      </c>
      <c r="F179" s="2" t="s">
        <v>257</v>
      </c>
      <c r="G179" s="2" t="s">
        <v>13</v>
      </c>
      <c r="H179" s="2">
        <v>1</v>
      </c>
      <c r="I179" s="2" t="s">
        <v>39</v>
      </c>
      <c r="J179" s="2" t="str">
        <f>VLOOKUP(E179,[1]LL_Hub!$A$1:$B$13,2,FALSE)</f>
        <v>Denver</v>
      </c>
      <c r="K179" t="str">
        <f>VLOOKUP(D179,'[2]product Table data'!$A$2:$B$12,2,FALSE)</f>
        <v>Male</v>
      </c>
      <c r="L179" t="str">
        <f>VLOOKUP($D179,'[2]product Table data'!$A$2:$G$12,L$1,FALSE)</f>
        <v>Casual n Light</v>
      </c>
      <c r="M179" t="str">
        <f>VLOOKUP($D179,'[2]product Table data'!$A$2:$G$12,M$1,FALSE)</f>
        <v>Ethiopia</v>
      </c>
      <c r="N179" t="str">
        <f>VLOOKUP($D179,'[2]product Table data'!$A$2:$G$12,N$1,FALSE)</f>
        <v>Africa</v>
      </c>
      <c r="O179">
        <f>VLOOKUP($D179,'[2]product Table data'!$A$2:$G$12,O$1,FALSE)</f>
        <v>10</v>
      </c>
      <c r="P179">
        <f>VLOOKUP($D179,'[2]product Table data'!$A$2:$G$12,P$1,FALSE)</f>
        <v>20</v>
      </c>
      <c r="Q179">
        <f t="shared" si="10"/>
        <v>10</v>
      </c>
      <c r="R179" t="str">
        <f t="shared" si="11"/>
        <v>Hub Risk</v>
      </c>
      <c r="S179" t="str">
        <f t="shared" si="12"/>
        <v>Style Risk</v>
      </c>
      <c r="T179" t="str">
        <f t="shared" si="13"/>
        <v>Risk</v>
      </c>
      <c r="U179" t="str">
        <f t="shared" si="14"/>
        <v>High Value</v>
      </c>
    </row>
    <row r="180" spans="1:21" hidden="1" x14ac:dyDescent="0.2">
      <c r="A180" s="2">
        <v>977</v>
      </c>
      <c r="B180" s="2" t="s">
        <v>9</v>
      </c>
      <c r="C180" s="2" t="s">
        <v>258</v>
      </c>
      <c r="D180" s="2" t="s">
        <v>45</v>
      </c>
      <c r="E180" s="2">
        <v>80123</v>
      </c>
      <c r="F180" s="2" t="s">
        <v>259</v>
      </c>
      <c r="G180" s="2" t="s">
        <v>13</v>
      </c>
      <c r="H180" s="2">
        <v>1</v>
      </c>
      <c r="I180" s="2" t="s">
        <v>39</v>
      </c>
      <c r="J180" s="2" t="str">
        <f>VLOOKUP(E180,[1]LL_Hub!$A$1:$B$13,2,FALSE)</f>
        <v>Denver</v>
      </c>
      <c r="K180" t="str">
        <f>VLOOKUP(D180,'[2]product Table data'!$A$2:$B$12,2,FALSE)</f>
        <v>Female</v>
      </c>
      <c r="L180" t="str">
        <f>VLOOKUP($D180,'[2]product Table data'!$A$2:$G$12,L$1,FALSE)</f>
        <v>Winter Warmth</v>
      </c>
      <c r="M180" t="str">
        <f>VLOOKUP($D180,'[2]product Table data'!$A$2:$G$12,M$1,FALSE)</f>
        <v>Romania</v>
      </c>
      <c r="N180" t="str">
        <f>VLOOKUP($D180,'[2]product Table data'!$A$2:$G$12,N$1,FALSE)</f>
        <v>Eastern Europe</v>
      </c>
      <c r="O180">
        <f>VLOOKUP($D180,'[2]product Table data'!$A$2:$G$12,O$1,FALSE)</f>
        <v>350</v>
      </c>
      <c r="P180">
        <f>VLOOKUP($D180,'[2]product Table data'!$A$2:$G$12,P$1,FALSE)</f>
        <v>450</v>
      </c>
      <c r="Q180">
        <f t="shared" si="10"/>
        <v>100</v>
      </c>
      <c r="R180" t="str">
        <f t="shared" si="11"/>
        <v>Hub Risk</v>
      </c>
      <c r="S180" t="str">
        <f t="shared" si="12"/>
        <v>-</v>
      </c>
      <c r="T180" t="str">
        <f t="shared" si="13"/>
        <v>-</v>
      </c>
      <c r="U180" t="str">
        <f t="shared" si="14"/>
        <v>High Value</v>
      </c>
    </row>
    <row r="181" spans="1:21" hidden="1" x14ac:dyDescent="0.2">
      <c r="A181" s="2">
        <v>979</v>
      </c>
      <c r="B181" s="2" t="s">
        <v>9</v>
      </c>
      <c r="C181" s="2" t="s">
        <v>260</v>
      </c>
      <c r="D181" s="2" t="s">
        <v>11</v>
      </c>
      <c r="E181" s="2">
        <v>80123</v>
      </c>
      <c r="F181" s="2" t="s">
        <v>261</v>
      </c>
      <c r="G181" s="2" t="s">
        <v>13</v>
      </c>
      <c r="H181" s="2">
        <v>1</v>
      </c>
      <c r="I181" s="2" t="s">
        <v>39</v>
      </c>
      <c r="J181" s="2" t="str">
        <f>VLOOKUP(E181,[1]LL_Hub!$A$1:$B$13,2,FALSE)</f>
        <v>Denver</v>
      </c>
      <c r="K181" t="str">
        <f>VLOOKUP(D181,'[2]product Table data'!$A$2:$B$12,2,FALSE)</f>
        <v>Male</v>
      </c>
      <c r="L181" t="str">
        <f>VLOOKUP($D181,'[2]product Table data'!$A$2:$G$12,L$1,FALSE)</f>
        <v>Casual n Light</v>
      </c>
      <c r="M181" t="str">
        <f>VLOOKUP($D181,'[2]product Table data'!$A$2:$G$12,M$1,FALSE)</f>
        <v>Ethiopia</v>
      </c>
      <c r="N181" t="str">
        <f>VLOOKUP($D181,'[2]product Table data'!$A$2:$G$12,N$1,FALSE)</f>
        <v>Africa</v>
      </c>
      <c r="O181">
        <f>VLOOKUP($D181,'[2]product Table data'!$A$2:$G$12,O$1,FALSE)</f>
        <v>10</v>
      </c>
      <c r="P181">
        <f>VLOOKUP($D181,'[2]product Table data'!$A$2:$G$12,P$1,FALSE)</f>
        <v>20</v>
      </c>
      <c r="Q181">
        <f t="shared" si="10"/>
        <v>10</v>
      </c>
      <c r="R181" t="str">
        <f t="shared" si="11"/>
        <v>Hub Risk</v>
      </c>
      <c r="S181" t="str">
        <f t="shared" si="12"/>
        <v>Style Risk</v>
      </c>
      <c r="T181" t="str">
        <f t="shared" si="13"/>
        <v>Risk</v>
      </c>
      <c r="U181" t="str">
        <f t="shared" si="14"/>
        <v>High Value</v>
      </c>
    </row>
    <row r="182" spans="1:21" hidden="1" x14ac:dyDescent="0.2">
      <c r="A182" s="2">
        <v>982</v>
      </c>
      <c r="B182" s="2" t="s">
        <v>9</v>
      </c>
      <c r="C182" s="2" t="s">
        <v>262</v>
      </c>
      <c r="D182" s="2" t="s">
        <v>11</v>
      </c>
      <c r="E182" s="2">
        <v>80123</v>
      </c>
      <c r="F182" s="2" t="s">
        <v>263</v>
      </c>
      <c r="G182" s="2" t="s">
        <v>13</v>
      </c>
      <c r="H182" s="2">
        <v>1</v>
      </c>
      <c r="I182" s="2" t="s">
        <v>39</v>
      </c>
      <c r="J182" s="2" t="str">
        <f>VLOOKUP(E182,[1]LL_Hub!$A$1:$B$13,2,FALSE)</f>
        <v>Denver</v>
      </c>
      <c r="K182" t="str">
        <f>VLOOKUP(D182,'[2]product Table data'!$A$2:$B$12,2,FALSE)</f>
        <v>Male</v>
      </c>
      <c r="L182" t="str">
        <f>VLOOKUP($D182,'[2]product Table data'!$A$2:$G$12,L$1,FALSE)</f>
        <v>Casual n Light</v>
      </c>
      <c r="M182" t="str">
        <f>VLOOKUP($D182,'[2]product Table data'!$A$2:$G$12,M$1,FALSE)</f>
        <v>Ethiopia</v>
      </c>
      <c r="N182" t="str">
        <f>VLOOKUP($D182,'[2]product Table data'!$A$2:$G$12,N$1,FALSE)</f>
        <v>Africa</v>
      </c>
      <c r="O182">
        <f>VLOOKUP($D182,'[2]product Table data'!$A$2:$G$12,O$1,FALSE)</f>
        <v>10</v>
      </c>
      <c r="P182">
        <f>VLOOKUP($D182,'[2]product Table data'!$A$2:$G$12,P$1,FALSE)</f>
        <v>20</v>
      </c>
      <c r="Q182">
        <f t="shared" si="10"/>
        <v>10</v>
      </c>
      <c r="R182" t="str">
        <f t="shared" si="11"/>
        <v>Hub Risk</v>
      </c>
      <c r="S182" t="str">
        <f t="shared" si="12"/>
        <v>Style Risk</v>
      </c>
      <c r="T182" t="str">
        <f t="shared" si="13"/>
        <v>Risk</v>
      </c>
      <c r="U182" t="str">
        <f t="shared" si="14"/>
        <v>High Value</v>
      </c>
    </row>
    <row r="183" spans="1:21" hidden="1" x14ac:dyDescent="0.2">
      <c r="A183" s="2">
        <v>985</v>
      </c>
      <c r="B183" s="2" t="s">
        <v>9</v>
      </c>
      <c r="C183" s="2" t="s">
        <v>264</v>
      </c>
      <c r="D183" s="2" t="s">
        <v>11</v>
      </c>
      <c r="E183" s="2">
        <v>80123</v>
      </c>
      <c r="F183" s="2" t="s">
        <v>265</v>
      </c>
      <c r="G183" s="2" t="s">
        <v>13</v>
      </c>
      <c r="H183" s="2">
        <v>1</v>
      </c>
      <c r="I183" s="2" t="s">
        <v>39</v>
      </c>
      <c r="J183" s="2" t="str">
        <f>VLOOKUP(E183,[1]LL_Hub!$A$1:$B$13,2,FALSE)</f>
        <v>Denver</v>
      </c>
      <c r="K183" t="str">
        <f>VLOOKUP(D183,'[2]product Table data'!$A$2:$B$12,2,FALSE)</f>
        <v>Male</v>
      </c>
      <c r="L183" t="str">
        <f>VLOOKUP($D183,'[2]product Table data'!$A$2:$G$12,L$1,FALSE)</f>
        <v>Casual n Light</v>
      </c>
      <c r="M183" t="str">
        <f>VLOOKUP($D183,'[2]product Table data'!$A$2:$G$12,M$1,FALSE)</f>
        <v>Ethiopia</v>
      </c>
      <c r="N183" t="str">
        <f>VLOOKUP($D183,'[2]product Table data'!$A$2:$G$12,N$1,FALSE)</f>
        <v>Africa</v>
      </c>
      <c r="O183">
        <f>VLOOKUP($D183,'[2]product Table data'!$A$2:$G$12,O$1,FALSE)</f>
        <v>10</v>
      </c>
      <c r="P183">
        <f>VLOOKUP($D183,'[2]product Table data'!$A$2:$G$12,P$1,FALSE)</f>
        <v>20</v>
      </c>
      <c r="Q183">
        <f t="shared" si="10"/>
        <v>10</v>
      </c>
      <c r="R183" t="str">
        <f t="shared" si="11"/>
        <v>Hub Risk</v>
      </c>
      <c r="S183" t="str">
        <f t="shared" si="12"/>
        <v>Style Risk</v>
      </c>
      <c r="T183" t="str">
        <f t="shared" si="13"/>
        <v>Risk</v>
      </c>
      <c r="U183" t="str">
        <f t="shared" si="14"/>
        <v>High Value</v>
      </c>
    </row>
    <row r="184" spans="1:21" hidden="1" x14ac:dyDescent="0.2">
      <c r="A184" s="2">
        <v>986</v>
      </c>
      <c r="B184" s="2" t="s">
        <v>9</v>
      </c>
      <c r="C184" s="2" t="s">
        <v>266</v>
      </c>
      <c r="D184" s="2" t="s">
        <v>45</v>
      </c>
      <c r="E184" s="2">
        <v>80123</v>
      </c>
      <c r="F184" s="2" t="s">
        <v>267</v>
      </c>
      <c r="G184" s="2" t="s">
        <v>13</v>
      </c>
      <c r="H184" s="2">
        <v>1</v>
      </c>
      <c r="I184" s="2" t="s">
        <v>39</v>
      </c>
      <c r="J184" s="2" t="str">
        <f>VLOOKUP(E184,[1]LL_Hub!$A$1:$B$13,2,FALSE)</f>
        <v>Denver</v>
      </c>
      <c r="K184" t="str">
        <f>VLOOKUP(D184,'[2]product Table data'!$A$2:$B$12,2,FALSE)</f>
        <v>Female</v>
      </c>
      <c r="L184" t="str">
        <f>VLOOKUP($D184,'[2]product Table data'!$A$2:$G$12,L$1,FALSE)</f>
        <v>Winter Warmth</v>
      </c>
      <c r="M184" t="str">
        <f>VLOOKUP($D184,'[2]product Table data'!$A$2:$G$12,M$1,FALSE)</f>
        <v>Romania</v>
      </c>
      <c r="N184" t="str">
        <f>VLOOKUP($D184,'[2]product Table data'!$A$2:$G$12,N$1,FALSE)</f>
        <v>Eastern Europe</v>
      </c>
      <c r="O184">
        <f>VLOOKUP($D184,'[2]product Table data'!$A$2:$G$12,O$1,FALSE)</f>
        <v>350</v>
      </c>
      <c r="P184">
        <f>VLOOKUP($D184,'[2]product Table data'!$A$2:$G$12,P$1,FALSE)</f>
        <v>450</v>
      </c>
      <c r="Q184">
        <f t="shared" si="10"/>
        <v>100</v>
      </c>
      <c r="R184" t="str">
        <f t="shared" si="11"/>
        <v>Hub Risk</v>
      </c>
      <c r="S184" t="str">
        <f t="shared" si="12"/>
        <v>-</v>
      </c>
      <c r="T184" t="str">
        <f t="shared" si="13"/>
        <v>-</v>
      </c>
      <c r="U184" t="str">
        <f t="shared" si="14"/>
        <v>High Value</v>
      </c>
    </row>
    <row r="185" spans="1:21" hidden="1" x14ac:dyDescent="0.2">
      <c r="A185" s="2">
        <v>987</v>
      </c>
      <c r="B185" s="2" t="s">
        <v>9</v>
      </c>
      <c r="C185" s="2" t="s">
        <v>268</v>
      </c>
      <c r="D185" s="2" t="s">
        <v>11</v>
      </c>
      <c r="E185" s="2">
        <v>80123</v>
      </c>
      <c r="F185" s="2" t="s">
        <v>269</v>
      </c>
      <c r="G185" s="2" t="s">
        <v>13</v>
      </c>
      <c r="H185" s="2">
        <v>1</v>
      </c>
      <c r="I185" s="2" t="s">
        <v>39</v>
      </c>
      <c r="J185" s="2" t="str">
        <f>VLOOKUP(E185,[1]LL_Hub!$A$1:$B$13,2,FALSE)</f>
        <v>Denver</v>
      </c>
      <c r="K185" t="str">
        <f>VLOOKUP(D185,'[2]product Table data'!$A$2:$B$12,2,FALSE)</f>
        <v>Male</v>
      </c>
      <c r="L185" t="str">
        <f>VLOOKUP($D185,'[2]product Table data'!$A$2:$G$12,L$1,FALSE)</f>
        <v>Casual n Light</v>
      </c>
      <c r="M185" t="str">
        <f>VLOOKUP($D185,'[2]product Table data'!$A$2:$G$12,M$1,FALSE)</f>
        <v>Ethiopia</v>
      </c>
      <c r="N185" t="str">
        <f>VLOOKUP($D185,'[2]product Table data'!$A$2:$G$12,N$1,FALSE)</f>
        <v>Africa</v>
      </c>
      <c r="O185">
        <f>VLOOKUP($D185,'[2]product Table data'!$A$2:$G$12,O$1,FALSE)</f>
        <v>10</v>
      </c>
      <c r="P185">
        <f>VLOOKUP($D185,'[2]product Table data'!$A$2:$G$12,P$1,FALSE)</f>
        <v>20</v>
      </c>
      <c r="Q185">
        <f t="shared" si="10"/>
        <v>10</v>
      </c>
      <c r="R185" t="str">
        <f t="shared" si="11"/>
        <v>Hub Risk</v>
      </c>
      <c r="S185" t="str">
        <f t="shared" si="12"/>
        <v>Style Risk</v>
      </c>
      <c r="T185" t="str">
        <f t="shared" si="13"/>
        <v>Risk</v>
      </c>
      <c r="U185" t="str">
        <f t="shared" si="14"/>
        <v>High Value</v>
      </c>
    </row>
    <row r="186" spans="1:21" hidden="1" x14ac:dyDescent="0.2">
      <c r="A186" s="2">
        <v>988</v>
      </c>
      <c r="B186" s="2" t="s">
        <v>9</v>
      </c>
      <c r="C186" s="2" t="s">
        <v>270</v>
      </c>
      <c r="D186" s="2" t="s">
        <v>11</v>
      </c>
      <c r="E186" s="2">
        <v>80123</v>
      </c>
      <c r="F186" s="2" t="s">
        <v>271</v>
      </c>
      <c r="G186" s="2" t="s">
        <v>13</v>
      </c>
      <c r="H186" s="2">
        <v>1</v>
      </c>
      <c r="I186" s="2" t="s">
        <v>39</v>
      </c>
      <c r="J186" s="2" t="str">
        <f>VLOOKUP(E186,[1]LL_Hub!$A$1:$B$13,2,FALSE)</f>
        <v>Denver</v>
      </c>
      <c r="K186" t="str">
        <f>VLOOKUP(D186,'[2]product Table data'!$A$2:$B$12,2,FALSE)</f>
        <v>Male</v>
      </c>
      <c r="L186" t="str">
        <f>VLOOKUP($D186,'[2]product Table data'!$A$2:$G$12,L$1,FALSE)</f>
        <v>Casual n Light</v>
      </c>
      <c r="M186" t="str">
        <f>VLOOKUP($D186,'[2]product Table data'!$A$2:$G$12,M$1,FALSE)</f>
        <v>Ethiopia</v>
      </c>
      <c r="N186" t="str">
        <f>VLOOKUP($D186,'[2]product Table data'!$A$2:$G$12,N$1,FALSE)</f>
        <v>Africa</v>
      </c>
      <c r="O186">
        <f>VLOOKUP($D186,'[2]product Table data'!$A$2:$G$12,O$1,FALSE)</f>
        <v>10</v>
      </c>
      <c r="P186">
        <f>VLOOKUP($D186,'[2]product Table data'!$A$2:$G$12,P$1,FALSE)</f>
        <v>20</v>
      </c>
      <c r="Q186">
        <f t="shared" si="10"/>
        <v>10</v>
      </c>
      <c r="R186" t="str">
        <f t="shared" si="11"/>
        <v>Hub Risk</v>
      </c>
      <c r="S186" t="str">
        <f t="shared" si="12"/>
        <v>Style Risk</v>
      </c>
      <c r="T186" t="str">
        <f t="shared" si="13"/>
        <v>Risk</v>
      </c>
      <c r="U186" t="str">
        <f t="shared" si="14"/>
        <v>High Value</v>
      </c>
    </row>
    <row r="187" spans="1:21" hidden="1" x14ac:dyDescent="0.2">
      <c r="A187" s="2">
        <v>989</v>
      </c>
      <c r="B187" s="2" t="s">
        <v>9</v>
      </c>
      <c r="C187" s="2" t="s">
        <v>272</v>
      </c>
      <c r="D187" s="2" t="s">
        <v>11</v>
      </c>
      <c r="E187" s="2">
        <v>80123</v>
      </c>
      <c r="F187" s="2" t="s">
        <v>273</v>
      </c>
      <c r="G187" s="2" t="s">
        <v>13</v>
      </c>
      <c r="H187" s="2">
        <v>1</v>
      </c>
      <c r="I187" s="2" t="s">
        <v>39</v>
      </c>
      <c r="J187" s="2" t="str">
        <f>VLOOKUP(E187,[1]LL_Hub!$A$1:$B$13,2,FALSE)</f>
        <v>Denver</v>
      </c>
      <c r="K187" t="str">
        <f>VLOOKUP(D187,'[2]product Table data'!$A$2:$B$12,2,FALSE)</f>
        <v>Male</v>
      </c>
      <c r="L187" t="str">
        <f>VLOOKUP($D187,'[2]product Table data'!$A$2:$G$12,L$1,FALSE)</f>
        <v>Casual n Light</v>
      </c>
      <c r="M187" t="str">
        <f>VLOOKUP($D187,'[2]product Table data'!$A$2:$G$12,M$1,FALSE)</f>
        <v>Ethiopia</v>
      </c>
      <c r="N187" t="str">
        <f>VLOOKUP($D187,'[2]product Table data'!$A$2:$G$12,N$1,FALSE)</f>
        <v>Africa</v>
      </c>
      <c r="O187">
        <f>VLOOKUP($D187,'[2]product Table data'!$A$2:$G$12,O$1,FALSE)</f>
        <v>10</v>
      </c>
      <c r="P187">
        <f>VLOOKUP($D187,'[2]product Table data'!$A$2:$G$12,P$1,FALSE)</f>
        <v>20</v>
      </c>
      <c r="Q187">
        <f t="shared" si="10"/>
        <v>10</v>
      </c>
      <c r="R187" t="str">
        <f t="shared" si="11"/>
        <v>Hub Risk</v>
      </c>
      <c r="S187" t="str">
        <f t="shared" si="12"/>
        <v>Style Risk</v>
      </c>
      <c r="T187" t="str">
        <f t="shared" si="13"/>
        <v>Risk</v>
      </c>
      <c r="U187" t="str">
        <f t="shared" si="14"/>
        <v>High Value</v>
      </c>
    </row>
    <row r="188" spans="1:21" hidden="1" x14ac:dyDescent="0.2">
      <c r="A188" s="2">
        <v>990</v>
      </c>
      <c r="B188" s="2" t="s">
        <v>9</v>
      </c>
      <c r="C188" s="2" t="s">
        <v>274</v>
      </c>
      <c r="D188" s="2" t="s">
        <v>11</v>
      </c>
      <c r="E188" s="2">
        <v>80123</v>
      </c>
      <c r="F188" s="2" t="s">
        <v>275</v>
      </c>
      <c r="G188" s="2" t="s">
        <v>13</v>
      </c>
      <c r="H188" s="2">
        <v>1</v>
      </c>
      <c r="I188" s="2" t="s">
        <v>39</v>
      </c>
      <c r="J188" s="2" t="str">
        <f>VLOOKUP(E188,[1]LL_Hub!$A$1:$B$13,2,FALSE)</f>
        <v>Denver</v>
      </c>
      <c r="K188" t="str">
        <f>VLOOKUP(D188,'[2]product Table data'!$A$2:$B$12,2,FALSE)</f>
        <v>Male</v>
      </c>
      <c r="L188" t="str">
        <f>VLOOKUP($D188,'[2]product Table data'!$A$2:$G$12,L$1,FALSE)</f>
        <v>Casual n Light</v>
      </c>
      <c r="M188" t="str">
        <f>VLOOKUP($D188,'[2]product Table data'!$A$2:$G$12,M$1,FALSE)</f>
        <v>Ethiopia</v>
      </c>
      <c r="N188" t="str">
        <f>VLOOKUP($D188,'[2]product Table data'!$A$2:$G$12,N$1,FALSE)</f>
        <v>Africa</v>
      </c>
      <c r="O188">
        <f>VLOOKUP($D188,'[2]product Table data'!$A$2:$G$12,O$1,FALSE)</f>
        <v>10</v>
      </c>
      <c r="P188">
        <f>VLOOKUP($D188,'[2]product Table data'!$A$2:$G$12,P$1,FALSE)</f>
        <v>20</v>
      </c>
      <c r="Q188">
        <f t="shared" si="10"/>
        <v>10</v>
      </c>
      <c r="R188" t="str">
        <f t="shared" si="11"/>
        <v>Hub Risk</v>
      </c>
      <c r="S188" t="str">
        <f t="shared" si="12"/>
        <v>Style Risk</v>
      </c>
      <c r="T188" t="str">
        <f t="shared" si="13"/>
        <v>Risk</v>
      </c>
      <c r="U188" t="str">
        <f t="shared" si="14"/>
        <v>High Value</v>
      </c>
    </row>
    <row r="189" spans="1:21" hidden="1" x14ac:dyDescent="0.2">
      <c r="A189" s="2">
        <v>991</v>
      </c>
      <c r="B189" s="2" t="s">
        <v>9</v>
      </c>
      <c r="C189" s="2" t="s">
        <v>276</v>
      </c>
      <c r="D189" s="2" t="s">
        <v>11</v>
      </c>
      <c r="E189" s="2">
        <v>80123</v>
      </c>
      <c r="F189" s="2" t="s">
        <v>277</v>
      </c>
      <c r="G189" s="2" t="s">
        <v>13</v>
      </c>
      <c r="H189" s="2">
        <v>1</v>
      </c>
      <c r="I189" s="2" t="s">
        <v>39</v>
      </c>
      <c r="J189" s="2" t="str">
        <f>VLOOKUP(E189,[1]LL_Hub!$A$1:$B$13,2,FALSE)</f>
        <v>Denver</v>
      </c>
      <c r="K189" t="str">
        <f>VLOOKUP(D189,'[2]product Table data'!$A$2:$B$12,2,FALSE)</f>
        <v>Male</v>
      </c>
      <c r="L189" t="str">
        <f>VLOOKUP($D189,'[2]product Table data'!$A$2:$G$12,L$1,FALSE)</f>
        <v>Casual n Light</v>
      </c>
      <c r="M189" t="str">
        <f>VLOOKUP($D189,'[2]product Table data'!$A$2:$G$12,M$1,FALSE)</f>
        <v>Ethiopia</v>
      </c>
      <c r="N189" t="str">
        <f>VLOOKUP($D189,'[2]product Table data'!$A$2:$G$12,N$1,FALSE)</f>
        <v>Africa</v>
      </c>
      <c r="O189">
        <f>VLOOKUP($D189,'[2]product Table data'!$A$2:$G$12,O$1,FALSE)</f>
        <v>10</v>
      </c>
      <c r="P189">
        <f>VLOOKUP($D189,'[2]product Table data'!$A$2:$G$12,P$1,FALSE)</f>
        <v>20</v>
      </c>
      <c r="Q189">
        <f t="shared" si="10"/>
        <v>10</v>
      </c>
      <c r="R189" t="str">
        <f t="shared" si="11"/>
        <v>Hub Risk</v>
      </c>
      <c r="S189" t="str">
        <f t="shared" si="12"/>
        <v>Style Risk</v>
      </c>
      <c r="T189" t="str">
        <f t="shared" si="13"/>
        <v>Risk</v>
      </c>
      <c r="U189" t="str">
        <f t="shared" si="14"/>
        <v>High Value</v>
      </c>
    </row>
    <row r="190" spans="1:21" hidden="1" x14ac:dyDescent="0.2">
      <c r="A190" s="2">
        <v>992</v>
      </c>
      <c r="B190" s="2" t="s">
        <v>9</v>
      </c>
      <c r="C190" s="2" t="s">
        <v>278</v>
      </c>
      <c r="D190" s="2" t="s">
        <v>11</v>
      </c>
      <c r="E190" s="2">
        <v>80123</v>
      </c>
      <c r="F190" s="2" t="s">
        <v>279</v>
      </c>
      <c r="G190" s="2" t="s">
        <v>13</v>
      </c>
      <c r="H190" s="2">
        <v>1</v>
      </c>
      <c r="I190" s="2" t="s">
        <v>39</v>
      </c>
      <c r="J190" s="2" t="str">
        <f>VLOOKUP(E190,[1]LL_Hub!$A$1:$B$13,2,FALSE)</f>
        <v>Denver</v>
      </c>
      <c r="K190" t="str">
        <f>VLOOKUP(D190,'[2]product Table data'!$A$2:$B$12,2,FALSE)</f>
        <v>Male</v>
      </c>
      <c r="L190" t="str">
        <f>VLOOKUP($D190,'[2]product Table data'!$A$2:$G$12,L$1,FALSE)</f>
        <v>Casual n Light</v>
      </c>
      <c r="M190" t="str">
        <f>VLOOKUP($D190,'[2]product Table data'!$A$2:$G$12,M$1,FALSE)</f>
        <v>Ethiopia</v>
      </c>
      <c r="N190" t="str">
        <f>VLOOKUP($D190,'[2]product Table data'!$A$2:$G$12,N$1,FALSE)</f>
        <v>Africa</v>
      </c>
      <c r="O190">
        <f>VLOOKUP($D190,'[2]product Table data'!$A$2:$G$12,O$1,FALSE)</f>
        <v>10</v>
      </c>
      <c r="P190">
        <f>VLOOKUP($D190,'[2]product Table data'!$A$2:$G$12,P$1,FALSE)</f>
        <v>20</v>
      </c>
      <c r="Q190">
        <f t="shared" si="10"/>
        <v>10</v>
      </c>
      <c r="R190" t="str">
        <f t="shared" si="11"/>
        <v>Hub Risk</v>
      </c>
      <c r="S190" t="str">
        <f t="shared" si="12"/>
        <v>Style Risk</v>
      </c>
      <c r="T190" t="str">
        <f t="shared" si="13"/>
        <v>Risk</v>
      </c>
      <c r="U190" t="str">
        <f t="shared" si="14"/>
        <v>High Value</v>
      </c>
    </row>
    <row r="191" spans="1:21" hidden="1" x14ac:dyDescent="0.2">
      <c r="A191" s="2">
        <v>993</v>
      </c>
      <c r="B191" s="2" t="s">
        <v>9</v>
      </c>
      <c r="C191" s="2" t="s">
        <v>280</v>
      </c>
      <c r="D191" s="2" t="s">
        <v>11</v>
      </c>
      <c r="E191" s="2">
        <v>80123</v>
      </c>
      <c r="F191" s="2" t="s">
        <v>281</v>
      </c>
      <c r="G191" s="2" t="s">
        <v>13</v>
      </c>
      <c r="H191" s="2">
        <v>1</v>
      </c>
      <c r="I191" s="2" t="s">
        <v>39</v>
      </c>
      <c r="J191" s="2" t="str">
        <f>VLOOKUP(E191,[1]LL_Hub!$A$1:$B$13,2,FALSE)</f>
        <v>Denver</v>
      </c>
      <c r="K191" t="str">
        <f>VLOOKUP(D191,'[2]product Table data'!$A$2:$B$12,2,FALSE)</f>
        <v>Male</v>
      </c>
      <c r="L191" t="str">
        <f>VLOOKUP($D191,'[2]product Table data'!$A$2:$G$12,L$1,FALSE)</f>
        <v>Casual n Light</v>
      </c>
      <c r="M191" t="str">
        <f>VLOOKUP($D191,'[2]product Table data'!$A$2:$G$12,M$1,FALSE)</f>
        <v>Ethiopia</v>
      </c>
      <c r="N191" t="str">
        <f>VLOOKUP($D191,'[2]product Table data'!$A$2:$G$12,N$1,FALSE)</f>
        <v>Africa</v>
      </c>
      <c r="O191">
        <f>VLOOKUP($D191,'[2]product Table data'!$A$2:$G$12,O$1,FALSE)</f>
        <v>10</v>
      </c>
      <c r="P191">
        <f>VLOOKUP($D191,'[2]product Table data'!$A$2:$G$12,P$1,FALSE)</f>
        <v>20</v>
      </c>
      <c r="Q191">
        <f t="shared" si="10"/>
        <v>10</v>
      </c>
      <c r="R191" t="str">
        <f t="shared" si="11"/>
        <v>Hub Risk</v>
      </c>
      <c r="S191" t="str">
        <f t="shared" si="12"/>
        <v>Style Risk</v>
      </c>
      <c r="T191" t="str">
        <f t="shared" si="13"/>
        <v>Risk</v>
      </c>
      <c r="U191" t="str">
        <f t="shared" si="14"/>
        <v>High Value</v>
      </c>
    </row>
    <row r="192" spans="1:21" hidden="1" x14ac:dyDescent="0.2">
      <c r="A192" s="2">
        <v>994</v>
      </c>
      <c r="B192" s="2" t="s">
        <v>9</v>
      </c>
      <c r="C192" s="2" t="s">
        <v>282</v>
      </c>
      <c r="D192" s="2" t="s">
        <v>11</v>
      </c>
      <c r="E192" s="2">
        <v>80123</v>
      </c>
      <c r="F192" s="2" t="s">
        <v>283</v>
      </c>
      <c r="G192" s="2" t="s">
        <v>13</v>
      </c>
      <c r="H192" s="2">
        <v>1</v>
      </c>
      <c r="I192" s="2" t="s">
        <v>39</v>
      </c>
      <c r="J192" s="2" t="str">
        <f>VLOOKUP(E192,[1]LL_Hub!$A$1:$B$13,2,FALSE)</f>
        <v>Denver</v>
      </c>
      <c r="K192" t="str">
        <f>VLOOKUP(D192,'[2]product Table data'!$A$2:$B$12,2,FALSE)</f>
        <v>Male</v>
      </c>
      <c r="L192" t="str">
        <f>VLOOKUP($D192,'[2]product Table data'!$A$2:$G$12,L$1,FALSE)</f>
        <v>Casual n Light</v>
      </c>
      <c r="M192" t="str">
        <f>VLOOKUP($D192,'[2]product Table data'!$A$2:$G$12,M$1,FALSE)</f>
        <v>Ethiopia</v>
      </c>
      <c r="N192" t="str">
        <f>VLOOKUP($D192,'[2]product Table data'!$A$2:$G$12,N$1,FALSE)</f>
        <v>Africa</v>
      </c>
      <c r="O192">
        <f>VLOOKUP($D192,'[2]product Table data'!$A$2:$G$12,O$1,FALSE)</f>
        <v>10</v>
      </c>
      <c r="P192">
        <f>VLOOKUP($D192,'[2]product Table data'!$A$2:$G$12,P$1,FALSE)</f>
        <v>20</v>
      </c>
      <c r="Q192">
        <f t="shared" si="10"/>
        <v>10</v>
      </c>
      <c r="R192" t="str">
        <f t="shared" si="11"/>
        <v>Hub Risk</v>
      </c>
      <c r="S192" t="str">
        <f t="shared" si="12"/>
        <v>Style Risk</v>
      </c>
      <c r="T192" t="str">
        <f t="shared" si="13"/>
        <v>Risk</v>
      </c>
      <c r="U192" t="str">
        <f t="shared" si="14"/>
        <v>High Value</v>
      </c>
    </row>
    <row r="193" spans="1:21" hidden="1" x14ac:dyDescent="0.2">
      <c r="A193" s="2">
        <v>995</v>
      </c>
      <c r="B193" s="2" t="s">
        <v>9</v>
      </c>
      <c r="C193" s="2" t="s">
        <v>284</v>
      </c>
      <c r="D193" s="2" t="s">
        <v>11</v>
      </c>
      <c r="E193" s="2">
        <v>80123</v>
      </c>
      <c r="F193" s="2" t="s">
        <v>285</v>
      </c>
      <c r="G193" s="2" t="s">
        <v>13</v>
      </c>
      <c r="H193" s="2">
        <v>1</v>
      </c>
      <c r="I193" s="2" t="s">
        <v>39</v>
      </c>
      <c r="J193" s="2" t="str">
        <f>VLOOKUP(E193,[1]LL_Hub!$A$1:$B$13,2,FALSE)</f>
        <v>Denver</v>
      </c>
      <c r="K193" t="str">
        <f>VLOOKUP(D193,'[2]product Table data'!$A$2:$B$12,2,FALSE)</f>
        <v>Male</v>
      </c>
      <c r="L193" t="str">
        <f>VLOOKUP($D193,'[2]product Table data'!$A$2:$G$12,L$1,FALSE)</f>
        <v>Casual n Light</v>
      </c>
      <c r="M193" t="str">
        <f>VLOOKUP($D193,'[2]product Table data'!$A$2:$G$12,M$1,FALSE)</f>
        <v>Ethiopia</v>
      </c>
      <c r="N193" t="str">
        <f>VLOOKUP($D193,'[2]product Table data'!$A$2:$G$12,N$1,FALSE)</f>
        <v>Africa</v>
      </c>
      <c r="O193">
        <f>VLOOKUP($D193,'[2]product Table data'!$A$2:$G$12,O$1,FALSE)</f>
        <v>10</v>
      </c>
      <c r="P193">
        <f>VLOOKUP($D193,'[2]product Table data'!$A$2:$G$12,P$1,FALSE)</f>
        <v>20</v>
      </c>
      <c r="Q193">
        <f t="shared" si="10"/>
        <v>10</v>
      </c>
      <c r="R193" t="str">
        <f t="shared" si="11"/>
        <v>Hub Risk</v>
      </c>
      <c r="S193" t="str">
        <f t="shared" si="12"/>
        <v>Style Risk</v>
      </c>
      <c r="T193" t="str">
        <f t="shared" si="13"/>
        <v>Risk</v>
      </c>
      <c r="U193" t="str">
        <f t="shared" si="14"/>
        <v>High Value</v>
      </c>
    </row>
    <row r="194" spans="1:21" hidden="1" x14ac:dyDescent="0.2">
      <c r="A194" s="2">
        <v>996</v>
      </c>
      <c r="B194" s="2" t="s">
        <v>9</v>
      </c>
      <c r="C194" s="2" t="s">
        <v>286</v>
      </c>
      <c r="D194" s="2" t="s">
        <v>11</v>
      </c>
      <c r="E194" s="2">
        <v>80123</v>
      </c>
      <c r="F194" s="2" t="s">
        <v>287</v>
      </c>
      <c r="G194" s="2" t="s">
        <v>13</v>
      </c>
      <c r="H194" s="2">
        <v>1</v>
      </c>
      <c r="I194" s="2" t="s">
        <v>39</v>
      </c>
      <c r="J194" s="2" t="str">
        <f>VLOOKUP(E194,[1]LL_Hub!$A$1:$B$13,2,FALSE)</f>
        <v>Denver</v>
      </c>
      <c r="K194" t="str">
        <f>VLOOKUP(D194,'[2]product Table data'!$A$2:$B$12,2,FALSE)</f>
        <v>Male</v>
      </c>
      <c r="L194" t="str">
        <f>VLOOKUP($D194,'[2]product Table data'!$A$2:$G$12,L$1,FALSE)</f>
        <v>Casual n Light</v>
      </c>
      <c r="M194" t="str">
        <f>VLOOKUP($D194,'[2]product Table data'!$A$2:$G$12,M$1,FALSE)</f>
        <v>Ethiopia</v>
      </c>
      <c r="N194" t="str">
        <f>VLOOKUP($D194,'[2]product Table data'!$A$2:$G$12,N$1,FALSE)</f>
        <v>Africa</v>
      </c>
      <c r="O194">
        <f>VLOOKUP($D194,'[2]product Table data'!$A$2:$G$12,O$1,FALSE)</f>
        <v>10</v>
      </c>
      <c r="P194">
        <f>VLOOKUP($D194,'[2]product Table data'!$A$2:$G$12,P$1,FALSE)</f>
        <v>20</v>
      </c>
      <c r="Q194">
        <f t="shared" si="10"/>
        <v>10</v>
      </c>
      <c r="R194" t="str">
        <f t="shared" si="11"/>
        <v>Hub Risk</v>
      </c>
      <c r="S194" t="str">
        <f t="shared" si="12"/>
        <v>Style Risk</v>
      </c>
      <c r="T194" t="str">
        <f t="shared" si="13"/>
        <v>Risk</v>
      </c>
      <c r="U194" t="str">
        <f t="shared" si="14"/>
        <v>High Value</v>
      </c>
    </row>
    <row r="195" spans="1:21" hidden="1" x14ac:dyDescent="0.2">
      <c r="A195" s="2">
        <v>997</v>
      </c>
      <c r="B195" s="2" t="s">
        <v>9</v>
      </c>
      <c r="C195" s="2" t="s">
        <v>288</v>
      </c>
      <c r="D195" s="2" t="s">
        <v>11</v>
      </c>
      <c r="E195" s="2">
        <v>80123</v>
      </c>
      <c r="F195" s="2" t="s">
        <v>289</v>
      </c>
      <c r="G195" s="2" t="s">
        <v>13</v>
      </c>
      <c r="H195" s="2">
        <v>1</v>
      </c>
      <c r="I195" s="2" t="s">
        <v>39</v>
      </c>
      <c r="J195" s="2" t="str">
        <f>VLOOKUP(E195,[1]LL_Hub!$A$1:$B$13,2,FALSE)</f>
        <v>Denver</v>
      </c>
      <c r="K195" t="str">
        <f>VLOOKUP(D195,'[2]product Table data'!$A$2:$B$12,2,FALSE)</f>
        <v>Male</v>
      </c>
      <c r="L195" t="str">
        <f>VLOOKUP($D195,'[2]product Table data'!$A$2:$G$12,L$1,FALSE)</f>
        <v>Casual n Light</v>
      </c>
      <c r="M195" t="str">
        <f>VLOOKUP($D195,'[2]product Table data'!$A$2:$G$12,M$1,FALSE)</f>
        <v>Ethiopia</v>
      </c>
      <c r="N195" t="str">
        <f>VLOOKUP($D195,'[2]product Table data'!$A$2:$G$12,N$1,FALSE)</f>
        <v>Africa</v>
      </c>
      <c r="O195">
        <f>VLOOKUP($D195,'[2]product Table data'!$A$2:$G$12,O$1,FALSE)</f>
        <v>10</v>
      </c>
      <c r="P195">
        <f>VLOOKUP($D195,'[2]product Table data'!$A$2:$G$12,P$1,FALSE)</f>
        <v>20</v>
      </c>
      <c r="Q195">
        <f t="shared" ref="Q195:Q258" si="15">P195-O195</f>
        <v>10</v>
      </c>
      <c r="R195" t="str">
        <f t="shared" ref="R195:R258" si="16">IF(OR(J195="Los Angeles",J195="Denver"),"Hub Risk","-")</f>
        <v>Hub Risk</v>
      </c>
      <c r="S195" t="str">
        <f t="shared" ref="S195:S258" si="17">IF(OR(L195="Casual n Light",L195="Fancy Sheek"),"Style Risk","-")</f>
        <v>Style Risk</v>
      </c>
      <c r="T195" t="str">
        <f t="shared" ref="T195:T258" si="18">IF(AND(R195="Hub Risk", S195="Style Risk"), "Risk", "-")</f>
        <v>Risk</v>
      </c>
      <c r="U195" t="str">
        <f t="shared" ref="U195:U258" si="19">IF(Q195&lt;=5, "Low Value", "High Value")</f>
        <v>High Value</v>
      </c>
    </row>
    <row r="196" spans="1:21" hidden="1" x14ac:dyDescent="0.2">
      <c r="A196" s="2">
        <v>998</v>
      </c>
      <c r="B196" s="2" t="s">
        <v>9</v>
      </c>
      <c r="C196" s="2" t="s">
        <v>290</v>
      </c>
      <c r="D196" s="2" t="s">
        <v>11</v>
      </c>
      <c r="E196" s="2">
        <v>80123</v>
      </c>
      <c r="F196" s="2" t="s">
        <v>291</v>
      </c>
      <c r="G196" s="2" t="s">
        <v>13</v>
      </c>
      <c r="H196" s="2">
        <v>1</v>
      </c>
      <c r="I196" s="2" t="s">
        <v>39</v>
      </c>
      <c r="J196" s="2" t="str">
        <f>VLOOKUP(E196,[1]LL_Hub!$A$1:$B$13,2,FALSE)</f>
        <v>Denver</v>
      </c>
      <c r="K196" t="str">
        <f>VLOOKUP(D196,'[2]product Table data'!$A$2:$B$12,2,FALSE)</f>
        <v>Male</v>
      </c>
      <c r="L196" t="str">
        <f>VLOOKUP($D196,'[2]product Table data'!$A$2:$G$12,L$1,FALSE)</f>
        <v>Casual n Light</v>
      </c>
      <c r="M196" t="str">
        <f>VLOOKUP($D196,'[2]product Table data'!$A$2:$G$12,M$1,FALSE)</f>
        <v>Ethiopia</v>
      </c>
      <c r="N196" t="str">
        <f>VLOOKUP($D196,'[2]product Table data'!$A$2:$G$12,N$1,FALSE)</f>
        <v>Africa</v>
      </c>
      <c r="O196">
        <f>VLOOKUP($D196,'[2]product Table data'!$A$2:$G$12,O$1,FALSE)</f>
        <v>10</v>
      </c>
      <c r="P196">
        <f>VLOOKUP($D196,'[2]product Table data'!$A$2:$G$12,P$1,FALSE)</f>
        <v>20</v>
      </c>
      <c r="Q196">
        <f t="shared" si="15"/>
        <v>10</v>
      </c>
      <c r="R196" t="str">
        <f t="shared" si="16"/>
        <v>Hub Risk</v>
      </c>
      <c r="S196" t="str">
        <f t="shared" si="17"/>
        <v>Style Risk</v>
      </c>
      <c r="T196" t="str">
        <f t="shared" si="18"/>
        <v>Risk</v>
      </c>
      <c r="U196" t="str">
        <f t="shared" si="19"/>
        <v>High Value</v>
      </c>
    </row>
    <row r="197" spans="1:21" hidden="1" x14ac:dyDescent="0.2">
      <c r="A197" s="2">
        <v>999</v>
      </c>
      <c r="B197" s="2" t="s">
        <v>9</v>
      </c>
      <c r="C197" s="2" t="s">
        <v>292</v>
      </c>
      <c r="D197" s="2" t="s">
        <v>11</v>
      </c>
      <c r="E197" s="2">
        <v>80123</v>
      </c>
      <c r="F197" s="2" t="s">
        <v>293</v>
      </c>
      <c r="G197" s="2" t="s">
        <v>13</v>
      </c>
      <c r="H197" s="2">
        <v>1</v>
      </c>
      <c r="I197" s="2" t="s">
        <v>39</v>
      </c>
      <c r="J197" s="2" t="str">
        <f>VLOOKUP(E197,[1]LL_Hub!$A$1:$B$13,2,FALSE)</f>
        <v>Denver</v>
      </c>
      <c r="K197" t="str">
        <f>VLOOKUP(D197,'[2]product Table data'!$A$2:$B$12,2,FALSE)</f>
        <v>Male</v>
      </c>
      <c r="L197" t="str">
        <f>VLOOKUP($D197,'[2]product Table data'!$A$2:$G$12,L$1,FALSE)</f>
        <v>Casual n Light</v>
      </c>
      <c r="M197" t="str">
        <f>VLOOKUP($D197,'[2]product Table data'!$A$2:$G$12,M$1,FALSE)</f>
        <v>Ethiopia</v>
      </c>
      <c r="N197" t="str">
        <f>VLOOKUP($D197,'[2]product Table data'!$A$2:$G$12,N$1,FALSE)</f>
        <v>Africa</v>
      </c>
      <c r="O197">
        <f>VLOOKUP($D197,'[2]product Table data'!$A$2:$G$12,O$1,FALSE)</f>
        <v>10</v>
      </c>
      <c r="P197">
        <f>VLOOKUP($D197,'[2]product Table data'!$A$2:$G$12,P$1,FALSE)</f>
        <v>20</v>
      </c>
      <c r="Q197">
        <f t="shared" si="15"/>
        <v>10</v>
      </c>
      <c r="R197" t="str">
        <f t="shared" si="16"/>
        <v>Hub Risk</v>
      </c>
      <c r="S197" t="str">
        <f t="shared" si="17"/>
        <v>Style Risk</v>
      </c>
      <c r="T197" t="str">
        <f t="shared" si="18"/>
        <v>Risk</v>
      </c>
      <c r="U197" t="str">
        <f t="shared" si="19"/>
        <v>High Value</v>
      </c>
    </row>
    <row r="198" spans="1:21" hidden="1" x14ac:dyDescent="0.2">
      <c r="A198" s="2">
        <v>1000</v>
      </c>
      <c r="B198" s="2" t="s">
        <v>9</v>
      </c>
      <c r="C198" s="2" t="s">
        <v>294</v>
      </c>
      <c r="D198" s="2" t="s">
        <v>11</v>
      </c>
      <c r="E198" s="2">
        <v>80123</v>
      </c>
      <c r="F198" s="2" t="s">
        <v>295</v>
      </c>
      <c r="G198" s="2" t="s">
        <v>13</v>
      </c>
      <c r="H198" s="2">
        <v>1</v>
      </c>
      <c r="I198" s="2" t="s">
        <v>39</v>
      </c>
      <c r="J198" s="2" t="str">
        <f>VLOOKUP(E198,[1]LL_Hub!$A$1:$B$13,2,FALSE)</f>
        <v>Denver</v>
      </c>
      <c r="K198" t="str">
        <f>VLOOKUP(D198,'[2]product Table data'!$A$2:$B$12,2,FALSE)</f>
        <v>Male</v>
      </c>
      <c r="L198" t="str">
        <f>VLOOKUP($D198,'[2]product Table data'!$A$2:$G$12,L$1,FALSE)</f>
        <v>Casual n Light</v>
      </c>
      <c r="M198" t="str">
        <f>VLOOKUP($D198,'[2]product Table data'!$A$2:$G$12,M$1,FALSE)</f>
        <v>Ethiopia</v>
      </c>
      <c r="N198" t="str">
        <f>VLOOKUP($D198,'[2]product Table data'!$A$2:$G$12,N$1,FALSE)</f>
        <v>Africa</v>
      </c>
      <c r="O198">
        <f>VLOOKUP($D198,'[2]product Table data'!$A$2:$G$12,O$1,FALSE)</f>
        <v>10</v>
      </c>
      <c r="P198">
        <f>VLOOKUP($D198,'[2]product Table data'!$A$2:$G$12,P$1,FALSE)</f>
        <v>20</v>
      </c>
      <c r="Q198">
        <f t="shared" si="15"/>
        <v>10</v>
      </c>
      <c r="R198" t="str">
        <f t="shared" si="16"/>
        <v>Hub Risk</v>
      </c>
      <c r="S198" t="str">
        <f t="shared" si="17"/>
        <v>Style Risk</v>
      </c>
      <c r="T198" t="str">
        <f t="shared" si="18"/>
        <v>Risk</v>
      </c>
      <c r="U198" t="str">
        <f t="shared" si="19"/>
        <v>High Value</v>
      </c>
    </row>
    <row r="199" spans="1:21" hidden="1" x14ac:dyDescent="0.2">
      <c r="A199" s="2">
        <v>1001</v>
      </c>
      <c r="B199" s="2" t="s">
        <v>9</v>
      </c>
      <c r="C199" s="2" t="s">
        <v>296</v>
      </c>
      <c r="D199" s="2" t="s">
        <v>11</v>
      </c>
      <c r="E199" s="2">
        <v>80123</v>
      </c>
      <c r="F199" s="2" t="s">
        <v>297</v>
      </c>
      <c r="G199" s="2" t="s">
        <v>13</v>
      </c>
      <c r="H199" s="2">
        <v>1</v>
      </c>
      <c r="I199" s="2" t="s">
        <v>39</v>
      </c>
      <c r="J199" s="2" t="str">
        <f>VLOOKUP(E199,[1]LL_Hub!$A$1:$B$13,2,FALSE)</f>
        <v>Denver</v>
      </c>
      <c r="K199" t="str">
        <f>VLOOKUP(D199,'[2]product Table data'!$A$2:$B$12,2,FALSE)</f>
        <v>Male</v>
      </c>
      <c r="L199" t="str">
        <f>VLOOKUP($D199,'[2]product Table data'!$A$2:$G$12,L$1,FALSE)</f>
        <v>Casual n Light</v>
      </c>
      <c r="M199" t="str">
        <f>VLOOKUP($D199,'[2]product Table data'!$A$2:$G$12,M$1,FALSE)</f>
        <v>Ethiopia</v>
      </c>
      <c r="N199" t="str">
        <f>VLOOKUP($D199,'[2]product Table data'!$A$2:$G$12,N$1,FALSE)</f>
        <v>Africa</v>
      </c>
      <c r="O199">
        <f>VLOOKUP($D199,'[2]product Table data'!$A$2:$G$12,O$1,FALSE)</f>
        <v>10</v>
      </c>
      <c r="P199">
        <f>VLOOKUP($D199,'[2]product Table data'!$A$2:$G$12,P$1,FALSE)</f>
        <v>20</v>
      </c>
      <c r="Q199">
        <f t="shared" si="15"/>
        <v>10</v>
      </c>
      <c r="R199" t="str">
        <f t="shared" si="16"/>
        <v>Hub Risk</v>
      </c>
      <c r="S199" t="str">
        <f t="shared" si="17"/>
        <v>Style Risk</v>
      </c>
      <c r="T199" t="str">
        <f t="shared" si="18"/>
        <v>Risk</v>
      </c>
      <c r="U199" t="str">
        <f t="shared" si="19"/>
        <v>High Value</v>
      </c>
    </row>
    <row r="200" spans="1:21" hidden="1" x14ac:dyDescent="0.2">
      <c r="A200" s="2">
        <v>1002</v>
      </c>
      <c r="B200" s="2" t="s">
        <v>9</v>
      </c>
      <c r="C200" s="2" t="s">
        <v>298</v>
      </c>
      <c r="D200" s="2" t="s">
        <v>45</v>
      </c>
      <c r="E200" s="2">
        <v>80123</v>
      </c>
      <c r="F200" s="2" t="s">
        <v>299</v>
      </c>
      <c r="G200" s="2" t="s">
        <v>13</v>
      </c>
      <c r="H200" s="2">
        <v>1</v>
      </c>
      <c r="I200" s="2" t="s">
        <v>39</v>
      </c>
      <c r="J200" s="2" t="str">
        <f>VLOOKUP(E200,[1]LL_Hub!$A$1:$B$13,2,FALSE)</f>
        <v>Denver</v>
      </c>
      <c r="K200" t="str">
        <f>VLOOKUP(D200,'[2]product Table data'!$A$2:$B$12,2,FALSE)</f>
        <v>Female</v>
      </c>
      <c r="L200" t="str">
        <f>VLOOKUP($D200,'[2]product Table data'!$A$2:$G$12,L$1,FALSE)</f>
        <v>Winter Warmth</v>
      </c>
      <c r="M200" t="str">
        <f>VLOOKUP($D200,'[2]product Table data'!$A$2:$G$12,M$1,FALSE)</f>
        <v>Romania</v>
      </c>
      <c r="N200" t="str">
        <f>VLOOKUP($D200,'[2]product Table data'!$A$2:$G$12,N$1,FALSE)</f>
        <v>Eastern Europe</v>
      </c>
      <c r="O200">
        <f>VLOOKUP($D200,'[2]product Table data'!$A$2:$G$12,O$1,FALSE)</f>
        <v>350</v>
      </c>
      <c r="P200">
        <f>VLOOKUP($D200,'[2]product Table data'!$A$2:$G$12,P$1,FALSE)</f>
        <v>450</v>
      </c>
      <c r="Q200">
        <f t="shared" si="15"/>
        <v>100</v>
      </c>
      <c r="R200" t="str">
        <f t="shared" si="16"/>
        <v>Hub Risk</v>
      </c>
      <c r="S200" t="str">
        <f t="shared" si="17"/>
        <v>-</v>
      </c>
      <c r="T200" t="str">
        <f t="shared" si="18"/>
        <v>-</v>
      </c>
      <c r="U200" t="str">
        <f t="shared" si="19"/>
        <v>High Value</v>
      </c>
    </row>
    <row r="201" spans="1:21" hidden="1" x14ac:dyDescent="0.2">
      <c r="A201" s="2">
        <v>1003</v>
      </c>
      <c r="B201" s="2" t="s">
        <v>9</v>
      </c>
      <c r="C201" s="2" t="s">
        <v>300</v>
      </c>
      <c r="D201" s="2" t="s">
        <v>11</v>
      </c>
      <c r="E201" s="2">
        <v>80123</v>
      </c>
      <c r="F201" s="2" t="s">
        <v>301</v>
      </c>
      <c r="G201" s="2" t="s">
        <v>13</v>
      </c>
      <c r="H201" s="2">
        <v>1</v>
      </c>
      <c r="I201" s="2" t="s">
        <v>39</v>
      </c>
      <c r="J201" s="2" t="str">
        <f>VLOOKUP(E201,[1]LL_Hub!$A$1:$B$13,2,FALSE)</f>
        <v>Denver</v>
      </c>
      <c r="K201" t="str">
        <f>VLOOKUP(D201,'[2]product Table data'!$A$2:$B$12,2,FALSE)</f>
        <v>Male</v>
      </c>
      <c r="L201" t="str">
        <f>VLOOKUP($D201,'[2]product Table data'!$A$2:$G$12,L$1,FALSE)</f>
        <v>Casual n Light</v>
      </c>
      <c r="M201" t="str">
        <f>VLOOKUP($D201,'[2]product Table data'!$A$2:$G$12,M$1,FALSE)</f>
        <v>Ethiopia</v>
      </c>
      <c r="N201" t="str">
        <f>VLOOKUP($D201,'[2]product Table data'!$A$2:$G$12,N$1,FALSE)</f>
        <v>Africa</v>
      </c>
      <c r="O201">
        <f>VLOOKUP($D201,'[2]product Table data'!$A$2:$G$12,O$1,FALSE)</f>
        <v>10</v>
      </c>
      <c r="P201">
        <f>VLOOKUP($D201,'[2]product Table data'!$A$2:$G$12,P$1,FALSE)</f>
        <v>20</v>
      </c>
      <c r="Q201">
        <f t="shared" si="15"/>
        <v>10</v>
      </c>
      <c r="R201" t="str">
        <f t="shared" si="16"/>
        <v>Hub Risk</v>
      </c>
      <c r="S201" t="str">
        <f t="shared" si="17"/>
        <v>Style Risk</v>
      </c>
      <c r="T201" t="str">
        <f t="shared" si="18"/>
        <v>Risk</v>
      </c>
      <c r="U201" t="str">
        <f t="shared" si="19"/>
        <v>High Value</v>
      </c>
    </row>
    <row r="202" spans="1:21" hidden="1" x14ac:dyDescent="0.2">
      <c r="A202" s="2">
        <v>1004</v>
      </c>
      <c r="B202" s="2" t="s">
        <v>9</v>
      </c>
      <c r="C202" s="2" t="s">
        <v>302</v>
      </c>
      <c r="D202" s="2" t="s">
        <v>11</v>
      </c>
      <c r="E202" s="2">
        <v>80123</v>
      </c>
      <c r="F202" s="2" t="s">
        <v>303</v>
      </c>
      <c r="G202" s="2" t="s">
        <v>13</v>
      </c>
      <c r="H202" s="2">
        <v>1</v>
      </c>
      <c r="I202" s="2" t="s">
        <v>39</v>
      </c>
      <c r="J202" s="2" t="str">
        <f>VLOOKUP(E202,[1]LL_Hub!$A$1:$B$13,2,FALSE)</f>
        <v>Denver</v>
      </c>
      <c r="K202" t="str">
        <f>VLOOKUP(D202,'[2]product Table data'!$A$2:$B$12,2,FALSE)</f>
        <v>Male</v>
      </c>
      <c r="L202" t="str">
        <f>VLOOKUP($D202,'[2]product Table data'!$A$2:$G$12,L$1,FALSE)</f>
        <v>Casual n Light</v>
      </c>
      <c r="M202" t="str">
        <f>VLOOKUP($D202,'[2]product Table data'!$A$2:$G$12,M$1,FALSE)</f>
        <v>Ethiopia</v>
      </c>
      <c r="N202" t="str">
        <f>VLOOKUP($D202,'[2]product Table data'!$A$2:$G$12,N$1,FALSE)</f>
        <v>Africa</v>
      </c>
      <c r="O202">
        <f>VLOOKUP($D202,'[2]product Table data'!$A$2:$G$12,O$1,FALSE)</f>
        <v>10</v>
      </c>
      <c r="P202">
        <f>VLOOKUP($D202,'[2]product Table data'!$A$2:$G$12,P$1,FALSE)</f>
        <v>20</v>
      </c>
      <c r="Q202">
        <f t="shared" si="15"/>
        <v>10</v>
      </c>
      <c r="R202" t="str">
        <f t="shared" si="16"/>
        <v>Hub Risk</v>
      </c>
      <c r="S202" t="str">
        <f t="shared" si="17"/>
        <v>Style Risk</v>
      </c>
      <c r="T202" t="str">
        <f t="shared" si="18"/>
        <v>Risk</v>
      </c>
      <c r="U202" t="str">
        <f t="shared" si="19"/>
        <v>High Value</v>
      </c>
    </row>
    <row r="203" spans="1:21" hidden="1" x14ac:dyDescent="0.2">
      <c r="A203" s="2">
        <v>1005</v>
      </c>
      <c r="B203" s="2" t="s">
        <v>9</v>
      </c>
      <c r="C203" s="2" t="s">
        <v>304</v>
      </c>
      <c r="D203" s="2" t="s">
        <v>11</v>
      </c>
      <c r="E203" s="2">
        <v>80123</v>
      </c>
      <c r="F203" s="2" t="s">
        <v>305</v>
      </c>
      <c r="G203" s="2" t="s">
        <v>13</v>
      </c>
      <c r="H203" s="2">
        <v>1</v>
      </c>
      <c r="I203" s="2" t="s">
        <v>39</v>
      </c>
      <c r="J203" s="2" t="str">
        <f>VLOOKUP(E203,[1]LL_Hub!$A$1:$B$13,2,FALSE)</f>
        <v>Denver</v>
      </c>
      <c r="K203" t="str">
        <f>VLOOKUP(D203,'[2]product Table data'!$A$2:$B$12,2,FALSE)</f>
        <v>Male</v>
      </c>
      <c r="L203" t="str">
        <f>VLOOKUP($D203,'[2]product Table data'!$A$2:$G$12,L$1,FALSE)</f>
        <v>Casual n Light</v>
      </c>
      <c r="M203" t="str">
        <f>VLOOKUP($D203,'[2]product Table data'!$A$2:$G$12,M$1,FALSE)</f>
        <v>Ethiopia</v>
      </c>
      <c r="N203" t="str">
        <f>VLOOKUP($D203,'[2]product Table data'!$A$2:$G$12,N$1,FALSE)</f>
        <v>Africa</v>
      </c>
      <c r="O203">
        <f>VLOOKUP($D203,'[2]product Table data'!$A$2:$G$12,O$1,FALSE)</f>
        <v>10</v>
      </c>
      <c r="P203">
        <f>VLOOKUP($D203,'[2]product Table data'!$A$2:$G$12,P$1,FALSE)</f>
        <v>20</v>
      </c>
      <c r="Q203">
        <f t="shared" si="15"/>
        <v>10</v>
      </c>
      <c r="R203" t="str">
        <f t="shared" si="16"/>
        <v>Hub Risk</v>
      </c>
      <c r="S203" t="str">
        <f t="shared" si="17"/>
        <v>Style Risk</v>
      </c>
      <c r="T203" t="str">
        <f t="shared" si="18"/>
        <v>Risk</v>
      </c>
      <c r="U203" t="str">
        <f t="shared" si="19"/>
        <v>High Value</v>
      </c>
    </row>
    <row r="204" spans="1:21" hidden="1" x14ac:dyDescent="0.2">
      <c r="A204" s="2">
        <v>1006</v>
      </c>
      <c r="B204" s="2" t="s">
        <v>9</v>
      </c>
      <c r="C204" s="2" t="s">
        <v>306</v>
      </c>
      <c r="D204" s="2" t="s">
        <v>11</v>
      </c>
      <c r="E204" s="2">
        <v>80123</v>
      </c>
      <c r="F204" s="2" t="s">
        <v>307</v>
      </c>
      <c r="G204" s="2" t="s">
        <v>13</v>
      </c>
      <c r="H204" s="2">
        <v>1</v>
      </c>
      <c r="I204" s="2" t="s">
        <v>39</v>
      </c>
      <c r="J204" s="2" t="str">
        <f>VLOOKUP(E204,[1]LL_Hub!$A$1:$B$13,2,FALSE)</f>
        <v>Denver</v>
      </c>
      <c r="K204" t="str">
        <f>VLOOKUP(D204,'[2]product Table data'!$A$2:$B$12,2,FALSE)</f>
        <v>Male</v>
      </c>
      <c r="L204" t="str">
        <f>VLOOKUP($D204,'[2]product Table data'!$A$2:$G$12,L$1,FALSE)</f>
        <v>Casual n Light</v>
      </c>
      <c r="M204" t="str">
        <f>VLOOKUP($D204,'[2]product Table data'!$A$2:$G$12,M$1,FALSE)</f>
        <v>Ethiopia</v>
      </c>
      <c r="N204" t="str">
        <f>VLOOKUP($D204,'[2]product Table data'!$A$2:$G$12,N$1,FALSE)</f>
        <v>Africa</v>
      </c>
      <c r="O204">
        <f>VLOOKUP($D204,'[2]product Table data'!$A$2:$G$12,O$1,FALSE)</f>
        <v>10</v>
      </c>
      <c r="P204">
        <f>VLOOKUP($D204,'[2]product Table data'!$A$2:$G$12,P$1,FALSE)</f>
        <v>20</v>
      </c>
      <c r="Q204">
        <f t="shared" si="15"/>
        <v>10</v>
      </c>
      <c r="R204" t="str">
        <f t="shared" si="16"/>
        <v>Hub Risk</v>
      </c>
      <c r="S204" t="str">
        <f t="shared" si="17"/>
        <v>Style Risk</v>
      </c>
      <c r="T204" t="str">
        <f t="shared" si="18"/>
        <v>Risk</v>
      </c>
      <c r="U204" t="str">
        <f t="shared" si="19"/>
        <v>High Value</v>
      </c>
    </row>
    <row r="205" spans="1:21" hidden="1" x14ac:dyDescent="0.2">
      <c r="A205" s="2">
        <v>1007</v>
      </c>
      <c r="B205" s="2" t="s">
        <v>9</v>
      </c>
      <c r="C205" s="2" t="s">
        <v>308</v>
      </c>
      <c r="D205" s="2" t="s">
        <v>11</v>
      </c>
      <c r="E205" s="2">
        <v>80123</v>
      </c>
      <c r="F205" s="2" t="s">
        <v>309</v>
      </c>
      <c r="G205" s="2" t="s">
        <v>13</v>
      </c>
      <c r="H205" s="2">
        <v>1</v>
      </c>
      <c r="I205" s="2" t="s">
        <v>39</v>
      </c>
      <c r="J205" s="2" t="str">
        <f>VLOOKUP(E205,[1]LL_Hub!$A$1:$B$13,2,FALSE)</f>
        <v>Denver</v>
      </c>
      <c r="K205" t="str">
        <f>VLOOKUP(D205,'[2]product Table data'!$A$2:$B$12,2,FALSE)</f>
        <v>Male</v>
      </c>
      <c r="L205" t="str">
        <f>VLOOKUP($D205,'[2]product Table data'!$A$2:$G$12,L$1,FALSE)</f>
        <v>Casual n Light</v>
      </c>
      <c r="M205" t="str">
        <f>VLOOKUP($D205,'[2]product Table data'!$A$2:$G$12,M$1,FALSE)</f>
        <v>Ethiopia</v>
      </c>
      <c r="N205" t="str">
        <f>VLOOKUP($D205,'[2]product Table data'!$A$2:$G$12,N$1,FALSE)</f>
        <v>Africa</v>
      </c>
      <c r="O205">
        <f>VLOOKUP($D205,'[2]product Table data'!$A$2:$G$12,O$1,FALSE)</f>
        <v>10</v>
      </c>
      <c r="P205">
        <f>VLOOKUP($D205,'[2]product Table data'!$A$2:$G$12,P$1,FALSE)</f>
        <v>20</v>
      </c>
      <c r="Q205">
        <f t="shared" si="15"/>
        <v>10</v>
      </c>
      <c r="R205" t="str">
        <f t="shared" si="16"/>
        <v>Hub Risk</v>
      </c>
      <c r="S205" t="str">
        <f t="shared" si="17"/>
        <v>Style Risk</v>
      </c>
      <c r="T205" t="str">
        <f t="shared" si="18"/>
        <v>Risk</v>
      </c>
      <c r="U205" t="str">
        <f t="shared" si="19"/>
        <v>High Value</v>
      </c>
    </row>
    <row r="206" spans="1:21" hidden="1" x14ac:dyDescent="0.2">
      <c r="A206" s="2">
        <v>1008</v>
      </c>
      <c r="B206" s="2" t="s">
        <v>9</v>
      </c>
      <c r="C206" s="2" t="s">
        <v>310</v>
      </c>
      <c r="D206" s="2" t="s">
        <v>11</v>
      </c>
      <c r="E206" s="2">
        <v>80123</v>
      </c>
      <c r="F206" s="2" t="s">
        <v>311</v>
      </c>
      <c r="G206" s="2" t="s">
        <v>13</v>
      </c>
      <c r="H206" s="2">
        <v>1</v>
      </c>
      <c r="I206" s="2" t="s">
        <v>39</v>
      </c>
      <c r="J206" s="2" t="str">
        <f>VLOOKUP(E206,[1]LL_Hub!$A$1:$B$13,2,FALSE)</f>
        <v>Denver</v>
      </c>
      <c r="K206" t="str">
        <f>VLOOKUP(D206,'[2]product Table data'!$A$2:$B$12,2,FALSE)</f>
        <v>Male</v>
      </c>
      <c r="L206" t="str">
        <f>VLOOKUP($D206,'[2]product Table data'!$A$2:$G$12,L$1,FALSE)</f>
        <v>Casual n Light</v>
      </c>
      <c r="M206" t="str">
        <f>VLOOKUP($D206,'[2]product Table data'!$A$2:$G$12,M$1,FALSE)</f>
        <v>Ethiopia</v>
      </c>
      <c r="N206" t="str">
        <f>VLOOKUP($D206,'[2]product Table data'!$A$2:$G$12,N$1,FALSE)</f>
        <v>Africa</v>
      </c>
      <c r="O206">
        <f>VLOOKUP($D206,'[2]product Table data'!$A$2:$G$12,O$1,FALSE)</f>
        <v>10</v>
      </c>
      <c r="P206">
        <f>VLOOKUP($D206,'[2]product Table data'!$A$2:$G$12,P$1,FALSE)</f>
        <v>20</v>
      </c>
      <c r="Q206">
        <f t="shared" si="15"/>
        <v>10</v>
      </c>
      <c r="R206" t="str">
        <f t="shared" si="16"/>
        <v>Hub Risk</v>
      </c>
      <c r="S206" t="str">
        <f t="shared" si="17"/>
        <v>Style Risk</v>
      </c>
      <c r="T206" t="str">
        <f t="shared" si="18"/>
        <v>Risk</v>
      </c>
      <c r="U206" t="str">
        <f t="shared" si="19"/>
        <v>High Value</v>
      </c>
    </row>
    <row r="207" spans="1:21" hidden="1" x14ac:dyDescent="0.2">
      <c r="A207" s="2">
        <v>1009</v>
      </c>
      <c r="B207" s="2" t="s">
        <v>9</v>
      </c>
      <c r="C207" s="2" t="s">
        <v>312</v>
      </c>
      <c r="D207" s="2" t="s">
        <v>11</v>
      </c>
      <c r="E207" s="2">
        <v>80123</v>
      </c>
      <c r="F207" s="2" t="s">
        <v>313</v>
      </c>
      <c r="G207" s="2" t="s">
        <v>13</v>
      </c>
      <c r="H207" s="2">
        <v>1</v>
      </c>
      <c r="I207" s="2" t="s">
        <v>39</v>
      </c>
      <c r="J207" s="2" t="str">
        <f>VLOOKUP(E207,[1]LL_Hub!$A$1:$B$13,2,FALSE)</f>
        <v>Denver</v>
      </c>
      <c r="K207" t="str">
        <f>VLOOKUP(D207,'[2]product Table data'!$A$2:$B$12,2,FALSE)</f>
        <v>Male</v>
      </c>
      <c r="L207" t="str">
        <f>VLOOKUP($D207,'[2]product Table data'!$A$2:$G$12,L$1,FALSE)</f>
        <v>Casual n Light</v>
      </c>
      <c r="M207" t="str">
        <f>VLOOKUP($D207,'[2]product Table data'!$A$2:$G$12,M$1,FALSE)</f>
        <v>Ethiopia</v>
      </c>
      <c r="N207" t="str">
        <f>VLOOKUP($D207,'[2]product Table data'!$A$2:$G$12,N$1,FALSE)</f>
        <v>Africa</v>
      </c>
      <c r="O207">
        <f>VLOOKUP($D207,'[2]product Table data'!$A$2:$G$12,O$1,FALSE)</f>
        <v>10</v>
      </c>
      <c r="P207">
        <f>VLOOKUP($D207,'[2]product Table data'!$A$2:$G$12,P$1,FALSE)</f>
        <v>20</v>
      </c>
      <c r="Q207">
        <f t="shared" si="15"/>
        <v>10</v>
      </c>
      <c r="R207" t="str">
        <f t="shared" si="16"/>
        <v>Hub Risk</v>
      </c>
      <c r="S207" t="str">
        <f t="shared" si="17"/>
        <v>Style Risk</v>
      </c>
      <c r="T207" t="str">
        <f t="shared" si="18"/>
        <v>Risk</v>
      </c>
      <c r="U207" t="str">
        <f t="shared" si="19"/>
        <v>High Value</v>
      </c>
    </row>
    <row r="208" spans="1:21" hidden="1" x14ac:dyDescent="0.2">
      <c r="A208" s="2">
        <v>1010</v>
      </c>
      <c r="B208" s="2" t="s">
        <v>9</v>
      </c>
      <c r="C208" s="2" t="s">
        <v>314</v>
      </c>
      <c r="D208" s="2" t="s">
        <v>11</v>
      </c>
      <c r="E208" s="2">
        <v>80123</v>
      </c>
      <c r="F208" s="2" t="s">
        <v>315</v>
      </c>
      <c r="G208" s="2" t="s">
        <v>13</v>
      </c>
      <c r="H208" s="2">
        <v>1</v>
      </c>
      <c r="I208" s="2" t="s">
        <v>39</v>
      </c>
      <c r="J208" s="2" t="str">
        <f>VLOOKUP(E208,[1]LL_Hub!$A$1:$B$13,2,FALSE)</f>
        <v>Denver</v>
      </c>
      <c r="K208" t="str">
        <f>VLOOKUP(D208,'[2]product Table data'!$A$2:$B$12,2,FALSE)</f>
        <v>Male</v>
      </c>
      <c r="L208" t="str">
        <f>VLOOKUP($D208,'[2]product Table data'!$A$2:$G$12,L$1,FALSE)</f>
        <v>Casual n Light</v>
      </c>
      <c r="M208" t="str">
        <f>VLOOKUP($D208,'[2]product Table data'!$A$2:$G$12,M$1,FALSE)</f>
        <v>Ethiopia</v>
      </c>
      <c r="N208" t="str">
        <f>VLOOKUP($D208,'[2]product Table data'!$A$2:$G$12,N$1,FALSE)</f>
        <v>Africa</v>
      </c>
      <c r="O208">
        <f>VLOOKUP($D208,'[2]product Table data'!$A$2:$G$12,O$1,FALSE)</f>
        <v>10</v>
      </c>
      <c r="P208">
        <f>VLOOKUP($D208,'[2]product Table data'!$A$2:$G$12,P$1,FALSE)</f>
        <v>20</v>
      </c>
      <c r="Q208">
        <f t="shared" si="15"/>
        <v>10</v>
      </c>
      <c r="R208" t="str">
        <f t="shared" si="16"/>
        <v>Hub Risk</v>
      </c>
      <c r="S208" t="str">
        <f t="shared" si="17"/>
        <v>Style Risk</v>
      </c>
      <c r="T208" t="str">
        <f t="shared" si="18"/>
        <v>Risk</v>
      </c>
      <c r="U208" t="str">
        <f t="shared" si="19"/>
        <v>High Value</v>
      </c>
    </row>
    <row r="209" spans="1:21" hidden="1" x14ac:dyDescent="0.2">
      <c r="A209" s="2">
        <v>1011</v>
      </c>
      <c r="B209" s="2" t="s">
        <v>9</v>
      </c>
      <c r="C209" s="2" t="s">
        <v>316</v>
      </c>
      <c r="D209" s="2" t="s">
        <v>11</v>
      </c>
      <c r="E209" s="2">
        <v>80123</v>
      </c>
      <c r="F209" s="2" t="s">
        <v>317</v>
      </c>
      <c r="G209" s="2" t="s">
        <v>13</v>
      </c>
      <c r="H209" s="2">
        <v>1</v>
      </c>
      <c r="I209" s="2" t="s">
        <v>39</v>
      </c>
      <c r="J209" s="2" t="str">
        <f>VLOOKUP(E209,[1]LL_Hub!$A$1:$B$13,2,FALSE)</f>
        <v>Denver</v>
      </c>
      <c r="K209" t="str">
        <f>VLOOKUP(D209,'[2]product Table data'!$A$2:$B$12,2,FALSE)</f>
        <v>Male</v>
      </c>
      <c r="L209" t="str">
        <f>VLOOKUP($D209,'[2]product Table data'!$A$2:$G$12,L$1,FALSE)</f>
        <v>Casual n Light</v>
      </c>
      <c r="M209" t="str">
        <f>VLOOKUP($D209,'[2]product Table data'!$A$2:$G$12,M$1,FALSE)</f>
        <v>Ethiopia</v>
      </c>
      <c r="N209" t="str">
        <f>VLOOKUP($D209,'[2]product Table data'!$A$2:$G$12,N$1,FALSE)</f>
        <v>Africa</v>
      </c>
      <c r="O209">
        <f>VLOOKUP($D209,'[2]product Table data'!$A$2:$G$12,O$1,FALSE)</f>
        <v>10</v>
      </c>
      <c r="P209">
        <f>VLOOKUP($D209,'[2]product Table data'!$A$2:$G$12,P$1,FALSE)</f>
        <v>20</v>
      </c>
      <c r="Q209">
        <f t="shared" si="15"/>
        <v>10</v>
      </c>
      <c r="R209" t="str">
        <f t="shared" si="16"/>
        <v>Hub Risk</v>
      </c>
      <c r="S209" t="str">
        <f t="shared" si="17"/>
        <v>Style Risk</v>
      </c>
      <c r="T209" t="str">
        <f t="shared" si="18"/>
        <v>Risk</v>
      </c>
      <c r="U209" t="str">
        <f t="shared" si="19"/>
        <v>High Value</v>
      </c>
    </row>
    <row r="210" spans="1:21" hidden="1" x14ac:dyDescent="0.2">
      <c r="A210" s="2">
        <v>1012</v>
      </c>
      <c r="B210" s="2" t="s">
        <v>9</v>
      </c>
      <c r="C210" s="2" t="s">
        <v>318</v>
      </c>
      <c r="D210" s="2" t="s">
        <v>11</v>
      </c>
      <c r="E210" s="2">
        <v>80123</v>
      </c>
      <c r="F210" s="2" t="s">
        <v>319</v>
      </c>
      <c r="G210" s="2" t="s">
        <v>13</v>
      </c>
      <c r="H210" s="2">
        <v>1</v>
      </c>
      <c r="I210" s="2" t="s">
        <v>39</v>
      </c>
      <c r="J210" s="2" t="str">
        <f>VLOOKUP(E210,[1]LL_Hub!$A$1:$B$13,2,FALSE)</f>
        <v>Denver</v>
      </c>
      <c r="K210" t="str">
        <f>VLOOKUP(D210,'[2]product Table data'!$A$2:$B$12,2,FALSE)</f>
        <v>Male</v>
      </c>
      <c r="L210" t="str">
        <f>VLOOKUP($D210,'[2]product Table data'!$A$2:$G$12,L$1,FALSE)</f>
        <v>Casual n Light</v>
      </c>
      <c r="M210" t="str">
        <f>VLOOKUP($D210,'[2]product Table data'!$A$2:$G$12,M$1,FALSE)</f>
        <v>Ethiopia</v>
      </c>
      <c r="N210" t="str">
        <f>VLOOKUP($D210,'[2]product Table data'!$A$2:$G$12,N$1,FALSE)</f>
        <v>Africa</v>
      </c>
      <c r="O210">
        <f>VLOOKUP($D210,'[2]product Table data'!$A$2:$G$12,O$1,FALSE)</f>
        <v>10</v>
      </c>
      <c r="P210">
        <f>VLOOKUP($D210,'[2]product Table data'!$A$2:$G$12,P$1,FALSE)</f>
        <v>20</v>
      </c>
      <c r="Q210">
        <f t="shared" si="15"/>
        <v>10</v>
      </c>
      <c r="R210" t="str">
        <f t="shared" si="16"/>
        <v>Hub Risk</v>
      </c>
      <c r="S210" t="str">
        <f t="shared" si="17"/>
        <v>Style Risk</v>
      </c>
      <c r="T210" t="str">
        <f t="shared" si="18"/>
        <v>Risk</v>
      </c>
      <c r="U210" t="str">
        <f t="shared" si="19"/>
        <v>High Value</v>
      </c>
    </row>
    <row r="211" spans="1:21" hidden="1" x14ac:dyDescent="0.2">
      <c r="A211" s="2">
        <v>1013</v>
      </c>
      <c r="B211" s="2" t="s">
        <v>9</v>
      </c>
      <c r="C211" s="2" t="s">
        <v>320</v>
      </c>
      <c r="D211" s="2" t="s">
        <v>11</v>
      </c>
      <c r="E211" s="2">
        <v>80123</v>
      </c>
      <c r="F211" s="2" t="s">
        <v>321</v>
      </c>
      <c r="G211" s="2" t="s">
        <v>13</v>
      </c>
      <c r="H211" s="2">
        <v>1</v>
      </c>
      <c r="I211" s="2" t="s">
        <v>39</v>
      </c>
      <c r="J211" s="2" t="str">
        <f>VLOOKUP(E211,[1]LL_Hub!$A$1:$B$13,2,FALSE)</f>
        <v>Denver</v>
      </c>
      <c r="K211" t="str">
        <f>VLOOKUP(D211,'[2]product Table data'!$A$2:$B$12,2,FALSE)</f>
        <v>Male</v>
      </c>
      <c r="L211" t="str">
        <f>VLOOKUP($D211,'[2]product Table data'!$A$2:$G$12,L$1,FALSE)</f>
        <v>Casual n Light</v>
      </c>
      <c r="M211" t="str">
        <f>VLOOKUP($D211,'[2]product Table data'!$A$2:$G$12,M$1,FALSE)</f>
        <v>Ethiopia</v>
      </c>
      <c r="N211" t="str">
        <f>VLOOKUP($D211,'[2]product Table data'!$A$2:$G$12,N$1,FALSE)</f>
        <v>Africa</v>
      </c>
      <c r="O211">
        <f>VLOOKUP($D211,'[2]product Table data'!$A$2:$G$12,O$1,FALSE)</f>
        <v>10</v>
      </c>
      <c r="P211">
        <f>VLOOKUP($D211,'[2]product Table data'!$A$2:$G$12,P$1,FALSE)</f>
        <v>20</v>
      </c>
      <c r="Q211">
        <f t="shared" si="15"/>
        <v>10</v>
      </c>
      <c r="R211" t="str">
        <f t="shared" si="16"/>
        <v>Hub Risk</v>
      </c>
      <c r="S211" t="str">
        <f t="shared" si="17"/>
        <v>Style Risk</v>
      </c>
      <c r="T211" t="str">
        <f t="shared" si="18"/>
        <v>Risk</v>
      </c>
      <c r="U211" t="str">
        <f t="shared" si="19"/>
        <v>High Value</v>
      </c>
    </row>
    <row r="212" spans="1:21" hidden="1" x14ac:dyDescent="0.2">
      <c r="A212" s="2">
        <v>1014</v>
      </c>
      <c r="B212" s="2" t="s">
        <v>9</v>
      </c>
      <c r="C212" s="2" t="s">
        <v>322</v>
      </c>
      <c r="D212" s="2" t="s">
        <v>11</v>
      </c>
      <c r="E212" s="2">
        <v>80123</v>
      </c>
      <c r="F212" s="2" t="s">
        <v>323</v>
      </c>
      <c r="G212" s="2" t="s">
        <v>13</v>
      </c>
      <c r="H212" s="2">
        <v>1</v>
      </c>
      <c r="I212" s="2" t="s">
        <v>39</v>
      </c>
      <c r="J212" s="2" t="str">
        <f>VLOOKUP(E212,[1]LL_Hub!$A$1:$B$13,2,FALSE)</f>
        <v>Denver</v>
      </c>
      <c r="K212" t="str">
        <f>VLOOKUP(D212,'[2]product Table data'!$A$2:$B$12,2,FALSE)</f>
        <v>Male</v>
      </c>
      <c r="L212" t="str">
        <f>VLOOKUP($D212,'[2]product Table data'!$A$2:$G$12,L$1,FALSE)</f>
        <v>Casual n Light</v>
      </c>
      <c r="M212" t="str">
        <f>VLOOKUP($D212,'[2]product Table data'!$A$2:$G$12,M$1,FALSE)</f>
        <v>Ethiopia</v>
      </c>
      <c r="N212" t="str">
        <f>VLOOKUP($D212,'[2]product Table data'!$A$2:$G$12,N$1,FALSE)</f>
        <v>Africa</v>
      </c>
      <c r="O212">
        <f>VLOOKUP($D212,'[2]product Table data'!$A$2:$G$12,O$1,FALSE)</f>
        <v>10</v>
      </c>
      <c r="P212">
        <f>VLOOKUP($D212,'[2]product Table data'!$A$2:$G$12,P$1,FALSE)</f>
        <v>20</v>
      </c>
      <c r="Q212">
        <f t="shared" si="15"/>
        <v>10</v>
      </c>
      <c r="R212" t="str">
        <f t="shared" si="16"/>
        <v>Hub Risk</v>
      </c>
      <c r="S212" t="str">
        <f t="shared" si="17"/>
        <v>Style Risk</v>
      </c>
      <c r="T212" t="str">
        <f t="shared" si="18"/>
        <v>Risk</v>
      </c>
      <c r="U212" t="str">
        <f t="shared" si="19"/>
        <v>High Value</v>
      </c>
    </row>
    <row r="213" spans="1:21" hidden="1" x14ac:dyDescent="0.2">
      <c r="A213" s="2">
        <v>1015</v>
      </c>
      <c r="B213" s="2" t="s">
        <v>9</v>
      </c>
      <c r="C213" s="2" t="s">
        <v>324</v>
      </c>
      <c r="D213" s="2" t="s">
        <v>41</v>
      </c>
      <c r="E213" s="2">
        <v>80123</v>
      </c>
      <c r="F213" s="2" t="s">
        <v>325</v>
      </c>
      <c r="G213" s="2" t="s">
        <v>13</v>
      </c>
      <c r="H213" s="2">
        <v>1</v>
      </c>
      <c r="I213" s="2" t="s">
        <v>39</v>
      </c>
      <c r="J213" s="2" t="str">
        <f>VLOOKUP(E213,[1]LL_Hub!$A$1:$B$13,2,FALSE)</f>
        <v>Denver</v>
      </c>
      <c r="K213" t="str">
        <f>VLOOKUP(D213,'[2]product Table data'!$A$2:$B$12,2,FALSE)</f>
        <v>Male</v>
      </c>
      <c r="L213" t="str">
        <f>VLOOKUP($D213,'[2]product Table data'!$A$2:$G$12,L$1,FALSE)</f>
        <v>Winter Warmth</v>
      </c>
      <c r="M213" t="str">
        <f>VLOOKUP($D213,'[2]product Table data'!$A$2:$G$12,M$1,FALSE)</f>
        <v>Moldova</v>
      </c>
      <c r="N213" t="str">
        <f>VLOOKUP($D213,'[2]product Table data'!$A$2:$G$12,N$1,FALSE)</f>
        <v>Eastern Europe</v>
      </c>
      <c r="O213">
        <f>VLOOKUP($D213,'[2]product Table data'!$A$2:$G$12,O$1,FALSE)</f>
        <v>475</v>
      </c>
      <c r="P213">
        <f>VLOOKUP($D213,'[2]product Table data'!$A$2:$G$12,P$1,FALSE)</f>
        <v>600</v>
      </c>
      <c r="Q213">
        <f t="shared" si="15"/>
        <v>125</v>
      </c>
      <c r="R213" t="str">
        <f t="shared" si="16"/>
        <v>Hub Risk</v>
      </c>
      <c r="S213" t="str">
        <f t="shared" si="17"/>
        <v>-</v>
      </c>
      <c r="T213" t="str">
        <f t="shared" si="18"/>
        <v>-</v>
      </c>
      <c r="U213" t="str">
        <f t="shared" si="19"/>
        <v>High Value</v>
      </c>
    </row>
    <row r="214" spans="1:21" hidden="1" x14ac:dyDescent="0.2">
      <c r="A214" s="2">
        <v>1016</v>
      </c>
      <c r="B214" s="2" t="s">
        <v>9</v>
      </c>
      <c r="C214" s="2" t="s">
        <v>326</v>
      </c>
      <c r="D214" s="2" t="s">
        <v>11</v>
      </c>
      <c r="E214" s="2">
        <v>80123</v>
      </c>
      <c r="F214" s="2" t="s">
        <v>327</v>
      </c>
      <c r="G214" s="2" t="s">
        <v>13</v>
      </c>
      <c r="H214" s="2">
        <v>1</v>
      </c>
      <c r="I214" s="2" t="s">
        <v>39</v>
      </c>
      <c r="J214" s="2" t="str">
        <f>VLOOKUP(E214,[1]LL_Hub!$A$1:$B$13,2,FALSE)</f>
        <v>Denver</v>
      </c>
      <c r="K214" t="str">
        <f>VLOOKUP(D214,'[2]product Table data'!$A$2:$B$12,2,FALSE)</f>
        <v>Male</v>
      </c>
      <c r="L214" t="str">
        <f>VLOOKUP($D214,'[2]product Table data'!$A$2:$G$12,L$1,FALSE)</f>
        <v>Casual n Light</v>
      </c>
      <c r="M214" t="str">
        <f>VLOOKUP($D214,'[2]product Table data'!$A$2:$G$12,M$1,FALSE)</f>
        <v>Ethiopia</v>
      </c>
      <c r="N214" t="str">
        <f>VLOOKUP($D214,'[2]product Table data'!$A$2:$G$12,N$1,FALSE)</f>
        <v>Africa</v>
      </c>
      <c r="O214">
        <f>VLOOKUP($D214,'[2]product Table data'!$A$2:$G$12,O$1,FALSE)</f>
        <v>10</v>
      </c>
      <c r="P214">
        <f>VLOOKUP($D214,'[2]product Table data'!$A$2:$G$12,P$1,FALSE)</f>
        <v>20</v>
      </c>
      <c r="Q214">
        <f t="shared" si="15"/>
        <v>10</v>
      </c>
      <c r="R214" t="str">
        <f t="shared" si="16"/>
        <v>Hub Risk</v>
      </c>
      <c r="S214" t="str">
        <f t="shared" si="17"/>
        <v>Style Risk</v>
      </c>
      <c r="T214" t="str">
        <f t="shared" si="18"/>
        <v>Risk</v>
      </c>
      <c r="U214" t="str">
        <f t="shared" si="19"/>
        <v>High Value</v>
      </c>
    </row>
    <row r="215" spans="1:21" hidden="1" x14ac:dyDescent="0.2">
      <c r="A215" s="2">
        <v>1017</v>
      </c>
      <c r="B215" s="2" t="s">
        <v>9</v>
      </c>
      <c r="C215" s="2" t="s">
        <v>328</v>
      </c>
      <c r="D215" s="2" t="s">
        <v>11</v>
      </c>
      <c r="E215" s="2">
        <v>80123</v>
      </c>
      <c r="F215" s="2" t="s">
        <v>329</v>
      </c>
      <c r="G215" s="2" t="s">
        <v>13</v>
      </c>
      <c r="H215" s="2">
        <v>1</v>
      </c>
      <c r="I215" s="2" t="s">
        <v>39</v>
      </c>
      <c r="J215" s="2" t="str">
        <f>VLOOKUP(E215,[1]LL_Hub!$A$1:$B$13,2,FALSE)</f>
        <v>Denver</v>
      </c>
      <c r="K215" t="str">
        <f>VLOOKUP(D215,'[2]product Table data'!$A$2:$B$12,2,FALSE)</f>
        <v>Male</v>
      </c>
      <c r="L215" t="str">
        <f>VLOOKUP($D215,'[2]product Table data'!$A$2:$G$12,L$1,FALSE)</f>
        <v>Casual n Light</v>
      </c>
      <c r="M215" t="str">
        <f>VLOOKUP($D215,'[2]product Table data'!$A$2:$G$12,M$1,FALSE)</f>
        <v>Ethiopia</v>
      </c>
      <c r="N215" t="str">
        <f>VLOOKUP($D215,'[2]product Table data'!$A$2:$G$12,N$1,FALSE)</f>
        <v>Africa</v>
      </c>
      <c r="O215">
        <f>VLOOKUP($D215,'[2]product Table data'!$A$2:$G$12,O$1,FALSE)</f>
        <v>10</v>
      </c>
      <c r="P215">
        <f>VLOOKUP($D215,'[2]product Table data'!$A$2:$G$12,P$1,FALSE)</f>
        <v>20</v>
      </c>
      <c r="Q215">
        <f t="shared" si="15"/>
        <v>10</v>
      </c>
      <c r="R215" t="str">
        <f t="shared" si="16"/>
        <v>Hub Risk</v>
      </c>
      <c r="S215" t="str">
        <f t="shared" si="17"/>
        <v>Style Risk</v>
      </c>
      <c r="T215" t="str">
        <f t="shared" si="18"/>
        <v>Risk</v>
      </c>
      <c r="U215" t="str">
        <f t="shared" si="19"/>
        <v>High Value</v>
      </c>
    </row>
    <row r="216" spans="1:21" hidden="1" x14ac:dyDescent="0.2">
      <c r="A216" s="2">
        <v>1018</v>
      </c>
      <c r="B216" s="2" t="s">
        <v>9</v>
      </c>
      <c r="C216" s="2" t="s">
        <v>330</v>
      </c>
      <c r="D216" s="2" t="s">
        <v>11</v>
      </c>
      <c r="E216" s="2">
        <v>80123</v>
      </c>
      <c r="F216" s="2" t="s">
        <v>331</v>
      </c>
      <c r="G216" s="2" t="s">
        <v>13</v>
      </c>
      <c r="H216" s="2">
        <v>1</v>
      </c>
      <c r="I216" s="2" t="s">
        <v>39</v>
      </c>
      <c r="J216" s="2" t="str">
        <f>VLOOKUP(E216,[1]LL_Hub!$A$1:$B$13,2,FALSE)</f>
        <v>Denver</v>
      </c>
      <c r="K216" t="str">
        <f>VLOOKUP(D216,'[2]product Table data'!$A$2:$B$12,2,FALSE)</f>
        <v>Male</v>
      </c>
      <c r="L216" t="str">
        <f>VLOOKUP($D216,'[2]product Table data'!$A$2:$G$12,L$1,FALSE)</f>
        <v>Casual n Light</v>
      </c>
      <c r="M216" t="str">
        <f>VLOOKUP($D216,'[2]product Table data'!$A$2:$G$12,M$1,FALSE)</f>
        <v>Ethiopia</v>
      </c>
      <c r="N216" t="str">
        <f>VLOOKUP($D216,'[2]product Table data'!$A$2:$G$12,N$1,FALSE)</f>
        <v>Africa</v>
      </c>
      <c r="O216">
        <f>VLOOKUP($D216,'[2]product Table data'!$A$2:$G$12,O$1,FALSE)</f>
        <v>10</v>
      </c>
      <c r="P216">
        <f>VLOOKUP($D216,'[2]product Table data'!$A$2:$G$12,P$1,FALSE)</f>
        <v>20</v>
      </c>
      <c r="Q216">
        <f t="shared" si="15"/>
        <v>10</v>
      </c>
      <c r="R216" t="str">
        <f t="shared" si="16"/>
        <v>Hub Risk</v>
      </c>
      <c r="S216" t="str">
        <f t="shared" si="17"/>
        <v>Style Risk</v>
      </c>
      <c r="T216" t="str">
        <f t="shared" si="18"/>
        <v>Risk</v>
      </c>
      <c r="U216" t="str">
        <f t="shared" si="19"/>
        <v>High Value</v>
      </c>
    </row>
    <row r="217" spans="1:21" hidden="1" x14ac:dyDescent="0.2">
      <c r="A217" s="2">
        <v>1019</v>
      </c>
      <c r="B217" s="2" t="s">
        <v>9</v>
      </c>
      <c r="C217" s="2" t="s">
        <v>332</v>
      </c>
      <c r="D217" s="2" t="s">
        <v>11</v>
      </c>
      <c r="E217" s="2">
        <v>80123</v>
      </c>
      <c r="F217" s="2" t="s">
        <v>333</v>
      </c>
      <c r="G217" s="2" t="s">
        <v>13</v>
      </c>
      <c r="H217" s="2">
        <v>1</v>
      </c>
      <c r="I217" s="2" t="s">
        <v>39</v>
      </c>
      <c r="J217" s="2" t="str">
        <f>VLOOKUP(E217,[1]LL_Hub!$A$1:$B$13,2,FALSE)</f>
        <v>Denver</v>
      </c>
      <c r="K217" t="str">
        <f>VLOOKUP(D217,'[2]product Table data'!$A$2:$B$12,2,FALSE)</f>
        <v>Male</v>
      </c>
      <c r="L217" t="str">
        <f>VLOOKUP($D217,'[2]product Table data'!$A$2:$G$12,L$1,FALSE)</f>
        <v>Casual n Light</v>
      </c>
      <c r="M217" t="str">
        <f>VLOOKUP($D217,'[2]product Table data'!$A$2:$G$12,M$1,FALSE)</f>
        <v>Ethiopia</v>
      </c>
      <c r="N217" t="str">
        <f>VLOOKUP($D217,'[2]product Table data'!$A$2:$G$12,N$1,FALSE)</f>
        <v>Africa</v>
      </c>
      <c r="O217">
        <f>VLOOKUP($D217,'[2]product Table data'!$A$2:$G$12,O$1,FALSE)</f>
        <v>10</v>
      </c>
      <c r="P217">
        <f>VLOOKUP($D217,'[2]product Table data'!$A$2:$G$12,P$1,FALSE)</f>
        <v>20</v>
      </c>
      <c r="Q217">
        <f t="shared" si="15"/>
        <v>10</v>
      </c>
      <c r="R217" t="str">
        <f t="shared" si="16"/>
        <v>Hub Risk</v>
      </c>
      <c r="S217" t="str">
        <f t="shared" si="17"/>
        <v>Style Risk</v>
      </c>
      <c r="T217" t="str">
        <f t="shared" si="18"/>
        <v>Risk</v>
      </c>
      <c r="U217" t="str">
        <f t="shared" si="19"/>
        <v>High Value</v>
      </c>
    </row>
    <row r="218" spans="1:21" hidden="1" x14ac:dyDescent="0.2">
      <c r="A218" s="2">
        <v>1020</v>
      </c>
      <c r="B218" s="2" t="s">
        <v>9</v>
      </c>
      <c r="C218" s="2" t="s">
        <v>334</v>
      </c>
      <c r="D218" s="2" t="s">
        <v>11</v>
      </c>
      <c r="E218" s="2">
        <v>80123</v>
      </c>
      <c r="F218" s="2" t="s">
        <v>335</v>
      </c>
      <c r="G218" s="2" t="s">
        <v>13</v>
      </c>
      <c r="H218" s="2">
        <v>1</v>
      </c>
      <c r="I218" s="2" t="s">
        <v>39</v>
      </c>
      <c r="J218" s="2" t="str">
        <f>VLOOKUP(E218,[1]LL_Hub!$A$1:$B$13,2,FALSE)</f>
        <v>Denver</v>
      </c>
      <c r="K218" t="str">
        <f>VLOOKUP(D218,'[2]product Table data'!$A$2:$B$12,2,FALSE)</f>
        <v>Male</v>
      </c>
      <c r="L218" t="str">
        <f>VLOOKUP($D218,'[2]product Table data'!$A$2:$G$12,L$1,FALSE)</f>
        <v>Casual n Light</v>
      </c>
      <c r="M218" t="str">
        <f>VLOOKUP($D218,'[2]product Table data'!$A$2:$G$12,M$1,FALSE)</f>
        <v>Ethiopia</v>
      </c>
      <c r="N218" t="str">
        <f>VLOOKUP($D218,'[2]product Table data'!$A$2:$G$12,N$1,FALSE)</f>
        <v>Africa</v>
      </c>
      <c r="O218">
        <f>VLOOKUP($D218,'[2]product Table data'!$A$2:$G$12,O$1,FALSE)</f>
        <v>10</v>
      </c>
      <c r="P218">
        <f>VLOOKUP($D218,'[2]product Table data'!$A$2:$G$12,P$1,FALSE)</f>
        <v>20</v>
      </c>
      <c r="Q218">
        <f t="shared" si="15"/>
        <v>10</v>
      </c>
      <c r="R218" t="str">
        <f t="shared" si="16"/>
        <v>Hub Risk</v>
      </c>
      <c r="S218" t="str">
        <f t="shared" si="17"/>
        <v>Style Risk</v>
      </c>
      <c r="T218" t="str">
        <f t="shared" si="18"/>
        <v>Risk</v>
      </c>
      <c r="U218" t="str">
        <f t="shared" si="19"/>
        <v>High Value</v>
      </c>
    </row>
    <row r="219" spans="1:21" hidden="1" x14ac:dyDescent="0.2">
      <c r="A219" s="2">
        <v>1021</v>
      </c>
      <c r="B219" s="2" t="s">
        <v>9</v>
      </c>
      <c r="C219" s="2" t="s">
        <v>336</v>
      </c>
      <c r="D219" s="2" t="s">
        <v>11</v>
      </c>
      <c r="E219" s="2">
        <v>80123</v>
      </c>
      <c r="F219" s="2" t="s">
        <v>337</v>
      </c>
      <c r="G219" s="2" t="s">
        <v>13</v>
      </c>
      <c r="H219" s="2">
        <v>1</v>
      </c>
      <c r="I219" s="2" t="s">
        <v>39</v>
      </c>
      <c r="J219" s="2" t="str">
        <f>VLOOKUP(E219,[1]LL_Hub!$A$1:$B$13,2,FALSE)</f>
        <v>Denver</v>
      </c>
      <c r="K219" t="str">
        <f>VLOOKUP(D219,'[2]product Table data'!$A$2:$B$12,2,FALSE)</f>
        <v>Male</v>
      </c>
      <c r="L219" t="str">
        <f>VLOOKUP($D219,'[2]product Table data'!$A$2:$G$12,L$1,FALSE)</f>
        <v>Casual n Light</v>
      </c>
      <c r="M219" t="str">
        <f>VLOOKUP($D219,'[2]product Table data'!$A$2:$G$12,M$1,FALSE)</f>
        <v>Ethiopia</v>
      </c>
      <c r="N219" t="str">
        <f>VLOOKUP($D219,'[2]product Table data'!$A$2:$G$12,N$1,FALSE)</f>
        <v>Africa</v>
      </c>
      <c r="O219">
        <f>VLOOKUP($D219,'[2]product Table data'!$A$2:$G$12,O$1,FALSE)</f>
        <v>10</v>
      </c>
      <c r="P219">
        <f>VLOOKUP($D219,'[2]product Table data'!$A$2:$G$12,P$1,FALSE)</f>
        <v>20</v>
      </c>
      <c r="Q219">
        <f t="shared" si="15"/>
        <v>10</v>
      </c>
      <c r="R219" t="str">
        <f t="shared" si="16"/>
        <v>Hub Risk</v>
      </c>
      <c r="S219" t="str">
        <f t="shared" si="17"/>
        <v>Style Risk</v>
      </c>
      <c r="T219" t="str">
        <f t="shared" si="18"/>
        <v>Risk</v>
      </c>
      <c r="U219" t="str">
        <f t="shared" si="19"/>
        <v>High Value</v>
      </c>
    </row>
    <row r="220" spans="1:21" hidden="1" x14ac:dyDescent="0.2">
      <c r="A220" s="2">
        <v>1022</v>
      </c>
      <c r="B220" s="2" t="s">
        <v>9</v>
      </c>
      <c r="C220" s="2" t="s">
        <v>338</v>
      </c>
      <c r="D220" s="2" t="s">
        <v>11</v>
      </c>
      <c r="E220" s="2">
        <v>80123</v>
      </c>
      <c r="F220" s="2" t="s">
        <v>339</v>
      </c>
      <c r="G220" s="2" t="s">
        <v>13</v>
      </c>
      <c r="H220" s="2">
        <v>1</v>
      </c>
      <c r="I220" s="2" t="s">
        <v>39</v>
      </c>
      <c r="J220" s="2" t="str">
        <f>VLOOKUP(E220,[1]LL_Hub!$A$1:$B$13,2,FALSE)</f>
        <v>Denver</v>
      </c>
      <c r="K220" t="str">
        <f>VLOOKUP(D220,'[2]product Table data'!$A$2:$B$12,2,FALSE)</f>
        <v>Male</v>
      </c>
      <c r="L220" t="str">
        <f>VLOOKUP($D220,'[2]product Table data'!$A$2:$G$12,L$1,FALSE)</f>
        <v>Casual n Light</v>
      </c>
      <c r="M220" t="str">
        <f>VLOOKUP($D220,'[2]product Table data'!$A$2:$G$12,M$1,FALSE)</f>
        <v>Ethiopia</v>
      </c>
      <c r="N220" t="str">
        <f>VLOOKUP($D220,'[2]product Table data'!$A$2:$G$12,N$1,FALSE)</f>
        <v>Africa</v>
      </c>
      <c r="O220">
        <f>VLOOKUP($D220,'[2]product Table data'!$A$2:$G$12,O$1,FALSE)</f>
        <v>10</v>
      </c>
      <c r="P220">
        <f>VLOOKUP($D220,'[2]product Table data'!$A$2:$G$12,P$1,FALSE)</f>
        <v>20</v>
      </c>
      <c r="Q220">
        <f t="shared" si="15"/>
        <v>10</v>
      </c>
      <c r="R220" t="str">
        <f t="shared" si="16"/>
        <v>Hub Risk</v>
      </c>
      <c r="S220" t="str">
        <f t="shared" si="17"/>
        <v>Style Risk</v>
      </c>
      <c r="T220" t="str">
        <f t="shared" si="18"/>
        <v>Risk</v>
      </c>
      <c r="U220" t="str">
        <f t="shared" si="19"/>
        <v>High Value</v>
      </c>
    </row>
    <row r="221" spans="1:21" hidden="1" x14ac:dyDescent="0.2">
      <c r="A221" s="2">
        <v>1023</v>
      </c>
      <c r="B221" s="2" t="s">
        <v>9</v>
      </c>
      <c r="C221" s="2" t="s">
        <v>340</v>
      </c>
      <c r="D221" s="2" t="s">
        <v>11</v>
      </c>
      <c r="E221" s="2">
        <v>80123</v>
      </c>
      <c r="F221" s="2" t="s">
        <v>341</v>
      </c>
      <c r="G221" s="2" t="s">
        <v>13</v>
      </c>
      <c r="H221" s="2">
        <v>1</v>
      </c>
      <c r="I221" s="2" t="s">
        <v>39</v>
      </c>
      <c r="J221" s="2" t="str">
        <f>VLOOKUP(E221,[1]LL_Hub!$A$1:$B$13,2,FALSE)</f>
        <v>Denver</v>
      </c>
      <c r="K221" t="str">
        <f>VLOOKUP(D221,'[2]product Table data'!$A$2:$B$12,2,FALSE)</f>
        <v>Male</v>
      </c>
      <c r="L221" t="str">
        <f>VLOOKUP($D221,'[2]product Table data'!$A$2:$G$12,L$1,FALSE)</f>
        <v>Casual n Light</v>
      </c>
      <c r="M221" t="str">
        <f>VLOOKUP($D221,'[2]product Table data'!$A$2:$G$12,M$1,FALSE)</f>
        <v>Ethiopia</v>
      </c>
      <c r="N221" t="str">
        <f>VLOOKUP($D221,'[2]product Table data'!$A$2:$G$12,N$1,FALSE)</f>
        <v>Africa</v>
      </c>
      <c r="O221">
        <f>VLOOKUP($D221,'[2]product Table data'!$A$2:$G$12,O$1,FALSE)</f>
        <v>10</v>
      </c>
      <c r="P221">
        <f>VLOOKUP($D221,'[2]product Table data'!$A$2:$G$12,P$1,FALSE)</f>
        <v>20</v>
      </c>
      <c r="Q221">
        <f t="shared" si="15"/>
        <v>10</v>
      </c>
      <c r="R221" t="str">
        <f t="shared" si="16"/>
        <v>Hub Risk</v>
      </c>
      <c r="S221" t="str">
        <f t="shared" si="17"/>
        <v>Style Risk</v>
      </c>
      <c r="T221" t="str">
        <f t="shared" si="18"/>
        <v>Risk</v>
      </c>
      <c r="U221" t="str">
        <f t="shared" si="19"/>
        <v>High Value</v>
      </c>
    </row>
    <row r="222" spans="1:21" hidden="1" x14ac:dyDescent="0.2">
      <c r="A222" s="2">
        <v>1024</v>
      </c>
      <c r="B222" s="2" t="s">
        <v>9</v>
      </c>
      <c r="C222" s="2" t="s">
        <v>342</v>
      </c>
      <c r="D222" s="2" t="s">
        <v>11</v>
      </c>
      <c r="E222" s="2">
        <v>80123</v>
      </c>
      <c r="F222" s="2" t="s">
        <v>343</v>
      </c>
      <c r="G222" s="2" t="s">
        <v>13</v>
      </c>
      <c r="H222" s="2">
        <v>1</v>
      </c>
      <c r="I222" s="2" t="s">
        <v>39</v>
      </c>
      <c r="J222" s="2" t="str">
        <f>VLOOKUP(E222,[1]LL_Hub!$A$1:$B$13,2,FALSE)</f>
        <v>Denver</v>
      </c>
      <c r="K222" t="str">
        <f>VLOOKUP(D222,'[2]product Table data'!$A$2:$B$12,2,FALSE)</f>
        <v>Male</v>
      </c>
      <c r="L222" t="str">
        <f>VLOOKUP($D222,'[2]product Table data'!$A$2:$G$12,L$1,FALSE)</f>
        <v>Casual n Light</v>
      </c>
      <c r="M222" t="str">
        <f>VLOOKUP($D222,'[2]product Table data'!$A$2:$G$12,M$1,FALSE)</f>
        <v>Ethiopia</v>
      </c>
      <c r="N222" t="str">
        <f>VLOOKUP($D222,'[2]product Table data'!$A$2:$G$12,N$1,FALSE)</f>
        <v>Africa</v>
      </c>
      <c r="O222">
        <f>VLOOKUP($D222,'[2]product Table data'!$A$2:$G$12,O$1,FALSE)</f>
        <v>10</v>
      </c>
      <c r="P222">
        <f>VLOOKUP($D222,'[2]product Table data'!$A$2:$G$12,P$1,FALSE)</f>
        <v>20</v>
      </c>
      <c r="Q222">
        <f t="shared" si="15"/>
        <v>10</v>
      </c>
      <c r="R222" t="str">
        <f t="shared" si="16"/>
        <v>Hub Risk</v>
      </c>
      <c r="S222" t="str">
        <f t="shared" si="17"/>
        <v>Style Risk</v>
      </c>
      <c r="T222" t="str">
        <f t="shared" si="18"/>
        <v>Risk</v>
      </c>
      <c r="U222" t="str">
        <f t="shared" si="19"/>
        <v>High Value</v>
      </c>
    </row>
    <row r="223" spans="1:21" hidden="1" x14ac:dyDescent="0.2">
      <c r="A223" s="2">
        <v>1025</v>
      </c>
      <c r="B223" s="2" t="s">
        <v>9</v>
      </c>
      <c r="C223" s="2" t="s">
        <v>344</v>
      </c>
      <c r="D223" s="2" t="s">
        <v>11</v>
      </c>
      <c r="E223" s="2">
        <v>80123</v>
      </c>
      <c r="F223" s="2" t="s">
        <v>345</v>
      </c>
      <c r="G223" s="2" t="s">
        <v>13</v>
      </c>
      <c r="H223" s="2">
        <v>1</v>
      </c>
      <c r="I223" s="2" t="s">
        <v>39</v>
      </c>
      <c r="J223" s="2" t="str">
        <f>VLOOKUP(E223,[1]LL_Hub!$A$1:$B$13,2,FALSE)</f>
        <v>Denver</v>
      </c>
      <c r="K223" t="str">
        <f>VLOOKUP(D223,'[2]product Table data'!$A$2:$B$12,2,FALSE)</f>
        <v>Male</v>
      </c>
      <c r="L223" t="str">
        <f>VLOOKUP($D223,'[2]product Table data'!$A$2:$G$12,L$1,FALSE)</f>
        <v>Casual n Light</v>
      </c>
      <c r="M223" t="str">
        <f>VLOOKUP($D223,'[2]product Table data'!$A$2:$G$12,M$1,FALSE)</f>
        <v>Ethiopia</v>
      </c>
      <c r="N223" t="str">
        <f>VLOOKUP($D223,'[2]product Table data'!$A$2:$G$12,N$1,FALSE)</f>
        <v>Africa</v>
      </c>
      <c r="O223">
        <f>VLOOKUP($D223,'[2]product Table data'!$A$2:$G$12,O$1,FALSE)</f>
        <v>10</v>
      </c>
      <c r="P223">
        <f>VLOOKUP($D223,'[2]product Table data'!$A$2:$G$12,P$1,FALSE)</f>
        <v>20</v>
      </c>
      <c r="Q223">
        <f t="shared" si="15"/>
        <v>10</v>
      </c>
      <c r="R223" t="str">
        <f t="shared" si="16"/>
        <v>Hub Risk</v>
      </c>
      <c r="S223" t="str">
        <f t="shared" si="17"/>
        <v>Style Risk</v>
      </c>
      <c r="T223" t="str">
        <f t="shared" si="18"/>
        <v>Risk</v>
      </c>
      <c r="U223" t="str">
        <f t="shared" si="19"/>
        <v>High Value</v>
      </c>
    </row>
    <row r="224" spans="1:21" hidden="1" x14ac:dyDescent="0.2">
      <c r="A224" s="2">
        <v>1026</v>
      </c>
      <c r="B224" s="2" t="s">
        <v>9</v>
      </c>
      <c r="C224" s="2" t="s">
        <v>346</v>
      </c>
      <c r="D224" s="2" t="s">
        <v>11</v>
      </c>
      <c r="E224" s="2">
        <v>80123</v>
      </c>
      <c r="F224" s="2" t="s">
        <v>347</v>
      </c>
      <c r="G224" s="2" t="s">
        <v>13</v>
      </c>
      <c r="H224" s="2">
        <v>1</v>
      </c>
      <c r="I224" s="2" t="s">
        <v>39</v>
      </c>
      <c r="J224" s="2" t="str">
        <f>VLOOKUP(E224,[1]LL_Hub!$A$1:$B$13,2,FALSE)</f>
        <v>Denver</v>
      </c>
      <c r="K224" t="str">
        <f>VLOOKUP(D224,'[2]product Table data'!$A$2:$B$12,2,FALSE)</f>
        <v>Male</v>
      </c>
      <c r="L224" t="str">
        <f>VLOOKUP($D224,'[2]product Table data'!$A$2:$G$12,L$1,FALSE)</f>
        <v>Casual n Light</v>
      </c>
      <c r="M224" t="str">
        <f>VLOOKUP($D224,'[2]product Table data'!$A$2:$G$12,M$1,FALSE)</f>
        <v>Ethiopia</v>
      </c>
      <c r="N224" t="str">
        <f>VLOOKUP($D224,'[2]product Table data'!$A$2:$G$12,N$1,FALSE)</f>
        <v>Africa</v>
      </c>
      <c r="O224">
        <f>VLOOKUP($D224,'[2]product Table data'!$A$2:$G$12,O$1,FALSE)</f>
        <v>10</v>
      </c>
      <c r="P224">
        <f>VLOOKUP($D224,'[2]product Table data'!$A$2:$G$12,P$1,FALSE)</f>
        <v>20</v>
      </c>
      <c r="Q224">
        <f t="shared" si="15"/>
        <v>10</v>
      </c>
      <c r="R224" t="str">
        <f t="shared" si="16"/>
        <v>Hub Risk</v>
      </c>
      <c r="S224" t="str">
        <f t="shared" si="17"/>
        <v>Style Risk</v>
      </c>
      <c r="T224" t="str">
        <f t="shared" si="18"/>
        <v>Risk</v>
      </c>
      <c r="U224" t="str">
        <f t="shared" si="19"/>
        <v>High Value</v>
      </c>
    </row>
    <row r="225" spans="1:21" hidden="1" x14ac:dyDescent="0.2">
      <c r="A225" s="2">
        <v>1027</v>
      </c>
      <c r="B225" s="2" t="s">
        <v>9</v>
      </c>
      <c r="C225" s="2" t="s">
        <v>348</v>
      </c>
      <c r="D225" s="2" t="s">
        <v>11</v>
      </c>
      <c r="E225" s="2">
        <v>80123</v>
      </c>
      <c r="F225" s="2" t="s">
        <v>349</v>
      </c>
      <c r="G225" s="2" t="s">
        <v>13</v>
      </c>
      <c r="H225" s="2">
        <v>1</v>
      </c>
      <c r="I225" s="2" t="s">
        <v>39</v>
      </c>
      <c r="J225" s="2" t="str">
        <f>VLOOKUP(E225,[1]LL_Hub!$A$1:$B$13,2,FALSE)</f>
        <v>Denver</v>
      </c>
      <c r="K225" t="str">
        <f>VLOOKUP(D225,'[2]product Table data'!$A$2:$B$12,2,FALSE)</f>
        <v>Male</v>
      </c>
      <c r="L225" t="str">
        <f>VLOOKUP($D225,'[2]product Table data'!$A$2:$G$12,L$1,FALSE)</f>
        <v>Casual n Light</v>
      </c>
      <c r="M225" t="str">
        <f>VLOOKUP($D225,'[2]product Table data'!$A$2:$G$12,M$1,FALSE)</f>
        <v>Ethiopia</v>
      </c>
      <c r="N225" t="str">
        <f>VLOOKUP($D225,'[2]product Table data'!$A$2:$G$12,N$1,FALSE)</f>
        <v>Africa</v>
      </c>
      <c r="O225">
        <f>VLOOKUP($D225,'[2]product Table data'!$A$2:$G$12,O$1,FALSE)</f>
        <v>10</v>
      </c>
      <c r="P225">
        <f>VLOOKUP($D225,'[2]product Table data'!$A$2:$G$12,P$1,FALSE)</f>
        <v>20</v>
      </c>
      <c r="Q225">
        <f t="shared" si="15"/>
        <v>10</v>
      </c>
      <c r="R225" t="str">
        <f t="shared" si="16"/>
        <v>Hub Risk</v>
      </c>
      <c r="S225" t="str">
        <f t="shared" si="17"/>
        <v>Style Risk</v>
      </c>
      <c r="T225" t="str">
        <f t="shared" si="18"/>
        <v>Risk</v>
      </c>
      <c r="U225" t="str">
        <f t="shared" si="19"/>
        <v>High Value</v>
      </c>
    </row>
    <row r="226" spans="1:21" hidden="1" x14ac:dyDescent="0.2">
      <c r="A226" s="2">
        <v>1028</v>
      </c>
      <c r="B226" s="2" t="s">
        <v>9</v>
      </c>
      <c r="C226" s="2" t="s">
        <v>350</v>
      </c>
      <c r="D226" s="2" t="s">
        <v>11</v>
      </c>
      <c r="E226" s="2">
        <v>80123</v>
      </c>
      <c r="F226" s="2" t="s">
        <v>351</v>
      </c>
      <c r="G226" s="2" t="s">
        <v>13</v>
      </c>
      <c r="H226" s="2">
        <v>1</v>
      </c>
      <c r="I226" s="2" t="s">
        <v>39</v>
      </c>
      <c r="J226" s="2" t="str">
        <f>VLOOKUP(E226,[1]LL_Hub!$A$1:$B$13,2,FALSE)</f>
        <v>Denver</v>
      </c>
      <c r="K226" t="str">
        <f>VLOOKUP(D226,'[2]product Table data'!$A$2:$B$12,2,FALSE)</f>
        <v>Male</v>
      </c>
      <c r="L226" t="str">
        <f>VLOOKUP($D226,'[2]product Table data'!$A$2:$G$12,L$1,FALSE)</f>
        <v>Casual n Light</v>
      </c>
      <c r="M226" t="str">
        <f>VLOOKUP($D226,'[2]product Table data'!$A$2:$G$12,M$1,FALSE)</f>
        <v>Ethiopia</v>
      </c>
      <c r="N226" t="str">
        <f>VLOOKUP($D226,'[2]product Table data'!$A$2:$G$12,N$1,FALSE)</f>
        <v>Africa</v>
      </c>
      <c r="O226">
        <f>VLOOKUP($D226,'[2]product Table data'!$A$2:$G$12,O$1,FALSE)</f>
        <v>10</v>
      </c>
      <c r="P226">
        <f>VLOOKUP($D226,'[2]product Table data'!$A$2:$G$12,P$1,FALSE)</f>
        <v>20</v>
      </c>
      <c r="Q226">
        <f t="shared" si="15"/>
        <v>10</v>
      </c>
      <c r="R226" t="str">
        <f t="shared" si="16"/>
        <v>Hub Risk</v>
      </c>
      <c r="S226" t="str">
        <f t="shared" si="17"/>
        <v>Style Risk</v>
      </c>
      <c r="T226" t="str">
        <f t="shared" si="18"/>
        <v>Risk</v>
      </c>
      <c r="U226" t="str">
        <f t="shared" si="19"/>
        <v>High Value</v>
      </c>
    </row>
    <row r="227" spans="1:21" hidden="1" x14ac:dyDescent="0.2">
      <c r="A227" s="2">
        <v>1029</v>
      </c>
      <c r="B227" s="2" t="s">
        <v>9</v>
      </c>
      <c r="C227" s="2" t="s">
        <v>352</v>
      </c>
      <c r="D227" s="2" t="s">
        <v>11</v>
      </c>
      <c r="E227" s="2">
        <v>80123</v>
      </c>
      <c r="F227" s="2" t="s">
        <v>353</v>
      </c>
      <c r="G227" s="2" t="s">
        <v>13</v>
      </c>
      <c r="H227" s="2">
        <v>1</v>
      </c>
      <c r="I227" s="2" t="s">
        <v>39</v>
      </c>
      <c r="J227" s="2" t="str">
        <f>VLOOKUP(E227,[1]LL_Hub!$A$1:$B$13,2,FALSE)</f>
        <v>Denver</v>
      </c>
      <c r="K227" t="str">
        <f>VLOOKUP(D227,'[2]product Table data'!$A$2:$B$12,2,FALSE)</f>
        <v>Male</v>
      </c>
      <c r="L227" t="str">
        <f>VLOOKUP($D227,'[2]product Table data'!$A$2:$G$12,L$1,FALSE)</f>
        <v>Casual n Light</v>
      </c>
      <c r="M227" t="str">
        <f>VLOOKUP($D227,'[2]product Table data'!$A$2:$G$12,M$1,FALSE)</f>
        <v>Ethiopia</v>
      </c>
      <c r="N227" t="str">
        <f>VLOOKUP($D227,'[2]product Table data'!$A$2:$G$12,N$1,FALSE)</f>
        <v>Africa</v>
      </c>
      <c r="O227">
        <f>VLOOKUP($D227,'[2]product Table data'!$A$2:$G$12,O$1,FALSE)</f>
        <v>10</v>
      </c>
      <c r="P227">
        <f>VLOOKUP($D227,'[2]product Table data'!$A$2:$G$12,P$1,FALSE)</f>
        <v>20</v>
      </c>
      <c r="Q227">
        <f t="shared" si="15"/>
        <v>10</v>
      </c>
      <c r="R227" t="str">
        <f t="shared" si="16"/>
        <v>Hub Risk</v>
      </c>
      <c r="S227" t="str">
        <f t="shared" si="17"/>
        <v>Style Risk</v>
      </c>
      <c r="T227" t="str">
        <f t="shared" si="18"/>
        <v>Risk</v>
      </c>
      <c r="U227" t="str">
        <f t="shared" si="19"/>
        <v>High Value</v>
      </c>
    </row>
    <row r="228" spans="1:21" hidden="1" x14ac:dyDescent="0.2">
      <c r="A228" s="2">
        <v>1030</v>
      </c>
      <c r="B228" s="2" t="s">
        <v>9</v>
      </c>
      <c r="C228" s="2" t="s">
        <v>354</v>
      </c>
      <c r="D228" s="2" t="s">
        <v>11</v>
      </c>
      <c r="E228" s="2">
        <v>80123</v>
      </c>
      <c r="F228" s="2" t="s">
        <v>355</v>
      </c>
      <c r="G228" s="2" t="s">
        <v>13</v>
      </c>
      <c r="H228" s="2">
        <v>1</v>
      </c>
      <c r="I228" s="2" t="s">
        <v>39</v>
      </c>
      <c r="J228" s="2" t="str">
        <f>VLOOKUP(E228,[1]LL_Hub!$A$1:$B$13,2,FALSE)</f>
        <v>Denver</v>
      </c>
      <c r="K228" t="str">
        <f>VLOOKUP(D228,'[2]product Table data'!$A$2:$B$12,2,FALSE)</f>
        <v>Male</v>
      </c>
      <c r="L228" t="str">
        <f>VLOOKUP($D228,'[2]product Table data'!$A$2:$G$12,L$1,FALSE)</f>
        <v>Casual n Light</v>
      </c>
      <c r="M228" t="str">
        <f>VLOOKUP($D228,'[2]product Table data'!$A$2:$G$12,M$1,FALSE)</f>
        <v>Ethiopia</v>
      </c>
      <c r="N228" t="str">
        <f>VLOOKUP($D228,'[2]product Table data'!$A$2:$G$12,N$1,FALSE)</f>
        <v>Africa</v>
      </c>
      <c r="O228">
        <f>VLOOKUP($D228,'[2]product Table data'!$A$2:$G$12,O$1,FALSE)</f>
        <v>10</v>
      </c>
      <c r="P228">
        <f>VLOOKUP($D228,'[2]product Table data'!$A$2:$G$12,P$1,FALSE)</f>
        <v>20</v>
      </c>
      <c r="Q228">
        <f t="shared" si="15"/>
        <v>10</v>
      </c>
      <c r="R228" t="str">
        <f t="shared" si="16"/>
        <v>Hub Risk</v>
      </c>
      <c r="S228" t="str">
        <f t="shared" si="17"/>
        <v>Style Risk</v>
      </c>
      <c r="T228" t="str">
        <f t="shared" si="18"/>
        <v>Risk</v>
      </c>
      <c r="U228" t="str">
        <f t="shared" si="19"/>
        <v>High Value</v>
      </c>
    </row>
    <row r="229" spans="1:21" hidden="1" x14ac:dyDescent="0.2">
      <c r="A229" s="2">
        <v>1031</v>
      </c>
      <c r="B229" s="2" t="s">
        <v>9</v>
      </c>
      <c r="C229" s="2" t="s">
        <v>356</v>
      </c>
      <c r="D229" s="2" t="s">
        <v>11</v>
      </c>
      <c r="E229" s="2">
        <v>80123</v>
      </c>
      <c r="F229" s="2" t="s">
        <v>357</v>
      </c>
      <c r="G229" s="2" t="s">
        <v>13</v>
      </c>
      <c r="H229" s="2">
        <v>1</v>
      </c>
      <c r="I229" s="2" t="s">
        <v>39</v>
      </c>
      <c r="J229" s="2" t="str">
        <f>VLOOKUP(E229,[1]LL_Hub!$A$1:$B$13,2,FALSE)</f>
        <v>Denver</v>
      </c>
      <c r="K229" t="str">
        <f>VLOOKUP(D229,'[2]product Table data'!$A$2:$B$12,2,FALSE)</f>
        <v>Male</v>
      </c>
      <c r="L229" t="str">
        <f>VLOOKUP($D229,'[2]product Table data'!$A$2:$G$12,L$1,FALSE)</f>
        <v>Casual n Light</v>
      </c>
      <c r="M229" t="str">
        <f>VLOOKUP($D229,'[2]product Table data'!$A$2:$G$12,M$1,FALSE)</f>
        <v>Ethiopia</v>
      </c>
      <c r="N229" t="str">
        <f>VLOOKUP($D229,'[2]product Table data'!$A$2:$G$12,N$1,FALSE)</f>
        <v>Africa</v>
      </c>
      <c r="O229">
        <f>VLOOKUP($D229,'[2]product Table data'!$A$2:$G$12,O$1,FALSE)</f>
        <v>10</v>
      </c>
      <c r="P229">
        <f>VLOOKUP($D229,'[2]product Table data'!$A$2:$G$12,P$1,FALSE)</f>
        <v>20</v>
      </c>
      <c r="Q229">
        <f t="shared" si="15"/>
        <v>10</v>
      </c>
      <c r="R229" t="str">
        <f t="shared" si="16"/>
        <v>Hub Risk</v>
      </c>
      <c r="S229" t="str">
        <f t="shared" si="17"/>
        <v>Style Risk</v>
      </c>
      <c r="T229" t="str">
        <f t="shared" si="18"/>
        <v>Risk</v>
      </c>
      <c r="U229" t="str">
        <f t="shared" si="19"/>
        <v>High Value</v>
      </c>
    </row>
    <row r="230" spans="1:21" hidden="1" x14ac:dyDescent="0.2">
      <c r="A230" s="2">
        <v>1032</v>
      </c>
      <c r="B230" s="2" t="s">
        <v>9</v>
      </c>
      <c r="C230" s="2" t="s">
        <v>358</v>
      </c>
      <c r="D230" s="2" t="s">
        <v>41</v>
      </c>
      <c r="E230" s="2">
        <v>80123</v>
      </c>
      <c r="F230" s="2" t="s">
        <v>359</v>
      </c>
      <c r="G230" s="2" t="s">
        <v>13</v>
      </c>
      <c r="H230" s="2">
        <v>1</v>
      </c>
      <c r="I230" s="2" t="s">
        <v>39</v>
      </c>
      <c r="J230" s="2" t="str">
        <f>VLOOKUP(E230,[1]LL_Hub!$A$1:$B$13,2,FALSE)</f>
        <v>Denver</v>
      </c>
      <c r="K230" t="str">
        <f>VLOOKUP(D230,'[2]product Table data'!$A$2:$B$12,2,FALSE)</f>
        <v>Male</v>
      </c>
      <c r="L230" t="str">
        <f>VLOOKUP($D230,'[2]product Table data'!$A$2:$G$12,L$1,FALSE)</f>
        <v>Winter Warmth</v>
      </c>
      <c r="M230" t="str">
        <f>VLOOKUP($D230,'[2]product Table data'!$A$2:$G$12,M$1,FALSE)</f>
        <v>Moldova</v>
      </c>
      <c r="N230" t="str">
        <f>VLOOKUP($D230,'[2]product Table data'!$A$2:$G$12,N$1,FALSE)</f>
        <v>Eastern Europe</v>
      </c>
      <c r="O230">
        <f>VLOOKUP($D230,'[2]product Table data'!$A$2:$G$12,O$1,FALSE)</f>
        <v>475</v>
      </c>
      <c r="P230">
        <f>VLOOKUP($D230,'[2]product Table data'!$A$2:$G$12,P$1,FALSE)</f>
        <v>600</v>
      </c>
      <c r="Q230">
        <f t="shared" si="15"/>
        <v>125</v>
      </c>
      <c r="R230" t="str">
        <f t="shared" si="16"/>
        <v>Hub Risk</v>
      </c>
      <c r="S230" t="str">
        <f t="shared" si="17"/>
        <v>-</v>
      </c>
      <c r="T230" t="str">
        <f t="shared" si="18"/>
        <v>-</v>
      </c>
      <c r="U230" t="str">
        <f t="shared" si="19"/>
        <v>High Value</v>
      </c>
    </row>
    <row r="231" spans="1:21" hidden="1" x14ac:dyDescent="0.2">
      <c r="A231" s="2">
        <v>1033</v>
      </c>
      <c r="B231" s="2" t="s">
        <v>9</v>
      </c>
      <c r="C231" s="2" t="s">
        <v>360</v>
      </c>
      <c r="D231" s="2" t="s">
        <v>11</v>
      </c>
      <c r="E231" s="2">
        <v>80123</v>
      </c>
      <c r="F231" s="2" t="s">
        <v>361</v>
      </c>
      <c r="G231" s="2" t="s">
        <v>13</v>
      </c>
      <c r="H231" s="2">
        <v>1</v>
      </c>
      <c r="I231" s="2" t="s">
        <v>39</v>
      </c>
      <c r="J231" s="2" t="str">
        <f>VLOOKUP(E231,[1]LL_Hub!$A$1:$B$13,2,FALSE)</f>
        <v>Denver</v>
      </c>
      <c r="K231" t="str">
        <f>VLOOKUP(D231,'[2]product Table data'!$A$2:$B$12,2,FALSE)</f>
        <v>Male</v>
      </c>
      <c r="L231" t="str">
        <f>VLOOKUP($D231,'[2]product Table data'!$A$2:$G$12,L$1,FALSE)</f>
        <v>Casual n Light</v>
      </c>
      <c r="M231" t="str">
        <f>VLOOKUP($D231,'[2]product Table data'!$A$2:$G$12,M$1,FALSE)</f>
        <v>Ethiopia</v>
      </c>
      <c r="N231" t="str">
        <f>VLOOKUP($D231,'[2]product Table data'!$A$2:$G$12,N$1,FALSE)</f>
        <v>Africa</v>
      </c>
      <c r="O231">
        <f>VLOOKUP($D231,'[2]product Table data'!$A$2:$G$12,O$1,FALSE)</f>
        <v>10</v>
      </c>
      <c r="P231">
        <f>VLOOKUP($D231,'[2]product Table data'!$A$2:$G$12,P$1,FALSE)</f>
        <v>20</v>
      </c>
      <c r="Q231">
        <f t="shared" si="15"/>
        <v>10</v>
      </c>
      <c r="R231" t="str">
        <f t="shared" si="16"/>
        <v>Hub Risk</v>
      </c>
      <c r="S231" t="str">
        <f t="shared" si="17"/>
        <v>Style Risk</v>
      </c>
      <c r="T231" t="str">
        <f t="shared" si="18"/>
        <v>Risk</v>
      </c>
      <c r="U231" t="str">
        <f t="shared" si="19"/>
        <v>High Value</v>
      </c>
    </row>
    <row r="232" spans="1:21" hidden="1" x14ac:dyDescent="0.2">
      <c r="A232" s="2">
        <v>1034</v>
      </c>
      <c r="B232" s="2" t="s">
        <v>9</v>
      </c>
      <c r="C232" s="2" t="s">
        <v>362</v>
      </c>
      <c r="D232" s="2" t="s">
        <v>11</v>
      </c>
      <c r="E232" s="2">
        <v>80123</v>
      </c>
      <c r="F232" s="2" t="s">
        <v>363</v>
      </c>
      <c r="G232" s="2" t="s">
        <v>13</v>
      </c>
      <c r="H232" s="2">
        <v>1</v>
      </c>
      <c r="I232" s="2" t="s">
        <v>39</v>
      </c>
      <c r="J232" s="2" t="str">
        <f>VLOOKUP(E232,[1]LL_Hub!$A$1:$B$13,2,FALSE)</f>
        <v>Denver</v>
      </c>
      <c r="K232" t="str">
        <f>VLOOKUP(D232,'[2]product Table data'!$A$2:$B$12,2,FALSE)</f>
        <v>Male</v>
      </c>
      <c r="L232" t="str">
        <f>VLOOKUP($D232,'[2]product Table data'!$A$2:$G$12,L$1,FALSE)</f>
        <v>Casual n Light</v>
      </c>
      <c r="M232" t="str">
        <f>VLOOKUP($D232,'[2]product Table data'!$A$2:$G$12,M$1,FALSE)</f>
        <v>Ethiopia</v>
      </c>
      <c r="N232" t="str">
        <f>VLOOKUP($D232,'[2]product Table data'!$A$2:$G$12,N$1,FALSE)</f>
        <v>Africa</v>
      </c>
      <c r="O232">
        <f>VLOOKUP($D232,'[2]product Table data'!$A$2:$G$12,O$1,FALSE)</f>
        <v>10</v>
      </c>
      <c r="P232">
        <f>VLOOKUP($D232,'[2]product Table data'!$A$2:$G$12,P$1,FALSE)</f>
        <v>20</v>
      </c>
      <c r="Q232">
        <f t="shared" si="15"/>
        <v>10</v>
      </c>
      <c r="R232" t="str">
        <f t="shared" si="16"/>
        <v>Hub Risk</v>
      </c>
      <c r="S232" t="str">
        <f t="shared" si="17"/>
        <v>Style Risk</v>
      </c>
      <c r="T232" t="str">
        <f t="shared" si="18"/>
        <v>Risk</v>
      </c>
      <c r="U232" t="str">
        <f t="shared" si="19"/>
        <v>High Value</v>
      </c>
    </row>
    <row r="233" spans="1:21" hidden="1" x14ac:dyDescent="0.2">
      <c r="A233" s="2">
        <v>1035</v>
      </c>
      <c r="B233" s="2" t="s">
        <v>9</v>
      </c>
      <c r="C233" s="2" t="s">
        <v>364</v>
      </c>
      <c r="D233" s="2" t="s">
        <v>11</v>
      </c>
      <c r="E233" s="2">
        <v>80123</v>
      </c>
      <c r="F233" s="2" t="s">
        <v>365</v>
      </c>
      <c r="G233" s="2" t="s">
        <v>13</v>
      </c>
      <c r="H233" s="2">
        <v>1</v>
      </c>
      <c r="I233" s="2" t="s">
        <v>39</v>
      </c>
      <c r="J233" s="2" t="str">
        <f>VLOOKUP(E233,[1]LL_Hub!$A$1:$B$13,2,FALSE)</f>
        <v>Denver</v>
      </c>
      <c r="K233" t="str">
        <f>VLOOKUP(D233,'[2]product Table data'!$A$2:$B$12,2,FALSE)</f>
        <v>Male</v>
      </c>
      <c r="L233" t="str">
        <f>VLOOKUP($D233,'[2]product Table data'!$A$2:$G$12,L$1,FALSE)</f>
        <v>Casual n Light</v>
      </c>
      <c r="M233" t="str">
        <f>VLOOKUP($D233,'[2]product Table data'!$A$2:$G$12,M$1,FALSE)</f>
        <v>Ethiopia</v>
      </c>
      <c r="N233" t="str">
        <f>VLOOKUP($D233,'[2]product Table data'!$A$2:$G$12,N$1,FALSE)</f>
        <v>Africa</v>
      </c>
      <c r="O233">
        <f>VLOOKUP($D233,'[2]product Table data'!$A$2:$G$12,O$1,FALSE)</f>
        <v>10</v>
      </c>
      <c r="P233">
        <f>VLOOKUP($D233,'[2]product Table data'!$A$2:$G$12,P$1,FALSE)</f>
        <v>20</v>
      </c>
      <c r="Q233">
        <f t="shared" si="15"/>
        <v>10</v>
      </c>
      <c r="R233" t="str">
        <f t="shared" si="16"/>
        <v>Hub Risk</v>
      </c>
      <c r="S233" t="str">
        <f t="shared" si="17"/>
        <v>Style Risk</v>
      </c>
      <c r="T233" t="str">
        <f t="shared" si="18"/>
        <v>Risk</v>
      </c>
      <c r="U233" t="str">
        <f t="shared" si="19"/>
        <v>High Value</v>
      </c>
    </row>
    <row r="234" spans="1:21" hidden="1" x14ac:dyDescent="0.2">
      <c r="A234" s="2">
        <v>1036</v>
      </c>
      <c r="B234" s="2" t="s">
        <v>9</v>
      </c>
      <c r="C234" s="2" t="s">
        <v>366</v>
      </c>
      <c r="D234" s="2" t="s">
        <v>11</v>
      </c>
      <c r="E234" s="2">
        <v>80123</v>
      </c>
      <c r="F234" s="2" t="s">
        <v>367</v>
      </c>
      <c r="G234" s="2" t="s">
        <v>13</v>
      </c>
      <c r="H234" s="2">
        <v>1</v>
      </c>
      <c r="I234" s="2" t="s">
        <v>39</v>
      </c>
      <c r="J234" s="2" t="str">
        <f>VLOOKUP(E234,[1]LL_Hub!$A$1:$B$13,2,FALSE)</f>
        <v>Denver</v>
      </c>
      <c r="K234" t="str">
        <f>VLOOKUP(D234,'[2]product Table data'!$A$2:$B$12,2,FALSE)</f>
        <v>Male</v>
      </c>
      <c r="L234" t="str">
        <f>VLOOKUP($D234,'[2]product Table data'!$A$2:$G$12,L$1,FALSE)</f>
        <v>Casual n Light</v>
      </c>
      <c r="M234" t="str">
        <f>VLOOKUP($D234,'[2]product Table data'!$A$2:$G$12,M$1,FALSE)</f>
        <v>Ethiopia</v>
      </c>
      <c r="N234" t="str">
        <f>VLOOKUP($D234,'[2]product Table data'!$A$2:$G$12,N$1,FALSE)</f>
        <v>Africa</v>
      </c>
      <c r="O234">
        <f>VLOOKUP($D234,'[2]product Table data'!$A$2:$G$12,O$1,FALSE)</f>
        <v>10</v>
      </c>
      <c r="P234">
        <f>VLOOKUP($D234,'[2]product Table data'!$A$2:$G$12,P$1,FALSE)</f>
        <v>20</v>
      </c>
      <c r="Q234">
        <f t="shared" si="15"/>
        <v>10</v>
      </c>
      <c r="R234" t="str">
        <f t="shared" si="16"/>
        <v>Hub Risk</v>
      </c>
      <c r="S234" t="str">
        <f t="shared" si="17"/>
        <v>Style Risk</v>
      </c>
      <c r="T234" t="str">
        <f t="shared" si="18"/>
        <v>Risk</v>
      </c>
      <c r="U234" t="str">
        <f t="shared" si="19"/>
        <v>High Value</v>
      </c>
    </row>
    <row r="235" spans="1:21" hidden="1" x14ac:dyDescent="0.2">
      <c r="A235" s="2">
        <v>1037</v>
      </c>
      <c r="B235" s="2" t="s">
        <v>9</v>
      </c>
      <c r="C235" s="2" t="s">
        <v>368</v>
      </c>
      <c r="D235" s="2" t="s">
        <v>11</v>
      </c>
      <c r="E235" s="2">
        <v>80123</v>
      </c>
      <c r="F235" s="2" t="s">
        <v>369</v>
      </c>
      <c r="G235" s="2" t="s">
        <v>13</v>
      </c>
      <c r="H235" s="2">
        <v>1</v>
      </c>
      <c r="I235" s="2" t="s">
        <v>39</v>
      </c>
      <c r="J235" s="2" t="str">
        <f>VLOOKUP(E235,[1]LL_Hub!$A$1:$B$13,2,FALSE)</f>
        <v>Denver</v>
      </c>
      <c r="K235" t="str">
        <f>VLOOKUP(D235,'[2]product Table data'!$A$2:$B$12,2,FALSE)</f>
        <v>Male</v>
      </c>
      <c r="L235" t="str">
        <f>VLOOKUP($D235,'[2]product Table data'!$A$2:$G$12,L$1,FALSE)</f>
        <v>Casual n Light</v>
      </c>
      <c r="M235" t="str">
        <f>VLOOKUP($D235,'[2]product Table data'!$A$2:$G$12,M$1,FALSE)</f>
        <v>Ethiopia</v>
      </c>
      <c r="N235" t="str">
        <f>VLOOKUP($D235,'[2]product Table data'!$A$2:$G$12,N$1,FALSE)</f>
        <v>Africa</v>
      </c>
      <c r="O235">
        <f>VLOOKUP($D235,'[2]product Table data'!$A$2:$G$12,O$1,FALSE)</f>
        <v>10</v>
      </c>
      <c r="P235">
        <f>VLOOKUP($D235,'[2]product Table data'!$A$2:$G$12,P$1,FALSE)</f>
        <v>20</v>
      </c>
      <c r="Q235">
        <f t="shared" si="15"/>
        <v>10</v>
      </c>
      <c r="R235" t="str">
        <f t="shared" si="16"/>
        <v>Hub Risk</v>
      </c>
      <c r="S235" t="str">
        <f t="shared" si="17"/>
        <v>Style Risk</v>
      </c>
      <c r="T235" t="str">
        <f t="shared" si="18"/>
        <v>Risk</v>
      </c>
      <c r="U235" t="str">
        <f t="shared" si="19"/>
        <v>High Value</v>
      </c>
    </row>
    <row r="236" spans="1:21" hidden="1" x14ac:dyDescent="0.2">
      <c r="A236" s="2">
        <v>1038</v>
      </c>
      <c r="B236" s="2" t="s">
        <v>9</v>
      </c>
      <c r="C236" s="2" t="s">
        <v>370</v>
      </c>
      <c r="D236" s="2" t="s">
        <v>11</v>
      </c>
      <c r="E236" s="2">
        <v>80123</v>
      </c>
      <c r="F236" s="2" t="s">
        <v>371</v>
      </c>
      <c r="G236" s="2" t="s">
        <v>13</v>
      </c>
      <c r="H236" s="2">
        <v>1</v>
      </c>
      <c r="I236" s="2" t="s">
        <v>39</v>
      </c>
      <c r="J236" s="2" t="str">
        <f>VLOOKUP(E236,[1]LL_Hub!$A$1:$B$13,2,FALSE)</f>
        <v>Denver</v>
      </c>
      <c r="K236" t="str">
        <f>VLOOKUP(D236,'[2]product Table data'!$A$2:$B$12,2,FALSE)</f>
        <v>Male</v>
      </c>
      <c r="L236" t="str">
        <f>VLOOKUP($D236,'[2]product Table data'!$A$2:$G$12,L$1,FALSE)</f>
        <v>Casual n Light</v>
      </c>
      <c r="M236" t="str">
        <f>VLOOKUP($D236,'[2]product Table data'!$A$2:$G$12,M$1,FALSE)</f>
        <v>Ethiopia</v>
      </c>
      <c r="N236" t="str">
        <f>VLOOKUP($D236,'[2]product Table data'!$A$2:$G$12,N$1,FALSE)</f>
        <v>Africa</v>
      </c>
      <c r="O236">
        <f>VLOOKUP($D236,'[2]product Table data'!$A$2:$G$12,O$1,FALSE)</f>
        <v>10</v>
      </c>
      <c r="P236">
        <f>VLOOKUP($D236,'[2]product Table data'!$A$2:$G$12,P$1,FALSE)</f>
        <v>20</v>
      </c>
      <c r="Q236">
        <f t="shared" si="15"/>
        <v>10</v>
      </c>
      <c r="R236" t="str">
        <f t="shared" si="16"/>
        <v>Hub Risk</v>
      </c>
      <c r="S236" t="str">
        <f t="shared" si="17"/>
        <v>Style Risk</v>
      </c>
      <c r="T236" t="str">
        <f t="shared" si="18"/>
        <v>Risk</v>
      </c>
      <c r="U236" t="str">
        <f t="shared" si="19"/>
        <v>High Value</v>
      </c>
    </row>
    <row r="237" spans="1:21" hidden="1" x14ac:dyDescent="0.2">
      <c r="A237" s="2">
        <v>1039</v>
      </c>
      <c r="B237" s="2" t="s">
        <v>9</v>
      </c>
      <c r="C237" s="2" t="s">
        <v>372</v>
      </c>
      <c r="D237" s="2" t="s">
        <v>11</v>
      </c>
      <c r="E237" s="2">
        <v>80123</v>
      </c>
      <c r="F237" s="2" t="s">
        <v>373</v>
      </c>
      <c r="G237" s="2" t="s">
        <v>13</v>
      </c>
      <c r="H237" s="2">
        <v>1</v>
      </c>
      <c r="I237" s="2" t="s">
        <v>39</v>
      </c>
      <c r="J237" s="2" t="str">
        <f>VLOOKUP(E237,[1]LL_Hub!$A$1:$B$13,2,FALSE)</f>
        <v>Denver</v>
      </c>
      <c r="K237" t="str">
        <f>VLOOKUP(D237,'[2]product Table data'!$A$2:$B$12,2,FALSE)</f>
        <v>Male</v>
      </c>
      <c r="L237" t="str">
        <f>VLOOKUP($D237,'[2]product Table data'!$A$2:$G$12,L$1,FALSE)</f>
        <v>Casual n Light</v>
      </c>
      <c r="M237" t="str">
        <f>VLOOKUP($D237,'[2]product Table data'!$A$2:$G$12,M$1,FALSE)</f>
        <v>Ethiopia</v>
      </c>
      <c r="N237" t="str">
        <f>VLOOKUP($D237,'[2]product Table data'!$A$2:$G$12,N$1,FALSE)</f>
        <v>Africa</v>
      </c>
      <c r="O237">
        <f>VLOOKUP($D237,'[2]product Table data'!$A$2:$G$12,O$1,FALSE)</f>
        <v>10</v>
      </c>
      <c r="P237">
        <f>VLOOKUP($D237,'[2]product Table data'!$A$2:$G$12,P$1,FALSE)</f>
        <v>20</v>
      </c>
      <c r="Q237">
        <f t="shared" si="15"/>
        <v>10</v>
      </c>
      <c r="R237" t="str">
        <f t="shared" si="16"/>
        <v>Hub Risk</v>
      </c>
      <c r="S237" t="str">
        <f t="shared" si="17"/>
        <v>Style Risk</v>
      </c>
      <c r="T237" t="str">
        <f t="shared" si="18"/>
        <v>Risk</v>
      </c>
      <c r="U237" t="str">
        <f t="shared" si="19"/>
        <v>High Value</v>
      </c>
    </row>
    <row r="238" spans="1:21" hidden="1" x14ac:dyDescent="0.2">
      <c r="A238" s="2">
        <v>1040</v>
      </c>
      <c r="B238" s="2" t="s">
        <v>9</v>
      </c>
      <c r="C238" s="2" t="s">
        <v>374</v>
      </c>
      <c r="D238" s="2" t="s">
        <v>11</v>
      </c>
      <c r="E238" s="2">
        <v>80123</v>
      </c>
      <c r="F238" s="2" t="s">
        <v>375</v>
      </c>
      <c r="G238" s="2" t="s">
        <v>13</v>
      </c>
      <c r="H238" s="2">
        <v>1</v>
      </c>
      <c r="I238" s="2" t="s">
        <v>39</v>
      </c>
      <c r="J238" s="2" t="str">
        <f>VLOOKUP(E238,[1]LL_Hub!$A$1:$B$13,2,FALSE)</f>
        <v>Denver</v>
      </c>
      <c r="K238" t="str">
        <f>VLOOKUP(D238,'[2]product Table data'!$A$2:$B$12,2,FALSE)</f>
        <v>Male</v>
      </c>
      <c r="L238" t="str">
        <f>VLOOKUP($D238,'[2]product Table data'!$A$2:$G$12,L$1,FALSE)</f>
        <v>Casual n Light</v>
      </c>
      <c r="M238" t="str">
        <f>VLOOKUP($D238,'[2]product Table data'!$A$2:$G$12,M$1,FALSE)</f>
        <v>Ethiopia</v>
      </c>
      <c r="N238" t="str">
        <f>VLOOKUP($D238,'[2]product Table data'!$A$2:$G$12,N$1,FALSE)</f>
        <v>Africa</v>
      </c>
      <c r="O238">
        <f>VLOOKUP($D238,'[2]product Table data'!$A$2:$G$12,O$1,FALSE)</f>
        <v>10</v>
      </c>
      <c r="P238">
        <f>VLOOKUP($D238,'[2]product Table data'!$A$2:$G$12,P$1,FALSE)</f>
        <v>20</v>
      </c>
      <c r="Q238">
        <f t="shared" si="15"/>
        <v>10</v>
      </c>
      <c r="R238" t="str">
        <f t="shared" si="16"/>
        <v>Hub Risk</v>
      </c>
      <c r="S238" t="str">
        <f t="shared" si="17"/>
        <v>Style Risk</v>
      </c>
      <c r="T238" t="str">
        <f t="shared" si="18"/>
        <v>Risk</v>
      </c>
      <c r="U238" t="str">
        <f t="shared" si="19"/>
        <v>High Value</v>
      </c>
    </row>
    <row r="239" spans="1:21" hidden="1" x14ac:dyDescent="0.2">
      <c r="A239" s="2">
        <v>1041</v>
      </c>
      <c r="B239" s="2" t="s">
        <v>9</v>
      </c>
      <c r="C239" s="2" t="s">
        <v>376</v>
      </c>
      <c r="D239" s="2" t="s">
        <v>11</v>
      </c>
      <c r="E239" s="2">
        <v>80123</v>
      </c>
      <c r="F239" s="2" t="s">
        <v>377</v>
      </c>
      <c r="G239" s="2" t="s">
        <v>13</v>
      </c>
      <c r="H239" s="2">
        <v>1</v>
      </c>
      <c r="I239" s="2" t="s">
        <v>39</v>
      </c>
      <c r="J239" s="2" t="str">
        <f>VLOOKUP(E239,[1]LL_Hub!$A$1:$B$13,2,FALSE)</f>
        <v>Denver</v>
      </c>
      <c r="K239" t="str">
        <f>VLOOKUP(D239,'[2]product Table data'!$A$2:$B$12,2,FALSE)</f>
        <v>Male</v>
      </c>
      <c r="L239" t="str">
        <f>VLOOKUP($D239,'[2]product Table data'!$A$2:$G$12,L$1,FALSE)</f>
        <v>Casual n Light</v>
      </c>
      <c r="M239" t="str">
        <f>VLOOKUP($D239,'[2]product Table data'!$A$2:$G$12,M$1,FALSE)</f>
        <v>Ethiopia</v>
      </c>
      <c r="N239" t="str">
        <f>VLOOKUP($D239,'[2]product Table data'!$A$2:$G$12,N$1,FALSE)</f>
        <v>Africa</v>
      </c>
      <c r="O239">
        <f>VLOOKUP($D239,'[2]product Table data'!$A$2:$G$12,O$1,FALSE)</f>
        <v>10</v>
      </c>
      <c r="P239">
        <f>VLOOKUP($D239,'[2]product Table data'!$A$2:$G$12,P$1,FALSE)</f>
        <v>20</v>
      </c>
      <c r="Q239">
        <f t="shared" si="15"/>
        <v>10</v>
      </c>
      <c r="R239" t="str">
        <f t="shared" si="16"/>
        <v>Hub Risk</v>
      </c>
      <c r="S239" t="str">
        <f t="shared" si="17"/>
        <v>Style Risk</v>
      </c>
      <c r="T239" t="str">
        <f t="shared" si="18"/>
        <v>Risk</v>
      </c>
      <c r="U239" t="str">
        <f t="shared" si="19"/>
        <v>High Value</v>
      </c>
    </row>
    <row r="240" spans="1:21" hidden="1" x14ac:dyDescent="0.2">
      <c r="A240" s="2">
        <v>1042</v>
      </c>
      <c r="B240" s="2" t="s">
        <v>9</v>
      </c>
      <c r="C240" s="2" t="s">
        <v>378</v>
      </c>
      <c r="D240" s="2" t="s">
        <v>11</v>
      </c>
      <c r="E240" s="2">
        <v>80123</v>
      </c>
      <c r="F240" s="2" t="s">
        <v>379</v>
      </c>
      <c r="G240" s="2" t="s">
        <v>13</v>
      </c>
      <c r="H240" s="2">
        <v>1</v>
      </c>
      <c r="I240" s="2" t="s">
        <v>39</v>
      </c>
      <c r="J240" s="2" t="str">
        <f>VLOOKUP(E240,[1]LL_Hub!$A$1:$B$13,2,FALSE)</f>
        <v>Denver</v>
      </c>
      <c r="K240" t="str">
        <f>VLOOKUP(D240,'[2]product Table data'!$A$2:$B$12,2,FALSE)</f>
        <v>Male</v>
      </c>
      <c r="L240" t="str">
        <f>VLOOKUP($D240,'[2]product Table data'!$A$2:$G$12,L$1,FALSE)</f>
        <v>Casual n Light</v>
      </c>
      <c r="M240" t="str">
        <f>VLOOKUP($D240,'[2]product Table data'!$A$2:$G$12,M$1,FALSE)</f>
        <v>Ethiopia</v>
      </c>
      <c r="N240" t="str">
        <f>VLOOKUP($D240,'[2]product Table data'!$A$2:$G$12,N$1,FALSE)</f>
        <v>Africa</v>
      </c>
      <c r="O240">
        <f>VLOOKUP($D240,'[2]product Table data'!$A$2:$G$12,O$1,FALSE)</f>
        <v>10</v>
      </c>
      <c r="P240">
        <f>VLOOKUP($D240,'[2]product Table data'!$A$2:$G$12,P$1,FALSE)</f>
        <v>20</v>
      </c>
      <c r="Q240">
        <f t="shared" si="15"/>
        <v>10</v>
      </c>
      <c r="R240" t="str">
        <f t="shared" si="16"/>
        <v>Hub Risk</v>
      </c>
      <c r="S240" t="str">
        <f t="shared" si="17"/>
        <v>Style Risk</v>
      </c>
      <c r="T240" t="str">
        <f t="shared" si="18"/>
        <v>Risk</v>
      </c>
      <c r="U240" t="str">
        <f t="shared" si="19"/>
        <v>High Value</v>
      </c>
    </row>
    <row r="241" spans="1:21" hidden="1" x14ac:dyDescent="0.2">
      <c r="A241" s="2">
        <v>1043</v>
      </c>
      <c r="B241" s="2" t="s">
        <v>9</v>
      </c>
      <c r="C241" s="2" t="s">
        <v>380</v>
      </c>
      <c r="D241" s="2" t="s">
        <v>11</v>
      </c>
      <c r="E241" s="2">
        <v>80123</v>
      </c>
      <c r="F241" s="2" t="s">
        <v>381</v>
      </c>
      <c r="G241" s="2" t="s">
        <v>13</v>
      </c>
      <c r="H241" s="2">
        <v>1</v>
      </c>
      <c r="I241" s="2" t="s">
        <v>39</v>
      </c>
      <c r="J241" s="2" t="str">
        <f>VLOOKUP(E241,[1]LL_Hub!$A$1:$B$13,2,FALSE)</f>
        <v>Denver</v>
      </c>
      <c r="K241" t="str">
        <f>VLOOKUP(D241,'[2]product Table data'!$A$2:$B$12,2,FALSE)</f>
        <v>Male</v>
      </c>
      <c r="L241" t="str">
        <f>VLOOKUP($D241,'[2]product Table data'!$A$2:$G$12,L$1,FALSE)</f>
        <v>Casual n Light</v>
      </c>
      <c r="M241" t="str">
        <f>VLOOKUP($D241,'[2]product Table data'!$A$2:$G$12,M$1,FALSE)</f>
        <v>Ethiopia</v>
      </c>
      <c r="N241" t="str">
        <f>VLOOKUP($D241,'[2]product Table data'!$A$2:$G$12,N$1,FALSE)</f>
        <v>Africa</v>
      </c>
      <c r="O241">
        <f>VLOOKUP($D241,'[2]product Table data'!$A$2:$G$12,O$1,FALSE)</f>
        <v>10</v>
      </c>
      <c r="P241">
        <f>VLOOKUP($D241,'[2]product Table data'!$A$2:$G$12,P$1,FALSE)</f>
        <v>20</v>
      </c>
      <c r="Q241">
        <f t="shared" si="15"/>
        <v>10</v>
      </c>
      <c r="R241" t="str">
        <f t="shared" si="16"/>
        <v>Hub Risk</v>
      </c>
      <c r="S241" t="str">
        <f t="shared" si="17"/>
        <v>Style Risk</v>
      </c>
      <c r="T241" t="str">
        <f t="shared" si="18"/>
        <v>Risk</v>
      </c>
      <c r="U241" t="str">
        <f t="shared" si="19"/>
        <v>High Value</v>
      </c>
    </row>
    <row r="242" spans="1:21" hidden="1" x14ac:dyDescent="0.2">
      <c r="A242" s="2">
        <v>1044</v>
      </c>
      <c r="B242" s="2" t="s">
        <v>9</v>
      </c>
      <c r="C242" s="2" t="s">
        <v>382</v>
      </c>
      <c r="D242" s="2" t="s">
        <v>41</v>
      </c>
      <c r="E242" s="2">
        <v>80123</v>
      </c>
      <c r="F242" s="2" t="s">
        <v>383</v>
      </c>
      <c r="G242" s="2" t="s">
        <v>13</v>
      </c>
      <c r="H242" s="2">
        <v>1</v>
      </c>
      <c r="I242" s="2" t="s">
        <v>39</v>
      </c>
      <c r="J242" s="2" t="str">
        <f>VLOOKUP(E242,[1]LL_Hub!$A$1:$B$13,2,FALSE)</f>
        <v>Denver</v>
      </c>
      <c r="K242" t="str">
        <f>VLOOKUP(D242,'[2]product Table data'!$A$2:$B$12,2,FALSE)</f>
        <v>Male</v>
      </c>
      <c r="L242" t="str">
        <f>VLOOKUP($D242,'[2]product Table data'!$A$2:$G$12,L$1,FALSE)</f>
        <v>Winter Warmth</v>
      </c>
      <c r="M242" t="str">
        <f>VLOOKUP($D242,'[2]product Table data'!$A$2:$G$12,M$1,FALSE)</f>
        <v>Moldova</v>
      </c>
      <c r="N242" t="str">
        <f>VLOOKUP($D242,'[2]product Table data'!$A$2:$G$12,N$1,FALSE)</f>
        <v>Eastern Europe</v>
      </c>
      <c r="O242">
        <f>VLOOKUP($D242,'[2]product Table data'!$A$2:$G$12,O$1,FALSE)</f>
        <v>475</v>
      </c>
      <c r="P242">
        <f>VLOOKUP($D242,'[2]product Table data'!$A$2:$G$12,P$1,FALSE)</f>
        <v>600</v>
      </c>
      <c r="Q242">
        <f t="shared" si="15"/>
        <v>125</v>
      </c>
      <c r="R242" t="str">
        <f t="shared" si="16"/>
        <v>Hub Risk</v>
      </c>
      <c r="S242" t="str">
        <f t="shared" si="17"/>
        <v>-</v>
      </c>
      <c r="T242" t="str">
        <f t="shared" si="18"/>
        <v>-</v>
      </c>
      <c r="U242" t="str">
        <f t="shared" si="19"/>
        <v>High Value</v>
      </c>
    </row>
    <row r="243" spans="1:21" hidden="1" x14ac:dyDescent="0.2">
      <c r="A243" s="2">
        <v>1045</v>
      </c>
      <c r="B243" s="2" t="s">
        <v>9</v>
      </c>
      <c r="C243" s="2" t="s">
        <v>384</v>
      </c>
      <c r="D243" s="2" t="s">
        <v>11</v>
      </c>
      <c r="E243" s="2">
        <v>80123</v>
      </c>
      <c r="F243" s="2" t="s">
        <v>385</v>
      </c>
      <c r="G243" s="2" t="s">
        <v>13</v>
      </c>
      <c r="H243" s="2">
        <v>1</v>
      </c>
      <c r="I243" s="2" t="s">
        <v>39</v>
      </c>
      <c r="J243" s="2" t="str">
        <f>VLOOKUP(E243,[1]LL_Hub!$A$1:$B$13,2,FALSE)</f>
        <v>Denver</v>
      </c>
      <c r="K243" t="str">
        <f>VLOOKUP(D243,'[2]product Table data'!$A$2:$B$12,2,FALSE)</f>
        <v>Male</v>
      </c>
      <c r="L243" t="str">
        <f>VLOOKUP($D243,'[2]product Table data'!$A$2:$G$12,L$1,FALSE)</f>
        <v>Casual n Light</v>
      </c>
      <c r="M243" t="str">
        <f>VLOOKUP($D243,'[2]product Table data'!$A$2:$G$12,M$1,FALSE)</f>
        <v>Ethiopia</v>
      </c>
      <c r="N243" t="str">
        <f>VLOOKUP($D243,'[2]product Table data'!$A$2:$G$12,N$1,FALSE)</f>
        <v>Africa</v>
      </c>
      <c r="O243">
        <f>VLOOKUP($D243,'[2]product Table data'!$A$2:$G$12,O$1,FALSE)</f>
        <v>10</v>
      </c>
      <c r="P243">
        <f>VLOOKUP($D243,'[2]product Table data'!$A$2:$G$12,P$1,FALSE)</f>
        <v>20</v>
      </c>
      <c r="Q243">
        <f t="shared" si="15"/>
        <v>10</v>
      </c>
      <c r="R243" t="str">
        <f t="shared" si="16"/>
        <v>Hub Risk</v>
      </c>
      <c r="S243" t="str">
        <f t="shared" si="17"/>
        <v>Style Risk</v>
      </c>
      <c r="T243" t="str">
        <f t="shared" si="18"/>
        <v>Risk</v>
      </c>
      <c r="U243" t="str">
        <f t="shared" si="19"/>
        <v>High Value</v>
      </c>
    </row>
    <row r="244" spans="1:21" hidden="1" x14ac:dyDescent="0.2">
      <c r="A244" s="2">
        <v>1046</v>
      </c>
      <c r="B244" s="2" t="s">
        <v>9</v>
      </c>
      <c r="C244" s="2" t="s">
        <v>386</v>
      </c>
      <c r="D244" s="2" t="s">
        <v>11</v>
      </c>
      <c r="E244" s="2">
        <v>80123</v>
      </c>
      <c r="F244" s="2" t="s">
        <v>387</v>
      </c>
      <c r="G244" s="2" t="s">
        <v>13</v>
      </c>
      <c r="H244" s="2">
        <v>1</v>
      </c>
      <c r="I244" s="2" t="s">
        <v>39</v>
      </c>
      <c r="J244" s="2" t="str">
        <f>VLOOKUP(E244,[1]LL_Hub!$A$1:$B$13,2,FALSE)</f>
        <v>Denver</v>
      </c>
      <c r="K244" t="str">
        <f>VLOOKUP(D244,'[2]product Table data'!$A$2:$B$12,2,FALSE)</f>
        <v>Male</v>
      </c>
      <c r="L244" t="str">
        <f>VLOOKUP($D244,'[2]product Table data'!$A$2:$G$12,L$1,FALSE)</f>
        <v>Casual n Light</v>
      </c>
      <c r="M244" t="str">
        <f>VLOOKUP($D244,'[2]product Table data'!$A$2:$G$12,M$1,FALSE)</f>
        <v>Ethiopia</v>
      </c>
      <c r="N244" t="str">
        <f>VLOOKUP($D244,'[2]product Table data'!$A$2:$G$12,N$1,FALSE)</f>
        <v>Africa</v>
      </c>
      <c r="O244">
        <f>VLOOKUP($D244,'[2]product Table data'!$A$2:$G$12,O$1,FALSE)</f>
        <v>10</v>
      </c>
      <c r="P244">
        <f>VLOOKUP($D244,'[2]product Table data'!$A$2:$G$12,P$1,FALSE)</f>
        <v>20</v>
      </c>
      <c r="Q244">
        <f t="shared" si="15"/>
        <v>10</v>
      </c>
      <c r="R244" t="str">
        <f t="shared" si="16"/>
        <v>Hub Risk</v>
      </c>
      <c r="S244" t="str">
        <f t="shared" si="17"/>
        <v>Style Risk</v>
      </c>
      <c r="T244" t="str">
        <f t="shared" si="18"/>
        <v>Risk</v>
      </c>
      <c r="U244" t="str">
        <f t="shared" si="19"/>
        <v>High Value</v>
      </c>
    </row>
    <row r="245" spans="1:21" hidden="1" x14ac:dyDescent="0.2">
      <c r="A245" s="2">
        <v>1047</v>
      </c>
      <c r="B245" s="2" t="s">
        <v>9</v>
      </c>
      <c r="C245" s="2" t="s">
        <v>388</v>
      </c>
      <c r="D245" s="2" t="s">
        <v>11</v>
      </c>
      <c r="E245" s="2">
        <v>80123</v>
      </c>
      <c r="F245" s="2" t="s">
        <v>389</v>
      </c>
      <c r="G245" s="2" t="s">
        <v>13</v>
      </c>
      <c r="H245" s="2">
        <v>1</v>
      </c>
      <c r="I245" s="2" t="s">
        <v>39</v>
      </c>
      <c r="J245" s="2" t="str">
        <f>VLOOKUP(E245,[1]LL_Hub!$A$1:$B$13,2,FALSE)</f>
        <v>Denver</v>
      </c>
      <c r="K245" t="str">
        <f>VLOOKUP(D245,'[2]product Table data'!$A$2:$B$12,2,FALSE)</f>
        <v>Male</v>
      </c>
      <c r="L245" t="str">
        <f>VLOOKUP($D245,'[2]product Table data'!$A$2:$G$12,L$1,FALSE)</f>
        <v>Casual n Light</v>
      </c>
      <c r="M245" t="str">
        <f>VLOOKUP($D245,'[2]product Table data'!$A$2:$G$12,M$1,FALSE)</f>
        <v>Ethiopia</v>
      </c>
      <c r="N245" t="str">
        <f>VLOOKUP($D245,'[2]product Table data'!$A$2:$G$12,N$1,FALSE)</f>
        <v>Africa</v>
      </c>
      <c r="O245">
        <f>VLOOKUP($D245,'[2]product Table data'!$A$2:$G$12,O$1,FALSE)</f>
        <v>10</v>
      </c>
      <c r="P245">
        <f>VLOOKUP($D245,'[2]product Table data'!$A$2:$G$12,P$1,FALSE)</f>
        <v>20</v>
      </c>
      <c r="Q245">
        <f t="shared" si="15"/>
        <v>10</v>
      </c>
      <c r="R245" t="str">
        <f t="shared" si="16"/>
        <v>Hub Risk</v>
      </c>
      <c r="S245" t="str">
        <f t="shared" si="17"/>
        <v>Style Risk</v>
      </c>
      <c r="T245" t="str">
        <f t="shared" si="18"/>
        <v>Risk</v>
      </c>
      <c r="U245" t="str">
        <f t="shared" si="19"/>
        <v>High Value</v>
      </c>
    </row>
    <row r="246" spans="1:21" hidden="1" x14ac:dyDescent="0.2">
      <c r="A246" s="2">
        <v>1048</v>
      </c>
      <c r="B246" s="2" t="s">
        <v>9</v>
      </c>
      <c r="C246" s="2" t="s">
        <v>390</v>
      </c>
      <c r="D246" s="2" t="s">
        <v>11</v>
      </c>
      <c r="E246" s="2">
        <v>80123</v>
      </c>
      <c r="F246" s="2" t="s">
        <v>391</v>
      </c>
      <c r="G246" s="2" t="s">
        <v>13</v>
      </c>
      <c r="H246" s="2">
        <v>1</v>
      </c>
      <c r="I246" s="2" t="s">
        <v>39</v>
      </c>
      <c r="J246" s="2" t="str">
        <f>VLOOKUP(E246,[1]LL_Hub!$A$1:$B$13,2,FALSE)</f>
        <v>Denver</v>
      </c>
      <c r="K246" t="str">
        <f>VLOOKUP(D246,'[2]product Table data'!$A$2:$B$12,2,FALSE)</f>
        <v>Male</v>
      </c>
      <c r="L246" t="str">
        <f>VLOOKUP($D246,'[2]product Table data'!$A$2:$G$12,L$1,FALSE)</f>
        <v>Casual n Light</v>
      </c>
      <c r="M246" t="str">
        <f>VLOOKUP($D246,'[2]product Table data'!$A$2:$G$12,M$1,FALSE)</f>
        <v>Ethiopia</v>
      </c>
      <c r="N246" t="str">
        <f>VLOOKUP($D246,'[2]product Table data'!$A$2:$G$12,N$1,FALSE)</f>
        <v>Africa</v>
      </c>
      <c r="O246">
        <f>VLOOKUP($D246,'[2]product Table data'!$A$2:$G$12,O$1,FALSE)</f>
        <v>10</v>
      </c>
      <c r="P246">
        <f>VLOOKUP($D246,'[2]product Table data'!$A$2:$G$12,P$1,FALSE)</f>
        <v>20</v>
      </c>
      <c r="Q246">
        <f t="shared" si="15"/>
        <v>10</v>
      </c>
      <c r="R246" t="str">
        <f t="shared" si="16"/>
        <v>Hub Risk</v>
      </c>
      <c r="S246" t="str">
        <f t="shared" si="17"/>
        <v>Style Risk</v>
      </c>
      <c r="T246" t="str">
        <f t="shared" si="18"/>
        <v>Risk</v>
      </c>
      <c r="U246" t="str">
        <f t="shared" si="19"/>
        <v>High Value</v>
      </c>
    </row>
    <row r="247" spans="1:21" hidden="1" x14ac:dyDescent="0.2">
      <c r="A247" s="2">
        <v>1049</v>
      </c>
      <c r="B247" s="2" t="s">
        <v>9</v>
      </c>
      <c r="C247" s="2" t="s">
        <v>392</v>
      </c>
      <c r="D247" s="2" t="s">
        <v>11</v>
      </c>
      <c r="E247" s="2">
        <v>80123</v>
      </c>
      <c r="F247" s="2" t="s">
        <v>393</v>
      </c>
      <c r="G247" s="2" t="s">
        <v>13</v>
      </c>
      <c r="H247" s="2">
        <v>1</v>
      </c>
      <c r="I247" s="2" t="s">
        <v>39</v>
      </c>
      <c r="J247" s="2" t="str">
        <f>VLOOKUP(E247,[1]LL_Hub!$A$1:$B$13,2,FALSE)</f>
        <v>Denver</v>
      </c>
      <c r="K247" t="str">
        <f>VLOOKUP(D247,'[2]product Table data'!$A$2:$B$12,2,FALSE)</f>
        <v>Male</v>
      </c>
      <c r="L247" t="str">
        <f>VLOOKUP($D247,'[2]product Table data'!$A$2:$G$12,L$1,FALSE)</f>
        <v>Casual n Light</v>
      </c>
      <c r="M247" t="str">
        <f>VLOOKUP($D247,'[2]product Table data'!$A$2:$G$12,M$1,FALSE)</f>
        <v>Ethiopia</v>
      </c>
      <c r="N247" t="str">
        <f>VLOOKUP($D247,'[2]product Table data'!$A$2:$G$12,N$1,FALSE)</f>
        <v>Africa</v>
      </c>
      <c r="O247">
        <f>VLOOKUP($D247,'[2]product Table data'!$A$2:$G$12,O$1,FALSE)</f>
        <v>10</v>
      </c>
      <c r="P247">
        <f>VLOOKUP($D247,'[2]product Table data'!$A$2:$G$12,P$1,FALSE)</f>
        <v>20</v>
      </c>
      <c r="Q247">
        <f t="shared" si="15"/>
        <v>10</v>
      </c>
      <c r="R247" t="str">
        <f t="shared" si="16"/>
        <v>Hub Risk</v>
      </c>
      <c r="S247" t="str">
        <f t="shared" si="17"/>
        <v>Style Risk</v>
      </c>
      <c r="T247" t="str">
        <f t="shared" si="18"/>
        <v>Risk</v>
      </c>
      <c r="U247" t="str">
        <f t="shared" si="19"/>
        <v>High Value</v>
      </c>
    </row>
    <row r="248" spans="1:21" hidden="1" x14ac:dyDescent="0.2">
      <c r="A248" s="2">
        <v>1050</v>
      </c>
      <c r="B248" s="2" t="s">
        <v>9</v>
      </c>
      <c r="C248" s="2" t="s">
        <v>394</v>
      </c>
      <c r="D248" s="2" t="s">
        <v>11</v>
      </c>
      <c r="E248" s="2">
        <v>80123</v>
      </c>
      <c r="F248" s="2" t="s">
        <v>395</v>
      </c>
      <c r="G248" s="2" t="s">
        <v>13</v>
      </c>
      <c r="H248" s="2">
        <v>1</v>
      </c>
      <c r="I248" s="2" t="s">
        <v>39</v>
      </c>
      <c r="J248" s="2" t="str">
        <f>VLOOKUP(E248,[1]LL_Hub!$A$1:$B$13,2,FALSE)</f>
        <v>Denver</v>
      </c>
      <c r="K248" t="str">
        <f>VLOOKUP(D248,'[2]product Table data'!$A$2:$B$12,2,FALSE)</f>
        <v>Male</v>
      </c>
      <c r="L248" t="str">
        <f>VLOOKUP($D248,'[2]product Table data'!$A$2:$G$12,L$1,FALSE)</f>
        <v>Casual n Light</v>
      </c>
      <c r="M248" t="str">
        <f>VLOOKUP($D248,'[2]product Table data'!$A$2:$G$12,M$1,FALSE)</f>
        <v>Ethiopia</v>
      </c>
      <c r="N248" t="str">
        <f>VLOOKUP($D248,'[2]product Table data'!$A$2:$G$12,N$1,FALSE)</f>
        <v>Africa</v>
      </c>
      <c r="O248">
        <f>VLOOKUP($D248,'[2]product Table data'!$A$2:$G$12,O$1,FALSE)</f>
        <v>10</v>
      </c>
      <c r="P248">
        <f>VLOOKUP($D248,'[2]product Table data'!$A$2:$G$12,P$1,FALSE)</f>
        <v>20</v>
      </c>
      <c r="Q248">
        <f t="shared" si="15"/>
        <v>10</v>
      </c>
      <c r="R248" t="str">
        <f t="shared" si="16"/>
        <v>Hub Risk</v>
      </c>
      <c r="S248" t="str">
        <f t="shared" si="17"/>
        <v>Style Risk</v>
      </c>
      <c r="T248" t="str">
        <f t="shared" si="18"/>
        <v>Risk</v>
      </c>
      <c r="U248" t="str">
        <f t="shared" si="19"/>
        <v>High Value</v>
      </c>
    </row>
    <row r="249" spans="1:21" hidden="1" x14ac:dyDescent="0.2">
      <c r="A249" s="2">
        <v>1051</v>
      </c>
      <c r="B249" s="2" t="s">
        <v>9</v>
      </c>
      <c r="C249" s="2" t="s">
        <v>396</v>
      </c>
      <c r="D249" s="2" t="s">
        <v>11</v>
      </c>
      <c r="E249" s="2">
        <v>80123</v>
      </c>
      <c r="F249" s="2" t="s">
        <v>397</v>
      </c>
      <c r="G249" s="2" t="s">
        <v>13</v>
      </c>
      <c r="H249" s="2">
        <v>1</v>
      </c>
      <c r="I249" s="2" t="s">
        <v>39</v>
      </c>
      <c r="J249" s="2" t="str">
        <f>VLOOKUP(E249,[1]LL_Hub!$A$1:$B$13,2,FALSE)</f>
        <v>Denver</v>
      </c>
      <c r="K249" t="str">
        <f>VLOOKUP(D249,'[2]product Table data'!$A$2:$B$12,2,FALSE)</f>
        <v>Male</v>
      </c>
      <c r="L249" t="str">
        <f>VLOOKUP($D249,'[2]product Table data'!$A$2:$G$12,L$1,FALSE)</f>
        <v>Casual n Light</v>
      </c>
      <c r="M249" t="str">
        <f>VLOOKUP($D249,'[2]product Table data'!$A$2:$G$12,M$1,FALSE)</f>
        <v>Ethiopia</v>
      </c>
      <c r="N249" t="str">
        <f>VLOOKUP($D249,'[2]product Table data'!$A$2:$G$12,N$1,FALSE)</f>
        <v>Africa</v>
      </c>
      <c r="O249">
        <f>VLOOKUP($D249,'[2]product Table data'!$A$2:$G$12,O$1,FALSE)</f>
        <v>10</v>
      </c>
      <c r="P249">
        <f>VLOOKUP($D249,'[2]product Table data'!$A$2:$G$12,P$1,FALSE)</f>
        <v>20</v>
      </c>
      <c r="Q249">
        <f t="shared" si="15"/>
        <v>10</v>
      </c>
      <c r="R249" t="str">
        <f t="shared" si="16"/>
        <v>Hub Risk</v>
      </c>
      <c r="S249" t="str">
        <f t="shared" si="17"/>
        <v>Style Risk</v>
      </c>
      <c r="T249" t="str">
        <f t="shared" si="18"/>
        <v>Risk</v>
      </c>
      <c r="U249" t="str">
        <f t="shared" si="19"/>
        <v>High Value</v>
      </c>
    </row>
    <row r="250" spans="1:21" hidden="1" x14ac:dyDescent="0.2">
      <c r="A250" s="2">
        <v>1052</v>
      </c>
      <c r="B250" s="2" t="s">
        <v>9</v>
      </c>
      <c r="C250" s="2" t="s">
        <v>398</v>
      </c>
      <c r="D250" s="2" t="s">
        <v>19</v>
      </c>
      <c r="E250" s="2">
        <v>80123</v>
      </c>
      <c r="F250" s="2" t="s">
        <v>399</v>
      </c>
      <c r="G250" s="2" t="s">
        <v>13</v>
      </c>
      <c r="H250" s="2">
        <v>1</v>
      </c>
      <c r="I250" s="2" t="s">
        <v>39</v>
      </c>
      <c r="J250" s="2" t="str">
        <f>VLOOKUP(E250,[1]LL_Hub!$A$1:$B$13,2,FALSE)</f>
        <v>Denver</v>
      </c>
      <c r="K250" t="str">
        <f>VLOOKUP(D250,'[2]product Table data'!$A$2:$B$12,2,FALSE)</f>
        <v>Male</v>
      </c>
      <c r="L250" t="str">
        <f>VLOOKUP($D250,'[2]product Table data'!$A$2:$G$12,L$1,FALSE)</f>
        <v>Casual n Light</v>
      </c>
      <c r="M250" t="str">
        <f>VLOOKUP($D250,'[2]product Table data'!$A$2:$G$12,M$1,FALSE)</f>
        <v>Kenya</v>
      </c>
      <c r="N250" t="str">
        <f>VLOOKUP($D250,'[2]product Table data'!$A$2:$G$12,N$1,FALSE)</f>
        <v>Africa</v>
      </c>
      <c r="O250">
        <f>VLOOKUP($D250,'[2]product Table data'!$A$2:$G$12,O$1,FALSE)</f>
        <v>15</v>
      </c>
      <c r="P250">
        <f>VLOOKUP($D250,'[2]product Table data'!$A$2:$G$12,P$1,FALSE)</f>
        <v>30</v>
      </c>
      <c r="Q250">
        <f t="shared" si="15"/>
        <v>15</v>
      </c>
      <c r="R250" t="str">
        <f t="shared" si="16"/>
        <v>Hub Risk</v>
      </c>
      <c r="S250" t="str">
        <f t="shared" si="17"/>
        <v>Style Risk</v>
      </c>
      <c r="T250" t="str">
        <f t="shared" si="18"/>
        <v>Risk</v>
      </c>
      <c r="U250" t="str">
        <f t="shared" si="19"/>
        <v>High Value</v>
      </c>
    </row>
    <row r="251" spans="1:21" hidden="1" x14ac:dyDescent="0.2">
      <c r="A251" s="2">
        <v>1053</v>
      </c>
      <c r="B251" s="2" t="s">
        <v>9</v>
      </c>
      <c r="C251" s="2" t="s">
        <v>400</v>
      </c>
      <c r="D251" s="2" t="s">
        <v>11</v>
      </c>
      <c r="E251" s="2">
        <v>80123</v>
      </c>
      <c r="F251" s="2" t="s">
        <v>401</v>
      </c>
      <c r="G251" s="2" t="s">
        <v>13</v>
      </c>
      <c r="H251" s="2">
        <v>1</v>
      </c>
      <c r="I251" s="2" t="s">
        <v>39</v>
      </c>
      <c r="J251" s="2" t="str">
        <f>VLOOKUP(E251,[1]LL_Hub!$A$1:$B$13,2,FALSE)</f>
        <v>Denver</v>
      </c>
      <c r="K251" t="str">
        <f>VLOOKUP(D251,'[2]product Table data'!$A$2:$B$12,2,FALSE)</f>
        <v>Male</v>
      </c>
      <c r="L251" t="str">
        <f>VLOOKUP($D251,'[2]product Table data'!$A$2:$G$12,L$1,FALSE)</f>
        <v>Casual n Light</v>
      </c>
      <c r="M251" t="str">
        <f>VLOOKUP($D251,'[2]product Table data'!$A$2:$G$12,M$1,FALSE)</f>
        <v>Ethiopia</v>
      </c>
      <c r="N251" t="str">
        <f>VLOOKUP($D251,'[2]product Table data'!$A$2:$G$12,N$1,FALSE)</f>
        <v>Africa</v>
      </c>
      <c r="O251">
        <f>VLOOKUP($D251,'[2]product Table data'!$A$2:$G$12,O$1,FALSE)</f>
        <v>10</v>
      </c>
      <c r="P251">
        <f>VLOOKUP($D251,'[2]product Table data'!$A$2:$G$12,P$1,FALSE)</f>
        <v>20</v>
      </c>
      <c r="Q251">
        <f t="shared" si="15"/>
        <v>10</v>
      </c>
      <c r="R251" t="str">
        <f t="shared" si="16"/>
        <v>Hub Risk</v>
      </c>
      <c r="S251" t="str">
        <f t="shared" si="17"/>
        <v>Style Risk</v>
      </c>
      <c r="T251" t="str">
        <f t="shared" si="18"/>
        <v>Risk</v>
      </c>
      <c r="U251" t="str">
        <f t="shared" si="19"/>
        <v>High Value</v>
      </c>
    </row>
    <row r="252" spans="1:21" hidden="1" x14ac:dyDescent="0.2">
      <c r="A252" s="2">
        <v>1054</v>
      </c>
      <c r="B252" s="2" t="s">
        <v>9</v>
      </c>
      <c r="C252" s="2" t="s">
        <v>402</v>
      </c>
      <c r="D252" s="2" t="s">
        <v>11</v>
      </c>
      <c r="E252" s="2">
        <v>80123</v>
      </c>
      <c r="F252" s="2" t="s">
        <v>403</v>
      </c>
      <c r="G252" s="2" t="s">
        <v>13</v>
      </c>
      <c r="H252" s="2">
        <v>1</v>
      </c>
      <c r="I252" s="2" t="s">
        <v>39</v>
      </c>
      <c r="J252" s="2" t="str">
        <f>VLOOKUP(E252,[1]LL_Hub!$A$1:$B$13,2,FALSE)</f>
        <v>Denver</v>
      </c>
      <c r="K252" t="str">
        <f>VLOOKUP(D252,'[2]product Table data'!$A$2:$B$12,2,FALSE)</f>
        <v>Male</v>
      </c>
      <c r="L252" t="str">
        <f>VLOOKUP($D252,'[2]product Table data'!$A$2:$G$12,L$1,FALSE)</f>
        <v>Casual n Light</v>
      </c>
      <c r="M252" t="str">
        <f>VLOOKUP($D252,'[2]product Table data'!$A$2:$G$12,M$1,FALSE)</f>
        <v>Ethiopia</v>
      </c>
      <c r="N252" t="str">
        <f>VLOOKUP($D252,'[2]product Table data'!$A$2:$G$12,N$1,FALSE)</f>
        <v>Africa</v>
      </c>
      <c r="O252">
        <f>VLOOKUP($D252,'[2]product Table data'!$A$2:$G$12,O$1,FALSE)</f>
        <v>10</v>
      </c>
      <c r="P252">
        <f>VLOOKUP($D252,'[2]product Table data'!$A$2:$G$12,P$1,FALSE)</f>
        <v>20</v>
      </c>
      <c r="Q252">
        <f t="shared" si="15"/>
        <v>10</v>
      </c>
      <c r="R252" t="str">
        <f t="shared" si="16"/>
        <v>Hub Risk</v>
      </c>
      <c r="S252" t="str">
        <f t="shared" si="17"/>
        <v>Style Risk</v>
      </c>
      <c r="T252" t="str">
        <f t="shared" si="18"/>
        <v>Risk</v>
      </c>
      <c r="U252" t="str">
        <f t="shared" si="19"/>
        <v>High Value</v>
      </c>
    </row>
    <row r="253" spans="1:21" hidden="1" x14ac:dyDescent="0.2">
      <c r="A253" s="2">
        <v>1055</v>
      </c>
      <c r="B253" s="2" t="s">
        <v>9</v>
      </c>
      <c r="C253" s="2" t="s">
        <v>404</v>
      </c>
      <c r="D253" s="2" t="s">
        <v>11</v>
      </c>
      <c r="E253" s="2">
        <v>80123</v>
      </c>
      <c r="F253" s="2" t="s">
        <v>405</v>
      </c>
      <c r="G253" s="2" t="s">
        <v>13</v>
      </c>
      <c r="H253" s="2">
        <v>1</v>
      </c>
      <c r="I253" s="2" t="s">
        <v>39</v>
      </c>
      <c r="J253" s="2" t="str">
        <f>VLOOKUP(E253,[1]LL_Hub!$A$1:$B$13,2,FALSE)</f>
        <v>Denver</v>
      </c>
      <c r="K253" t="str">
        <f>VLOOKUP(D253,'[2]product Table data'!$A$2:$B$12,2,FALSE)</f>
        <v>Male</v>
      </c>
      <c r="L253" t="str">
        <f>VLOOKUP($D253,'[2]product Table data'!$A$2:$G$12,L$1,FALSE)</f>
        <v>Casual n Light</v>
      </c>
      <c r="M253" t="str">
        <f>VLOOKUP($D253,'[2]product Table data'!$A$2:$G$12,M$1,FALSE)</f>
        <v>Ethiopia</v>
      </c>
      <c r="N253" t="str">
        <f>VLOOKUP($D253,'[2]product Table data'!$A$2:$G$12,N$1,FALSE)</f>
        <v>Africa</v>
      </c>
      <c r="O253">
        <f>VLOOKUP($D253,'[2]product Table data'!$A$2:$G$12,O$1,FALSE)</f>
        <v>10</v>
      </c>
      <c r="P253">
        <f>VLOOKUP($D253,'[2]product Table data'!$A$2:$G$12,P$1,FALSE)</f>
        <v>20</v>
      </c>
      <c r="Q253">
        <f t="shared" si="15"/>
        <v>10</v>
      </c>
      <c r="R253" t="str">
        <f t="shared" si="16"/>
        <v>Hub Risk</v>
      </c>
      <c r="S253" t="str">
        <f t="shared" si="17"/>
        <v>Style Risk</v>
      </c>
      <c r="T253" t="str">
        <f t="shared" si="18"/>
        <v>Risk</v>
      </c>
      <c r="U253" t="str">
        <f t="shared" si="19"/>
        <v>High Value</v>
      </c>
    </row>
    <row r="254" spans="1:21" hidden="1" x14ac:dyDescent="0.2">
      <c r="A254" s="2">
        <v>1056</v>
      </c>
      <c r="B254" s="2" t="s">
        <v>9</v>
      </c>
      <c r="C254" s="2" t="s">
        <v>406</v>
      </c>
      <c r="D254" s="2" t="s">
        <v>41</v>
      </c>
      <c r="E254" s="2">
        <v>80123</v>
      </c>
      <c r="F254" s="2" t="s">
        <v>407</v>
      </c>
      <c r="G254" s="2" t="s">
        <v>13</v>
      </c>
      <c r="H254" s="2">
        <v>1</v>
      </c>
      <c r="I254" s="2" t="s">
        <v>39</v>
      </c>
      <c r="J254" s="2" t="str">
        <f>VLOOKUP(E254,[1]LL_Hub!$A$1:$B$13,2,FALSE)</f>
        <v>Denver</v>
      </c>
      <c r="K254" t="str">
        <f>VLOOKUP(D254,'[2]product Table data'!$A$2:$B$12,2,FALSE)</f>
        <v>Male</v>
      </c>
      <c r="L254" t="str">
        <f>VLOOKUP($D254,'[2]product Table data'!$A$2:$G$12,L$1,FALSE)</f>
        <v>Winter Warmth</v>
      </c>
      <c r="M254" t="str">
        <f>VLOOKUP($D254,'[2]product Table data'!$A$2:$G$12,M$1,FALSE)</f>
        <v>Moldova</v>
      </c>
      <c r="N254" t="str">
        <f>VLOOKUP($D254,'[2]product Table data'!$A$2:$G$12,N$1,FALSE)</f>
        <v>Eastern Europe</v>
      </c>
      <c r="O254">
        <f>VLOOKUP($D254,'[2]product Table data'!$A$2:$G$12,O$1,FALSE)</f>
        <v>475</v>
      </c>
      <c r="P254">
        <f>VLOOKUP($D254,'[2]product Table data'!$A$2:$G$12,P$1,FALSE)</f>
        <v>600</v>
      </c>
      <c r="Q254">
        <f t="shared" si="15"/>
        <v>125</v>
      </c>
      <c r="R254" t="str">
        <f t="shared" si="16"/>
        <v>Hub Risk</v>
      </c>
      <c r="S254" t="str">
        <f t="shared" si="17"/>
        <v>-</v>
      </c>
      <c r="T254" t="str">
        <f t="shared" si="18"/>
        <v>-</v>
      </c>
      <c r="U254" t="str">
        <f t="shared" si="19"/>
        <v>High Value</v>
      </c>
    </row>
    <row r="255" spans="1:21" hidden="1" x14ac:dyDescent="0.2">
      <c r="A255" s="2">
        <v>1057</v>
      </c>
      <c r="B255" s="2" t="s">
        <v>9</v>
      </c>
      <c r="C255" s="2" t="s">
        <v>408</v>
      </c>
      <c r="D255" s="2" t="s">
        <v>19</v>
      </c>
      <c r="E255" s="2">
        <v>80123</v>
      </c>
      <c r="F255" s="2" t="s">
        <v>409</v>
      </c>
      <c r="G255" s="2" t="s">
        <v>13</v>
      </c>
      <c r="H255" s="2">
        <v>1</v>
      </c>
      <c r="I255" s="2" t="s">
        <v>39</v>
      </c>
      <c r="J255" s="2" t="str">
        <f>VLOOKUP(E255,[1]LL_Hub!$A$1:$B$13,2,FALSE)</f>
        <v>Denver</v>
      </c>
      <c r="K255" t="str">
        <f>VLOOKUP(D255,'[2]product Table data'!$A$2:$B$12,2,FALSE)</f>
        <v>Male</v>
      </c>
      <c r="L255" t="str">
        <f>VLOOKUP($D255,'[2]product Table data'!$A$2:$G$12,L$1,FALSE)</f>
        <v>Casual n Light</v>
      </c>
      <c r="M255" t="str">
        <f>VLOOKUP($D255,'[2]product Table data'!$A$2:$G$12,M$1,FALSE)</f>
        <v>Kenya</v>
      </c>
      <c r="N255" t="str">
        <f>VLOOKUP($D255,'[2]product Table data'!$A$2:$G$12,N$1,FALSE)</f>
        <v>Africa</v>
      </c>
      <c r="O255">
        <f>VLOOKUP($D255,'[2]product Table data'!$A$2:$G$12,O$1,FALSE)</f>
        <v>15</v>
      </c>
      <c r="P255">
        <f>VLOOKUP($D255,'[2]product Table data'!$A$2:$G$12,P$1,FALSE)</f>
        <v>30</v>
      </c>
      <c r="Q255">
        <f t="shared" si="15"/>
        <v>15</v>
      </c>
      <c r="R255" t="str">
        <f t="shared" si="16"/>
        <v>Hub Risk</v>
      </c>
      <c r="S255" t="str">
        <f t="shared" si="17"/>
        <v>Style Risk</v>
      </c>
      <c r="T255" t="str">
        <f t="shared" si="18"/>
        <v>Risk</v>
      </c>
      <c r="U255" t="str">
        <f t="shared" si="19"/>
        <v>High Value</v>
      </c>
    </row>
    <row r="256" spans="1:21" hidden="1" x14ac:dyDescent="0.2">
      <c r="A256" s="2">
        <v>1058</v>
      </c>
      <c r="B256" s="2" t="s">
        <v>9</v>
      </c>
      <c r="C256" s="2" t="s">
        <v>410</v>
      </c>
      <c r="D256" s="2" t="s">
        <v>11</v>
      </c>
      <c r="E256" s="2">
        <v>80123</v>
      </c>
      <c r="F256" s="2" t="s">
        <v>411</v>
      </c>
      <c r="G256" s="2" t="s">
        <v>13</v>
      </c>
      <c r="H256" s="2">
        <v>1</v>
      </c>
      <c r="I256" s="2" t="s">
        <v>39</v>
      </c>
      <c r="J256" s="2" t="str">
        <f>VLOOKUP(E256,[1]LL_Hub!$A$1:$B$13,2,FALSE)</f>
        <v>Denver</v>
      </c>
      <c r="K256" t="str">
        <f>VLOOKUP(D256,'[2]product Table data'!$A$2:$B$12,2,FALSE)</f>
        <v>Male</v>
      </c>
      <c r="L256" t="str">
        <f>VLOOKUP($D256,'[2]product Table data'!$A$2:$G$12,L$1,FALSE)</f>
        <v>Casual n Light</v>
      </c>
      <c r="M256" t="str">
        <f>VLOOKUP($D256,'[2]product Table data'!$A$2:$G$12,M$1,FALSE)</f>
        <v>Ethiopia</v>
      </c>
      <c r="N256" t="str">
        <f>VLOOKUP($D256,'[2]product Table data'!$A$2:$G$12,N$1,FALSE)</f>
        <v>Africa</v>
      </c>
      <c r="O256">
        <f>VLOOKUP($D256,'[2]product Table data'!$A$2:$G$12,O$1,FALSE)</f>
        <v>10</v>
      </c>
      <c r="P256">
        <f>VLOOKUP($D256,'[2]product Table data'!$A$2:$G$12,P$1,FALSE)</f>
        <v>20</v>
      </c>
      <c r="Q256">
        <f t="shared" si="15"/>
        <v>10</v>
      </c>
      <c r="R256" t="str">
        <f t="shared" si="16"/>
        <v>Hub Risk</v>
      </c>
      <c r="S256" t="str">
        <f t="shared" si="17"/>
        <v>Style Risk</v>
      </c>
      <c r="T256" t="str">
        <f t="shared" si="18"/>
        <v>Risk</v>
      </c>
      <c r="U256" t="str">
        <f t="shared" si="19"/>
        <v>High Value</v>
      </c>
    </row>
    <row r="257" spans="1:21" hidden="1" x14ac:dyDescent="0.2">
      <c r="A257" s="2">
        <v>1059</v>
      </c>
      <c r="B257" s="2" t="s">
        <v>9</v>
      </c>
      <c r="C257" s="2" t="s">
        <v>412</v>
      </c>
      <c r="D257" s="2" t="s">
        <v>11</v>
      </c>
      <c r="E257" s="2">
        <v>80123</v>
      </c>
      <c r="F257" s="2" t="s">
        <v>413</v>
      </c>
      <c r="G257" s="2" t="s">
        <v>13</v>
      </c>
      <c r="H257" s="2">
        <v>1</v>
      </c>
      <c r="I257" s="2" t="s">
        <v>39</v>
      </c>
      <c r="J257" s="2" t="str">
        <f>VLOOKUP(E257,[1]LL_Hub!$A$1:$B$13,2,FALSE)</f>
        <v>Denver</v>
      </c>
      <c r="K257" t="str">
        <f>VLOOKUP(D257,'[2]product Table data'!$A$2:$B$12,2,FALSE)</f>
        <v>Male</v>
      </c>
      <c r="L257" t="str">
        <f>VLOOKUP($D257,'[2]product Table data'!$A$2:$G$12,L$1,FALSE)</f>
        <v>Casual n Light</v>
      </c>
      <c r="M257" t="str">
        <f>VLOOKUP($D257,'[2]product Table data'!$A$2:$G$12,M$1,FALSE)</f>
        <v>Ethiopia</v>
      </c>
      <c r="N257" t="str">
        <f>VLOOKUP($D257,'[2]product Table data'!$A$2:$G$12,N$1,FALSE)</f>
        <v>Africa</v>
      </c>
      <c r="O257">
        <f>VLOOKUP($D257,'[2]product Table data'!$A$2:$G$12,O$1,FALSE)</f>
        <v>10</v>
      </c>
      <c r="P257">
        <f>VLOOKUP($D257,'[2]product Table data'!$A$2:$G$12,P$1,FALSE)</f>
        <v>20</v>
      </c>
      <c r="Q257">
        <f t="shared" si="15"/>
        <v>10</v>
      </c>
      <c r="R257" t="str">
        <f t="shared" si="16"/>
        <v>Hub Risk</v>
      </c>
      <c r="S257" t="str">
        <f t="shared" si="17"/>
        <v>Style Risk</v>
      </c>
      <c r="T257" t="str">
        <f t="shared" si="18"/>
        <v>Risk</v>
      </c>
      <c r="U257" t="str">
        <f t="shared" si="19"/>
        <v>High Value</v>
      </c>
    </row>
    <row r="258" spans="1:21" hidden="1" x14ac:dyDescent="0.2">
      <c r="A258" s="2">
        <v>1060</v>
      </c>
      <c r="B258" s="2" t="s">
        <v>9</v>
      </c>
      <c r="C258" s="2" t="s">
        <v>414</v>
      </c>
      <c r="D258" s="2" t="s">
        <v>11</v>
      </c>
      <c r="E258" s="2">
        <v>80123</v>
      </c>
      <c r="F258" s="2" t="s">
        <v>415</v>
      </c>
      <c r="G258" s="2" t="s">
        <v>13</v>
      </c>
      <c r="H258" s="2">
        <v>1</v>
      </c>
      <c r="I258" s="2" t="s">
        <v>39</v>
      </c>
      <c r="J258" s="2" t="str">
        <f>VLOOKUP(E258,[1]LL_Hub!$A$1:$B$13,2,FALSE)</f>
        <v>Denver</v>
      </c>
      <c r="K258" t="str">
        <f>VLOOKUP(D258,'[2]product Table data'!$A$2:$B$12,2,FALSE)</f>
        <v>Male</v>
      </c>
      <c r="L258" t="str">
        <f>VLOOKUP($D258,'[2]product Table data'!$A$2:$G$12,L$1,FALSE)</f>
        <v>Casual n Light</v>
      </c>
      <c r="M258" t="str">
        <f>VLOOKUP($D258,'[2]product Table data'!$A$2:$G$12,M$1,FALSE)</f>
        <v>Ethiopia</v>
      </c>
      <c r="N258" t="str">
        <f>VLOOKUP($D258,'[2]product Table data'!$A$2:$G$12,N$1,FALSE)</f>
        <v>Africa</v>
      </c>
      <c r="O258">
        <f>VLOOKUP($D258,'[2]product Table data'!$A$2:$G$12,O$1,FALSE)</f>
        <v>10</v>
      </c>
      <c r="P258">
        <f>VLOOKUP($D258,'[2]product Table data'!$A$2:$G$12,P$1,FALSE)</f>
        <v>20</v>
      </c>
      <c r="Q258">
        <f t="shared" si="15"/>
        <v>10</v>
      </c>
      <c r="R258" t="str">
        <f t="shared" si="16"/>
        <v>Hub Risk</v>
      </c>
      <c r="S258" t="str">
        <f t="shared" si="17"/>
        <v>Style Risk</v>
      </c>
      <c r="T258" t="str">
        <f t="shared" si="18"/>
        <v>Risk</v>
      </c>
      <c r="U258" t="str">
        <f t="shared" si="19"/>
        <v>High Value</v>
      </c>
    </row>
    <row r="259" spans="1:21" hidden="1" x14ac:dyDescent="0.2">
      <c r="A259" s="2">
        <v>1061</v>
      </c>
      <c r="B259" s="2" t="s">
        <v>9</v>
      </c>
      <c r="C259" s="2" t="s">
        <v>416</v>
      </c>
      <c r="D259" s="2" t="s">
        <v>19</v>
      </c>
      <c r="E259" s="2">
        <v>80123</v>
      </c>
      <c r="F259" s="2" t="s">
        <v>417</v>
      </c>
      <c r="G259" s="2" t="s">
        <v>13</v>
      </c>
      <c r="H259" s="2">
        <v>1</v>
      </c>
      <c r="I259" s="2" t="s">
        <v>39</v>
      </c>
      <c r="J259" s="2" t="str">
        <f>VLOOKUP(E259,[1]LL_Hub!$A$1:$B$13,2,FALSE)</f>
        <v>Denver</v>
      </c>
      <c r="K259" t="str">
        <f>VLOOKUP(D259,'[2]product Table data'!$A$2:$B$12,2,FALSE)</f>
        <v>Male</v>
      </c>
      <c r="L259" t="str">
        <f>VLOOKUP($D259,'[2]product Table data'!$A$2:$G$12,L$1,FALSE)</f>
        <v>Casual n Light</v>
      </c>
      <c r="M259" t="str">
        <f>VLOOKUP($D259,'[2]product Table data'!$A$2:$G$12,M$1,FALSE)</f>
        <v>Kenya</v>
      </c>
      <c r="N259" t="str">
        <f>VLOOKUP($D259,'[2]product Table data'!$A$2:$G$12,N$1,FALSE)</f>
        <v>Africa</v>
      </c>
      <c r="O259">
        <f>VLOOKUP($D259,'[2]product Table data'!$A$2:$G$12,O$1,FALSE)</f>
        <v>15</v>
      </c>
      <c r="P259">
        <f>VLOOKUP($D259,'[2]product Table data'!$A$2:$G$12,P$1,FALSE)</f>
        <v>30</v>
      </c>
      <c r="Q259">
        <f t="shared" ref="Q259:Q322" si="20">P259-O259</f>
        <v>15</v>
      </c>
      <c r="R259" t="str">
        <f t="shared" ref="R259:R322" si="21">IF(OR(J259="Los Angeles",J259="Denver"),"Hub Risk","-")</f>
        <v>Hub Risk</v>
      </c>
      <c r="S259" t="str">
        <f t="shared" ref="S259:S322" si="22">IF(OR(L259="Casual n Light",L259="Fancy Sheek"),"Style Risk","-")</f>
        <v>Style Risk</v>
      </c>
      <c r="T259" t="str">
        <f t="shared" ref="T259:T322" si="23">IF(AND(R259="Hub Risk", S259="Style Risk"), "Risk", "-")</f>
        <v>Risk</v>
      </c>
      <c r="U259" t="str">
        <f t="shared" ref="U259:U322" si="24">IF(Q259&lt;=5, "Low Value", "High Value")</f>
        <v>High Value</v>
      </c>
    </row>
    <row r="260" spans="1:21" hidden="1" x14ac:dyDescent="0.2">
      <c r="A260" s="2">
        <v>1062</v>
      </c>
      <c r="B260" s="2" t="s">
        <v>9</v>
      </c>
      <c r="C260" s="2" t="s">
        <v>418</v>
      </c>
      <c r="D260" s="2" t="s">
        <v>11</v>
      </c>
      <c r="E260" s="2">
        <v>80123</v>
      </c>
      <c r="F260" s="2" t="s">
        <v>419</v>
      </c>
      <c r="G260" s="2" t="s">
        <v>13</v>
      </c>
      <c r="H260" s="2">
        <v>1</v>
      </c>
      <c r="I260" s="2" t="s">
        <v>39</v>
      </c>
      <c r="J260" s="2" t="str">
        <f>VLOOKUP(E260,[1]LL_Hub!$A$1:$B$13,2,FALSE)</f>
        <v>Denver</v>
      </c>
      <c r="K260" t="str">
        <f>VLOOKUP(D260,'[2]product Table data'!$A$2:$B$12,2,FALSE)</f>
        <v>Male</v>
      </c>
      <c r="L260" t="str">
        <f>VLOOKUP($D260,'[2]product Table data'!$A$2:$G$12,L$1,FALSE)</f>
        <v>Casual n Light</v>
      </c>
      <c r="M260" t="str">
        <f>VLOOKUP($D260,'[2]product Table data'!$A$2:$G$12,M$1,FALSE)</f>
        <v>Ethiopia</v>
      </c>
      <c r="N260" t="str">
        <f>VLOOKUP($D260,'[2]product Table data'!$A$2:$G$12,N$1,FALSE)</f>
        <v>Africa</v>
      </c>
      <c r="O260">
        <f>VLOOKUP($D260,'[2]product Table data'!$A$2:$G$12,O$1,FALSE)</f>
        <v>10</v>
      </c>
      <c r="P260">
        <f>VLOOKUP($D260,'[2]product Table data'!$A$2:$G$12,P$1,FALSE)</f>
        <v>20</v>
      </c>
      <c r="Q260">
        <f t="shared" si="20"/>
        <v>10</v>
      </c>
      <c r="R260" t="str">
        <f t="shared" si="21"/>
        <v>Hub Risk</v>
      </c>
      <c r="S260" t="str">
        <f t="shared" si="22"/>
        <v>Style Risk</v>
      </c>
      <c r="T260" t="str">
        <f t="shared" si="23"/>
        <v>Risk</v>
      </c>
      <c r="U260" t="str">
        <f t="shared" si="24"/>
        <v>High Value</v>
      </c>
    </row>
    <row r="261" spans="1:21" hidden="1" x14ac:dyDescent="0.2">
      <c r="A261" s="2">
        <v>1063</v>
      </c>
      <c r="B261" s="2" t="s">
        <v>9</v>
      </c>
      <c r="C261" s="2" t="s">
        <v>420</v>
      </c>
      <c r="D261" s="2" t="s">
        <v>11</v>
      </c>
      <c r="E261" s="2">
        <v>80123</v>
      </c>
      <c r="F261" s="2" t="s">
        <v>421</v>
      </c>
      <c r="G261" s="2" t="s">
        <v>13</v>
      </c>
      <c r="H261" s="2">
        <v>1</v>
      </c>
      <c r="I261" s="2" t="s">
        <v>39</v>
      </c>
      <c r="J261" s="2" t="str">
        <f>VLOOKUP(E261,[1]LL_Hub!$A$1:$B$13,2,FALSE)</f>
        <v>Denver</v>
      </c>
      <c r="K261" t="str">
        <f>VLOOKUP(D261,'[2]product Table data'!$A$2:$B$12,2,FALSE)</f>
        <v>Male</v>
      </c>
      <c r="L261" t="str">
        <f>VLOOKUP($D261,'[2]product Table data'!$A$2:$G$12,L$1,FALSE)</f>
        <v>Casual n Light</v>
      </c>
      <c r="M261" t="str">
        <f>VLOOKUP($D261,'[2]product Table data'!$A$2:$G$12,M$1,FALSE)</f>
        <v>Ethiopia</v>
      </c>
      <c r="N261" t="str">
        <f>VLOOKUP($D261,'[2]product Table data'!$A$2:$G$12,N$1,FALSE)</f>
        <v>Africa</v>
      </c>
      <c r="O261">
        <f>VLOOKUP($D261,'[2]product Table data'!$A$2:$G$12,O$1,FALSE)</f>
        <v>10</v>
      </c>
      <c r="P261">
        <f>VLOOKUP($D261,'[2]product Table data'!$A$2:$G$12,P$1,FALSE)</f>
        <v>20</v>
      </c>
      <c r="Q261">
        <f t="shared" si="20"/>
        <v>10</v>
      </c>
      <c r="R261" t="str">
        <f t="shared" si="21"/>
        <v>Hub Risk</v>
      </c>
      <c r="S261" t="str">
        <f t="shared" si="22"/>
        <v>Style Risk</v>
      </c>
      <c r="T261" t="str">
        <f t="shared" si="23"/>
        <v>Risk</v>
      </c>
      <c r="U261" t="str">
        <f t="shared" si="24"/>
        <v>High Value</v>
      </c>
    </row>
    <row r="262" spans="1:21" hidden="1" x14ac:dyDescent="0.2">
      <c r="A262" s="2">
        <v>1064</v>
      </c>
      <c r="B262" s="2" t="s">
        <v>9</v>
      </c>
      <c r="C262" s="2" t="s">
        <v>422</v>
      </c>
      <c r="D262" s="2" t="s">
        <v>11</v>
      </c>
      <c r="E262" s="2">
        <v>80123</v>
      </c>
      <c r="F262" s="2" t="s">
        <v>423</v>
      </c>
      <c r="G262" s="2" t="s">
        <v>13</v>
      </c>
      <c r="H262" s="2">
        <v>1</v>
      </c>
      <c r="I262" s="2" t="s">
        <v>39</v>
      </c>
      <c r="J262" s="2" t="str">
        <f>VLOOKUP(E262,[1]LL_Hub!$A$1:$B$13,2,FALSE)</f>
        <v>Denver</v>
      </c>
      <c r="K262" t="str">
        <f>VLOOKUP(D262,'[2]product Table data'!$A$2:$B$12,2,FALSE)</f>
        <v>Male</v>
      </c>
      <c r="L262" t="str">
        <f>VLOOKUP($D262,'[2]product Table data'!$A$2:$G$12,L$1,FALSE)</f>
        <v>Casual n Light</v>
      </c>
      <c r="M262" t="str">
        <f>VLOOKUP($D262,'[2]product Table data'!$A$2:$G$12,M$1,FALSE)</f>
        <v>Ethiopia</v>
      </c>
      <c r="N262" t="str">
        <f>VLOOKUP($D262,'[2]product Table data'!$A$2:$G$12,N$1,FALSE)</f>
        <v>Africa</v>
      </c>
      <c r="O262">
        <f>VLOOKUP($D262,'[2]product Table data'!$A$2:$G$12,O$1,FALSE)</f>
        <v>10</v>
      </c>
      <c r="P262">
        <f>VLOOKUP($D262,'[2]product Table data'!$A$2:$G$12,P$1,FALSE)</f>
        <v>20</v>
      </c>
      <c r="Q262">
        <f t="shared" si="20"/>
        <v>10</v>
      </c>
      <c r="R262" t="str">
        <f t="shared" si="21"/>
        <v>Hub Risk</v>
      </c>
      <c r="S262" t="str">
        <f t="shared" si="22"/>
        <v>Style Risk</v>
      </c>
      <c r="T262" t="str">
        <f t="shared" si="23"/>
        <v>Risk</v>
      </c>
      <c r="U262" t="str">
        <f t="shared" si="24"/>
        <v>High Value</v>
      </c>
    </row>
    <row r="263" spans="1:21" hidden="1" x14ac:dyDescent="0.2">
      <c r="A263" s="2">
        <v>1065</v>
      </c>
      <c r="B263" s="2" t="s">
        <v>9</v>
      </c>
      <c r="C263" s="2" t="s">
        <v>424</v>
      </c>
      <c r="D263" s="2" t="s">
        <v>41</v>
      </c>
      <c r="E263" s="2">
        <v>80123</v>
      </c>
      <c r="F263" s="2" t="s">
        <v>425</v>
      </c>
      <c r="G263" s="2" t="s">
        <v>13</v>
      </c>
      <c r="H263" s="2">
        <v>1</v>
      </c>
      <c r="I263" s="2" t="s">
        <v>39</v>
      </c>
      <c r="J263" s="2" t="str">
        <f>VLOOKUP(E263,[1]LL_Hub!$A$1:$B$13,2,FALSE)</f>
        <v>Denver</v>
      </c>
      <c r="K263" t="str">
        <f>VLOOKUP(D263,'[2]product Table data'!$A$2:$B$12,2,FALSE)</f>
        <v>Male</v>
      </c>
      <c r="L263" t="str">
        <f>VLOOKUP($D263,'[2]product Table data'!$A$2:$G$12,L$1,FALSE)</f>
        <v>Winter Warmth</v>
      </c>
      <c r="M263" t="str">
        <f>VLOOKUP($D263,'[2]product Table data'!$A$2:$G$12,M$1,FALSE)</f>
        <v>Moldova</v>
      </c>
      <c r="N263" t="str">
        <f>VLOOKUP($D263,'[2]product Table data'!$A$2:$G$12,N$1,FALSE)</f>
        <v>Eastern Europe</v>
      </c>
      <c r="O263">
        <f>VLOOKUP($D263,'[2]product Table data'!$A$2:$G$12,O$1,FALSE)</f>
        <v>475</v>
      </c>
      <c r="P263">
        <f>VLOOKUP($D263,'[2]product Table data'!$A$2:$G$12,P$1,FALSE)</f>
        <v>600</v>
      </c>
      <c r="Q263">
        <f t="shared" si="20"/>
        <v>125</v>
      </c>
      <c r="R263" t="str">
        <f t="shared" si="21"/>
        <v>Hub Risk</v>
      </c>
      <c r="S263" t="str">
        <f t="shared" si="22"/>
        <v>-</v>
      </c>
      <c r="T263" t="str">
        <f t="shared" si="23"/>
        <v>-</v>
      </c>
      <c r="U263" t="str">
        <f t="shared" si="24"/>
        <v>High Value</v>
      </c>
    </row>
    <row r="264" spans="1:21" hidden="1" x14ac:dyDescent="0.2">
      <c r="A264" s="2">
        <v>1066</v>
      </c>
      <c r="B264" s="2" t="s">
        <v>9</v>
      </c>
      <c r="C264" s="2" t="s">
        <v>426</v>
      </c>
      <c r="D264" s="2" t="s">
        <v>11</v>
      </c>
      <c r="E264" s="2">
        <v>80123</v>
      </c>
      <c r="F264" s="2" t="s">
        <v>427</v>
      </c>
      <c r="G264" s="2" t="s">
        <v>13</v>
      </c>
      <c r="H264" s="2">
        <v>1</v>
      </c>
      <c r="I264" s="2" t="s">
        <v>39</v>
      </c>
      <c r="J264" s="2" t="str">
        <f>VLOOKUP(E264,[1]LL_Hub!$A$1:$B$13,2,FALSE)</f>
        <v>Denver</v>
      </c>
      <c r="K264" t="str">
        <f>VLOOKUP(D264,'[2]product Table data'!$A$2:$B$12,2,FALSE)</f>
        <v>Male</v>
      </c>
      <c r="L264" t="str">
        <f>VLOOKUP($D264,'[2]product Table data'!$A$2:$G$12,L$1,FALSE)</f>
        <v>Casual n Light</v>
      </c>
      <c r="M264" t="str">
        <f>VLOOKUP($D264,'[2]product Table data'!$A$2:$G$12,M$1,FALSE)</f>
        <v>Ethiopia</v>
      </c>
      <c r="N264" t="str">
        <f>VLOOKUP($D264,'[2]product Table data'!$A$2:$G$12,N$1,FALSE)</f>
        <v>Africa</v>
      </c>
      <c r="O264">
        <f>VLOOKUP($D264,'[2]product Table data'!$A$2:$G$12,O$1,FALSE)</f>
        <v>10</v>
      </c>
      <c r="P264">
        <f>VLOOKUP($D264,'[2]product Table data'!$A$2:$G$12,P$1,FALSE)</f>
        <v>20</v>
      </c>
      <c r="Q264">
        <f t="shared" si="20"/>
        <v>10</v>
      </c>
      <c r="R264" t="str">
        <f t="shared" si="21"/>
        <v>Hub Risk</v>
      </c>
      <c r="S264" t="str">
        <f t="shared" si="22"/>
        <v>Style Risk</v>
      </c>
      <c r="T264" t="str">
        <f t="shared" si="23"/>
        <v>Risk</v>
      </c>
      <c r="U264" t="str">
        <f t="shared" si="24"/>
        <v>High Value</v>
      </c>
    </row>
    <row r="265" spans="1:21" hidden="1" x14ac:dyDescent="0.2">
      <c r="A265" s="2">
        <v>1067</v>
      </c>
      <c r="B265" s="2" t="s">
        <v>9</v>
      </c>
      <c r="C265" s="2" t="s">
        <v>428</v>
      </c>
      <c r="D265" s="2" t="s">
        <v>11</v>
      </c>
      <c r="E265" s="2">
        <v>80123</v>
      </c>
      <c r="F265" s="2" t="s">
        <v>429</v>
      </c>
      <c r="G265" s="2" t="s">
        <v>13</v>
      </c>
      <c r="H265" s="2">
        <v>1</v>
      </c>
      <c r="I265" s="2" t="s">
        <v>39</v>
      </c>
      <c r="J265" s="2" t="str">
        <f>VLOOKUP(E265,[1]LL_Hub!$A$1:$B$13,2,FALSE)</f>
        <v>Denver</v>
      </c>
      <c r="K265" t="str">
        <f>VLOOKUP(D265,'[2]product Table data'!$A$2:$B$12,2,FALSE)</f>
        <v>Male</v>
      </c>
      <c r="L265" t="str">
        <f>VLOOKUP($D265,'[2]product Table data'!$A$2:$G$12,L$1,FALSE)</f>
        <v>Casual n Light</v>
      </c>
      <c r="M265" t="str">
        <f>VLOOKUP($D265,'[2]product Table data'!$A$2:$G$12,M$1,FALSE)</f>
        <v>Ethiopia</v>
      </c>
      <c r="N265" t="str">
        <f>VLOOKUP($D265,'[2]product Table data'!$A$2:$G$12,N$1,FALSE)</f>
        <v>Africa</v>
      </c>
      <c r="O265">
        <f>VLOOKUP($D265,'[2]product Table data'!$A$2:$G$12,O$1,FALSE)</f>
        <v>10</v>
      </c>
      <c r="P265">
        <f>VLOOKUP($D265,'[2]product Table data'!$A$2:$G$12,P$1,FALSE)</f>
        <v>20</v>
      </c>
      <c r="Q265">
        <f t="shared" si="20"/>
        <v>10</v>
      </c>
      <c r="R265" t="str">
        <f t="shared" si="21"/>
        <v>Hub Risk</v>
      </c>
      <c r="S265" t="str">
        <f t="shared" si="22"/>
        <v>Style Risk</v>
      </c>
      <c r="T265" t="str">
        <f t="shared" si="23"/>
        <v>Risk</v>
      </c>
      <c r="U265" t="str">
        <f t="shared" si="24"/>
        <v>High Value</v>
      </c>
    </row>
    <row r="266" spans="1:21" hidden="1" x14ac:dyDescent="0.2">
      <c r="A266" s="2">
        <v>1068</v>
      </c>
      <c r="B266" s="2" t="s">
        <v>9</v>
      </c>
      <c r="C266" s="2" t="s">
        <v>430</v>
      </c>
      <c r="D266" s="2" t="s">
        <v>11</v>
      </c>
      <c r="E266" s="2">
        <v>80123</v>
      </c>
      <c r="F266" s="2" t="s">
        <v>431</v>
      </c>
      <c r="G266" s="2" t="s">
        <v>13</v>
      </c>
      <c r="H266" s="2">
        <v>1</v>
      </c>
      <c r="I266" s="2" t="s">
        <v>39</v>
      </c>
      <c r="J266" s="2" t="str">
        <f>VLOOKUP(E266,[1]LL_Hub!$A$1:$B$13,2,FALSE)</f>
        <v>Denver</v>
      </c>
      <c r="K266" t="str">
        <f>VLOOKUP(D266,'[2]product Table data'!$A$2:$B$12,2,FALSE)</f>
        <v>Male</v>
      </c>
      <c r="L266" t="str">
        <f>VLOOKUP($D266,'[2]product Table data'!$A$2:$G$12,L$1,FALSE)</f>
        <v>Casual n Light</v>
      </c>
      <c r="M266" t="str">
        <f>VLOOKUP($D266,'[2]product Table data'!$A$2:$G$12,M$1,FALSE)</f>
        <v>Ethiopia</v>
      </c>
      <c r="N266" t="str">
        <f>VLOOKUP($D266,'[2]product Table data'!$A$2:$G$12,N$1,FALSE)</f>
        <v>Africa</v>
      </c>
      <c r="O266">
        <f>VLOOKUP($D266,'[2]product Table data'!$A$2:$G$12,O$1,FALSE)</f>
        <v>10</v>
      </c>
      <c r="P266">
        <f>VLOOKUP($D266,'[2]product Table data'!$A$2:$G$12,P$1,FALSE)</f>
        <v>20</v>
      </c>
      <c r="Q266">
        <f t="shared" si="20"/>
        <v>10</v>
      </c>
      <c r="R266" t="str">
        <f t="shared" si="21"/>
        <v>Hub Risk</v>
      </c>
      <c r="S266" t="str">
        <f t="shared" si="22"/>
        <v>Style Risk</v>
      </c>
      <c r="T266" t="str">
        <f t="shared" si="23"/>
        <v>Risk</v>
      </c>
      <c r="U266" t="str">
        <f t="shared" si="24"/>
        <v>High Value</v>
      </c>
    </row>
    <row r="267" spans="1:21" hidden="1" x14ac:dyDescent="0.2">
      <c r="A267" s="2">
        <v>1069</v>
      </c>
      <c r="B267" s="2" t="s">
        <v>9</v>
      </c>
      <c r="C267" s="2" t="s">
        <v>432</v>
      </c>
      <c r="D267" s="2" t="s">
        <v>11</v>
      </c>
      <c r="E267" s="2">
        <v>80123</v>
      </c>
      <c r="F267" s="2" t="s">
        <v>433</v>
      </c>
      <c r="G267" s="2" t="s">
        <v>13</v>
      </c>
      <c r="H267" s="2">
        <v>1</v>
      </c>
      <c r="I267" s="2" t="s">
        <v>39</v>
      </c>
      <c r="J267" s="2" t="str">
        <f>VLOOKUP(E267,[1]LL_Hub!$A$1:$B$13,2,FALSE)</f>
        <v>Denver</v>
      </c>
      <c r="K267" t="str">
        <f>VLOOKUP(D267,'[2]product Table data'!$A$2:$B$12,2,FALSE)</f>
        <v>Male</v>
      </c>
      <c r="L267" t="str">
        <f>VLOOKUP($D267,'[2]product Table data'!$A$2:$G$12,L$1,FALSE)</f>
        <v>Casual n Light</v>
      </c>
      <c r="M267" t="str">
        <f>VLOOKUP($D267,'[2]product Table data'!$A$2:$G$12,M$1,FALSE)</f>
        <v>Ethiopia</v>
      </c>
      <c r="N267" t="str">
        <f>VLOOKUP($D267,'[2]product Table data'!$A$2:$G$12,N$1,FALSE)</f>
        <v>Africa</v>
      </c>
      <c r="O267">
        <f>VLOOKUP($D267,'[2]product Table data'!$A$2:$G$12,O$1,FALSE)</f>
        <v>10</v>
      </c>
      <c r="P267">
        <f>VLOOKUP($D267,'[2]product Table data'!$A$2:$G$12,P$1,FALSE)</f>
        <v>20</v>
      </c>
      <c r="Q267">
        <f t="shared" si="20"/>
        <v>10</v>
      </c>
      <c r="R267" t="str">
        <f t="shared" si="21"/>
        <v>Hub Risk</v>
      </c>
      <c r="S267" t="str">
        <f t="shared" si="22"/>
        <v>Style Risk</v>
      </c>
      <c r="T267" t="str">
        <f t="shared" si="23"/>
        <v>Risk</v>
      </c>
      <c r="U267" t="str">
        <f t="shared" si="24"/>
        <v>High Value</v>
      </c>
    </row>
    <row r="268" spans="1:21" hidden="1" x14ac:dyDescent="0.2">
      <c r="A268" s="2">
        <v>1070</v>
      </c>
      <c r="B268" s="2" t="s">
        <v>9</v>
      </c>
      <c r="C268" s="2" t="s">
        <v>434</v>
      </c>
      <c r="D268" s="2" t="s">
        <v>41</v>
      </c>
      <c r="E268" s="2">
        <v>80123</v>
      </c>
      <c r="F268" s="2" t="s">
        <v>435</v>
      </c>
      <c r="G268" s="2" t="s">
        <v>13</v>
      </c>
      <c r="H268" s="2">
        <v>1</v>
      </c>
      <c r="I268" s="2" t="s">
        <v>39</v>
      </c>
      <c r="J268" s="2" t="str">
        <f>VLOOKUP(E268,[1]LL_Hub!$A$1:$B$13,2,FALSE)</f>
        <v>Denver</v>
      </c>
      <c r="K268" t="str">
        <f>VLOOKUP(D268,'[2]product Table data'!$A$2:$B$12,2,FALSE)</f>
        <v>Male</v>
      </c>
      <c r="L268" t="str">
        <f>VLOOKUP($D268,'[2]product Table data'!$A$2:$G$12,L$1,FALSE)</f>
        <v>Winter Warmth</v>
      </c>
      <c r="M268" t="str">
        <f>VLOOKUP($D268,'[2]product Table data'!$A$2:$G$12,M$1,FALSE)</f>
        <v>Moldova</v>
      </c>
      <c r="N268" t="str">
        <f>VLOOKUP($D268,'[2]product Table data'!$A$2:$G$12,N$1,FALSE)</f>
        <v>Eastern Europe</v>
      </c>
      <c r="O268">
        <f>VLOOKUP($D268,'[2]product Table data'!$A$2:$G$12,O$1,FALSE)</f>
        <v>475</v>
      </c>
      <c r="P268">
        <f>VLOOKUP($D268,'[2]product Table data'!$A$2:$G$12,P$1,FALSE)</f>
        <v>600</v>
      </c>
      <c r="Q268">
        <f t="shared" si="20"/>
        <v>125</v>
      </c>
      <c r="R268" t="str">
        <f t="shared" si="21"/>
        <v>Hub Risk</v>
      </c>
      <c r="S268" t="str">
        <f t="shared" si="22"/>
        <v>-</v>
      </c>
      <c r="T268" t="str">
        <f t="shared" si="23"/>
        <v>-</v>
      </c>
      <c r="U268" t="str">
        <f t="shared" si="24"/>
        <v>High Value</v>
      </c>
    </row>
    <row r="269" spans="1:21" hidden="1" x14ac:dyDescent="0.2">
      <c r="A269" s="2">
        <v>1071</v>
      </c>
      <c r="B269" s="2" t="s">
        <v>9</v>
      </c>
      <c r="C269" s="2" t="s">
        <v>436</v>
      </c>
      <c r="D269" s="2" t="s">
        <v>11</v>
      </c>
      <c r="E269" s="2">
        <v>80123</v>
      </c>
      <c r="F269" s="2" t="s">
        <v>437</v>
      </c>
      <c r="G269" s="2" t="s">
        <v>13</v>
      </c>
      <c r="H269" s="2">
        <v>1</v>
      </c>
      <c r="I269" s="2" t="s">
        <v>39</v>
      </c>
      <c r="J269" s="2" t="str">
        <f>VLOOKUP(E269,[1]LL_Hub!$A$1:$B$13,2,FALSE)</f>
        <v>Denver</v>
      </c>
      <c r="K269" t="str">
        <f>VLOOKUP(D269,'[2]product Table data'!$A$2:$B$12,2,FALSE)</f>
        <v>Male</v>
      </c>
      <c r="L269" t="str">
        <f>VLOOKUP($D269,'[2]product Table data'!$A$2:$G$12,L$1,FALSE)</f>
        <v>Casual n Light</v>
      </c>
      <c r="M269" t="str">
        <f>VLOOKUP($D269,'[2]product Table data'!$A$2:$G$12,M$1,FALSE)</f>
        <v>Ethiopia</v>
      </c>
      <c r="N269" t="str">
        <f>VLOOKUP($D269,'[2]product Table data'!$A$2:$G$12,N$1,FALSE)</f>
        <v>Africa</v>
      </c>
      <c r="O269">
        <f>VLOOKUP($D269,'[2]product Table data'!$A$2:$G$12,O$1,FALSE)</f>
        <v>10</v>
      </c>
      <c r="P269">
        <f>VLOOKUP($D269,'[2]product Table data'!$A$2:$G$12,P$1,FALSE)</f>
        <v>20</v>
      </c>
      <c r="Q269">
        <f t="shared" si="20"/>
        <v>10</v>
      </c>
      <c r="R269" t="str">
        <f t="shared" si="21"/>
        <v>Hub Risk</v>
      </c>
      <c r="S269" t="str">
        <f t="shared" si="22"/>
        <v>Style Risk</v>
      </c>
      <c r="T269" t="str">
        <f t="shared" si="23"/>
        <v>Risk</v>
      </c>
      <c r="U269" t="str">
        <f t="shared" si="24"/>
        <v>High Value</v>
      </c>
    </row>
    <row r="270" spans="1:21" hidden="1" x14ac:dyDescent="0.2">
      <c r="A270" s="2">
        <v>1072</v>
      </c>
      <c r="B270" s="2" t="s">
        <v>9</v>
      </c>
      <c r="C270" s="2" t="s">
        <v>438</v>
      </c>
      <c r="D270" s="2" t="s">
        <v>11</v>
      </c>
      <c r="E270" s="2">
        <v>80123</v>
      </c>
      <c r="F270" s="2" t="s">
        <v>439</v>
      </c>
      <c r="G270" s="2" t="s">
        <v>13</v>
      </c>
      <c r="H270" s="2">
        <v>1</v>
      </c>
      <c r="I270" s="2" t="s">
        <v>39</v>
      </c>
      <c r="J270" s="2" t="str">
        <f>VLOOKUP(E270,[1]LL_Hub!$A$1:$B$13,2,FALSE)</f>
        <v>Denver</v>
      </c>
      <c r="K270" t="str">
        <f>VLOOKUP(D270,'[2]product Table data'!$A$2:$B$12,2,FALSE)</f>
        <v>Male</v>
      </c>
      <c r="L270" t="str">
        <f>VLOOKUP($D270,'[2]product Table data'!$A$2:$G$12,L$1,FALSE)</f>
        <v>Casual n Light</v>
      </c>
      <c r="M270" t="str">
        <f>VLOOKUP($D270,'[2]product Table data'!$A$2:$G$12,M$1,FALSE)</f>
        <v>Ethiopia</v>
      </c>
      <c r="N270" t="str">
        <f>VLOOKUP($D270,'[2]product Table data'!$A$2:$G$12,N$1,FALSE)</f>
        <v>Africa</v>
      </c>
      <c r="O270">
        <f>VLOOKUP($D270,'[2]product Table data'!$A$2:$G$12,O$1,FALSE)</f>
        <v>10</v>
      </c>
      <c r="P270">
        <f>VLOOKUP($D270,'[2]product Table data'!$A$2:$G$12,P$1,FALSE)</f>
        <v>20</v>
      </c>
      <c r="Q270">
        <f t="shared" si="20"/>
        <v>10</v>
      </c>
      <c r="R270" t="str">
        <f t="shared" si="21"/>
        <v>Hub Risk</v>
      </c>
      <c r="S270" t="str">
        <f t="shared" si="22"/>
        <v>Style Risk</v>
      </c>
      <c r="T270" t="str">
        <f t="shared" si="23"/>
        <v>Risk</v>
      </c>
      <c r="U270" t="str">
        <f t="shared" si="24"/>
        <v>High Value</v>
      </c>
    </row>
    <row r="271" spans="1:21" hidden="1" x14ac:dyDescent="0.2">
      <c r="A271" s="2">
        <v>1073</v>
      </c>
      <c r="B271" s="2" t="s">
        <v>9</v>
      </c>
      <c r="C271" s="2" t="s">
        <v>440</v>
      </c>
      <c r="D271" s="2" t="s">
        <v>11</v>
      </c>
      <c r="E271" s="2">
        <v>80123</v>
      </c>
      <c r="F271" s="2" t="s">
        <v>441</v>
      </c>
      <c r="G271" s="2" t="s">
        <v>13</v>
      </c>
      <c r="H271" s="2">
        <v>1</v>
      </c>
      <c r="I271" s="2" t="s">
        <v>39</v>
      </c>
      <c r="J271" s="2" t="str">
        <f>VLOOKUP(E271,[1]LL_Hub!$A$1:$B$13,2,FALSE)</f>
        <v>Denver</v>
      </c>
      <c r="K271" t="str">
        <f>VLOOKUP(D271,'[2]product Table data'!$A$2:$B$12,2,FALSE)</f>
        <v>Male</v>
      </c>
      <c r="L271" t="str">
        <f>VLOOKUP($D271,'[2]product Table data'!$A$2:$G$12,L$1,FALSE)</f>
        <v>Casual n Light</v>
      </c>
      <c r="M271" t="str">
        <f>VLOOKUP($D271,'[2]product Table data'!$A$2:$G$12,M$1,FALSE)</f>
        <v>Ethiopia</v>
      </c>
      <c r="N271" t="str">
        <f>VLOOKUP($D271,'[2]product Table data'!$A$2:$G$12,N$1,FALSE)</f>
        <v>Africa</v>
      </c>
      <c r="O271">
        <f>VLOOKUP($D271,'[2]product Table data'!$A$2:$G$12,O$1,FALSE)</f>
        <v>10</v>
      </c>
      <c r="P271">
        <f>VLOOKUP($D271,'[2]product Table data'!$A$2:$G$12,P$1,FALSE)</f>
        <v>20</v>
      </c>
      <c r="Q271">
        <f t="shared" si="20"/>
        <v>10</v>
      </c>
      <c r="R271" t="str">
        <f t="shared" si="21"/>
        <v>Hub Risk</v>
      </c>
      <c r="S271" t="str">
        <f t="shared" si="22"/>
        <v>Style Risk</v>
      </c>
      <c r="T271" t="str">
        <f t="shared" si="23"/>
        <v>Risk</v>
      </c>
      <c r="U271" t="str">
        <f t="shared" si="24"/>
        <v>High Value</v>
      </c>
    </row>
    <row r="272" spans="1:21" hidden="1" x14ac:dyDescent="0.2">
      <c r="A272" s="2">
        <v>1074</v>
      </c>
      <c r="B272" s="2" t="s">
        <v>9</v>
      </c>
      <c r="C272" s="2" t="s">
        <v>442</v>
      </c>
      <c r="D272" s="2" t="s">
        <v>19</v>
      </c>
      <c r="E272" s="2">
        <v>80123</v>
      </c>
      <c r="F272" s="2" t="s">
        <v>443</v>
      </c>
      <c r="G272" s="2" t="s">
        <v>13</v>
      </c>
      <c r="H272" s="2">
        <v>1</v>
      </c>
      <c r="I272" s="2" t="s">
        <v>17</v>
      </c>
      <c r="J272" s="2" t="str">
        <f>VLOOKUP(E272,[1]LL_Hub!$A$1:$B$13,2,FALSE)</f>
        <v>Denver</v>
      </c>
      <c r="K272" t="str">
        <f>VLOOKUP(D272,'[2]product Table data'!$A$2:$B$12,2,FALSE)</f>
        <v>Male</v>
      </c>
      <c r="L272" t="str">
        <f>VLOOKUP($D272,'[2]product Table data'!$A$2:$G$12,L$1,FALSE)</f>
        <v>Casual n Light</v>
      </c>
      <c r="M272" t="str">
        <f>VLOOKUP($D272,'[2]product Table data'!$A$2:$G$12,M$1,FALSE)</f>
        <v>Kenya</v>
      </c>
      <c r="N272" t="str">
        <f>VLOOKUP($D272,'[2]product Table data'!$A$2:$G$12,N$1,FALSE)</f>
        <v>Africa</v>
      </c>
      <c r="O272">
        <f>VLOOKUP($D272,'[2]product Table data'!$A$2:$G$12,O$1,FALSE)</f>
        <v>15</v>
      </c>
      <c r="P272">
        <f>VLOOKUP($D272,'[2]product Table data'!$A$2:$G$12,P$1,FALSE)</f>
        <v>30</v>
      </c>
      <c r="Q272">
        <f t="shared" si="20"/>
        <v>15</v>
      </c>
      <c r="R272" t="str">
        <f t="shared" si="21"/>
        <v>Hub Risk</v>
      </c>
      <c r="S272" t="str">
        <f t="shared" si="22"/>
        <v>Style Risk</v>
      </c>
      <c r="T272" t="str">
        <f t="shared" si="23"/>
        <v>Risk</v>
      </c>
      <c r="U272" t="str">
        <f t="shared" si="24"/>
        <v>High Value</v>
      </c>
    </row>
    <row r="273" spans="1:21" hidden="1" x14ac:dyDescent="0.2">
      <c r="A273" s="2">
        <v>1075</v>
      </c>
      <c r="B273" s="2" t="s">
        <v>9</v>
      </c>
      <c r="C273" s="2" t="s">
        <v>444</v>
      </c>
      <c r="D273" s="2" t="s">
        <v>11</v>
      </c>
      <c r="E273" s="2">
        <v>80123</v>
      </c>
      <c r="F273" s="2" t="s">
        <v>445</v>
      </c>
      <c r="G273" s="2" t="s">
        <v>13</v>
      </c>
      <c r="H273" s="2">
        <v>1</v>
      </c>
      <c r="I273" s="2" t="s">
        <v>39</v>
      </c>
      <c r="J273" s="2" t="str">
        <f>VLOOKUP(E273,[1]LL_Hub!$A$1:$B$13,2,FALSE)</f>
        <v>Denver</v>
      </c>
      <c r="K273" t="str">
        <f>VLOOKUP(D273,'[2]product Table data'!$A$2:$B$12,2,FALSE)</f>
        <v>Male</v>
      </c>
      <c r="L273" t="str">
        <f>VLOOKUP($D273,'[2]product Table data'!$A$2:$G$12,L$1,FALSE)</f>
        <v>Casual n Light</v>
      </c>
      <c r="M273" t="str">
        <f>VLOOKUP($D273,'[2]product Table data'!$A$2:$G$12,M$1,FALSE)</f>
        <v>Ethiopia</v>
      </c>
      <c r="N273" t="str">
        <f>VLOOKUP($D273,'[2]product Table data'!$A$2:$G$12,N$1,FALSE)</f>
        <v>Africa</v>
      </c>
      <c r="O273">
        <f>VLOOKUP($D273,'[2]product Table data'!$A$2:$G$12,O$1,FALSE)</f>
        <v>10</v>
      </c>
      <c r="P273">
        <f>VLOOKUP($D273,'[2]product Table data'!$A$2:$G$12,P$1,FALSE)</f>
        <v>20</v>
      </c>
      <c r="Q273">
        <f t="shared" si="20"/>
        <v>10</v>
      </c>
      <c r="R273" t="str">
        <f t="shared" si="21"/>
        <v>Hub Risk</v>
      </c>
      <c r="S273" t="str">
        <f t="shared" si="22"/>
        <v>Style Risk</v>
      </c>
      <c r="T273" t="str">
        <f t="shared" si="23"/>
        <v>Risk</v>
      </c>
      <c r="U273" t="str">
        <f t="shared" si="24"/>
        <v>High Value</v>
      </c>
    </row>
    <row r="274" spans="1:21" hidden="1" x14ac:dyDescent="0.2">
      <c r="A274" s="2">
        <v>1076</v>
      </c>
      <c r="B274" s="2" t="s">
        <v>9</v>
      </c>
      <c r="C274" s="2" t="s">
        <v>446</v>
      </c>
      <c r="D274" s="2" t="s">
        <v>19</v>
      </c>
      <c r="E274" s="2">
        <v>80123</v>
      </c>
      <c r="F274" s="2" t="s">
        <v>447</v>
      </c>
      <c r="G274" s="2" t="s">
        <v>13</v>
      </c>
      <c r="H274" s="2">
        <v>1</v>
      </c>
      <c r="I274" s="2" t="s">
        <v>17</v>
      </c>
      <c r="J274" s="2" t="str">
        <f>VLOOKUP(E274,[1]LL_Hub!$A$1:$B$13,2,FALSE)</f>
        <v>Denver</v>
      </c>
      <c r="K274" t="str">
        <f>VLOOKUP(D274,'[2]product Table data'!$A$2:$B$12,2,FALSE)</f>
        <v>Male</v>
      </c>
      <c r="L274" t="str">
        <f>VLOOKUP($D274,'[2]product Table data'!$A$2:$G$12,L$1,FALSE)</f>
        <v>Casual n Light</v>
      </c>
      <c r="M274" t="str">
        <f>VLOOKUP($D274,'[2]product Table data'!$A$2:$G$12,M$1,FALSE)</f>
        <v>Kenya</v>
      </c>
      <c r="N274" t="str">
        <f>VLOOKUP($D274,'[2]product Table data'!$A$2:$G$12,N$1,FALSE)</f>
        <v>Africa</v>
      </c>
      <c r="O274">
        <f>VLOOKUP($D274,'[2]product Table data'!$A$2:$G$12,O$1,FALSE)</f>
        <v>15</v>
      </c>
      <c r="P274">
        <f>VLOOKUP($D274,'[2]product Table data'!$A$2:$G$12,P$1,FALSE)</f>
        <v>30</v>
      </c>
      <c r="Q274">
        <f t="shared" si="20"/>
        <v>15</v>
      </c>
      <c r="R274" t="str">
        <f t="shared" si="21"/>
        <v>Hub Risk</v>
      </c>
      <c r="S274" t="str">
        <f t="shared" si="22"/>
        <v>Style Risk</v>
      </c>
      <c r="T274" t="str">
        <f t="shared" si="23"/>
        <v>Risk</v>
      </c>
      <c r="U274" t="str">
        <f t="shared" si="24"/>
        <v>High Value</v>
      </c>
    </row>
    <row r="275" spans="1:21" hidden="1" x14ac:dyDescent="0.2">
      <c r="A275" s="2">
        <v>1077</v>
      </c>
      <c r="B275" s="2" t="s">
        <v>9</v>
      </c>
      <c r="C275" s="2" t="s">
        <v>448</v>
      </c>
      <c r="D275" s="2" t="s">
        <v>11</v>
      </c>
      <c r="E275" s="2">
        <v>80123</v>
      </c>
      <c r="F275" s="2" t="s">
        <v>449</v>
      </c>
      <c r="G275" s="2" t="s">
        <v>13</v>
      </c>
      <c r="H275" s="2">
        <v>1</v>
      </c>
      <c r="I275" s="2" t="s">
        <v>39</v>
      </c>
      <c r="J275" s="2" t="str">
        <f>VLOOKUP(E275,[1]LL_Hub!$A$1:$B$13,2,FALSE)</f>
        <v>Denver</v>
      </c>
      <c r="K275" t="str">
        <f>VLOOKUP(D275,'[2]product Table data'!$A$2:$B$12,2,FALSE)</f>
        <v>Male</v>
      </c>
      <c r="L275" t="str">
        <f>VLOOKUP($D275,'[2]product Table data'!$A$2:$G$12,L$1,FALSE)</f>
        <v>Casual n Light</v>
      </c>
      <c r="M275" t="str">
        <f>VLOOKUP($D275,'[2]product Table data'!$A$2:$G$12,M$1,FALSE)</f>
        <v>Ethiopia</v>
      </c>
      <c r="N275" t="str">
        <f>VLOOKUP($D275,'[2]product Table data'!$A$2:$G$12,N$1,FALSE)</f>
        <v>Africa</v>
      </c>
      <c r="O275">
        <f>VLOOKUP($D275,'[2]product Table data'!$A$2:$G$12,O$1,FALSE)</f>
        <v>10</v>
      </c>
      <c r="P275">
        <f>VLOOKUP($D275,'[2]product Table data'!$A$2:$G$12,P$1,FALSE)</f>
        <v>20</v>
      </c>
      <c r="Q275">
        <f t="shared" si="20"/>
        <v>10</v>
      </c>
      <c r="R275" t="str">
        <f t="shared" si="21"/>
        <v>Hub Risk</v>
      </c>
      <c r="S275" t="str">
        <f t="shared" si="22"/>
        <v>Style Risk</v>
      </c>
      <c r="T275" t="str">
        <f t="shared" si="23"/>
        <v>Risk</v>
      </c>
      <c r="U275" t="str">
        <f t="shared" si="24"/>
        <v>High Value</v>
      </c>
    </row>
    <row r="276" spans="1:21" hidden="1" x14ac:dyDescent="0.2">
      <c r="A276" s="2">
        <v>1078</v>
      </c>
      <c r="B276" s="2" t="s">
        <v>9</v>
      </c>
      <c r="C276" s="2" t="s">
        <v>450</v>
      </c>
      <c r="D276" s="2" t="s">
        <v>19</v>
      </c>
      <c r="E276" s="2">
        <v>80123</v>
      </c>
      <c r="F276" s="2" t="s">
        <v>451</v>
      </c>
      <c r="G276" s="2" t="s">
        <v>13</v>
      </c>
      <c r="H276" s="2">
        <v>1</v>
      </c>
      <c r="I276" s="2" t="s">
        <v>17</v>
      </c>
      <c r="J276" s="2" t="str">
        <f>VLOOKUP(E276,[1]LL_Hub!$A$1:$B$13,2,FALSE)</f>
        <v>Denver</v>
      </c>
      <c r="K276" t="str">
        <f>VLOOKUP(D276,'[2]product Table data'!$A$2:$B$12,2,FALSE)</f>
        <v>Male</v>
      </c>
      <c r="L276" t="str">
        <f>VLOOKUP($D276,'[2]product Table data'!$A$2:$G$12,L$1,FALSE)</f>
        <v>Casual n Light</v>
      </c>
      <c r="M276" t="str">
        <f>VLOOKUP($D276,'[2]product Table data'!$A$2:$G$12,M$1,FALSE)</f>
        <v>Kenya</v>
      </c>
      <c r="N276" t="str">
        <f>VLOOKUP($D276,'[2]product Table data'!$A$2:$G$12,N$1,FALSE)</f>
        <v>Africa</v>
      </c>
      <c r="O276">
        <f>VLOOKUP($D276,'[2]product Table data'!$A$2:$G$12,O$1,FALSE)</f>
        <v>15</v>
      </c>
      <c r="P276">
        <f>VLOOKUP($D276,'[2]product Table data'!$A$2:$G$12,P$1,FALSE)</f>
        <v>30</v>
      </c>
      <c r="Q276">
        <f t="shared" si="20"/>
        <v>15</v>
      </c>
      <c r="R276" t="str">
        <f t="shared" si="21"/>
        <v>Hub Risk</v>
      </c>
      <c r="S276" t="str">
        <f t="shared" si="22"/>
        <v>Style Risk</v>
      </c>
      <c r="T276" t="str">
        <f t="shared" si="23"/>
        <v>Risk</v>
      </c>
      <c r="U276" t="str">
        <f t="shared" si="24"/>
        <v>High Value</v>
      </c>
    </row>
    <row r="277" spans="1:21" hidden="1" x14ac:dyDescent="0.2">
      <c r="A277" s="2">
        <v>1079</v>
      </c>
      <c r="B277" s="2" t="s">
        <v>9</v>
      </c>
      <c r="C277" s="2" t="s">
        <v>452</v>
      </c>
      <c r="D277" s="2" t="s">
        <v>11</v>
      </c>
      <c r="E277" s="2">
        <v>80123</v>
      </c>
      <c r="F277" s="2" t="s">
        <v>453</v>
      </c>
      <c r="G277" s="2" t="s">
        <v>13</v>
      </c>
      <c r="H277" s="2">
        <v>1</v>
      </c>
      <c r="I277" s="2" t="s">
        <v>39</v>
      </c>
      <c r="J277" s="2" t="str">
        <f>VLOOKUP(E277,[1]LL_Hub!$A$1:$B$13,2,FALSE)</f>
        <v>Denver</v>
      </c>
      <c r="K277" t="str">
        <f>VLOOKUP(D277,'[2]product Table data'!$A$2:$B$12,2,FALSE)</f>
        <v>Male</v>
      </c>
      <c r="L277" t="str">
        <f>VLOOKUP($D277,'[2]product Table data'!$A$2:$G$12,L$1,FALSE)</f>
        <v>Casual n Light</v>
      </c>
      <c r="M277" t="str">
        <f>VLOOKUP($D277,'[2]product Table data'!$A$2:$G$12,M$1,FALSE)</f>
        <v>Ethiopia</v>
      </c>
      <c r="N277" t="str">
        <f>VLOOKUP($D277,'[2]product Table data'!$A$2:$G$12,N$1,FALSE)</f>
        <v>Africa</v>
      </c>
      <c r="O277">
        <f>VLOOKUP($D277,'[2]product Table data'!$A$2:$G$12,O$1,FALSE)</f>
        <v>10</v>
      </c>
      <c r="P277">
        <f>VLOOKUP($D277,'[2]product Table data'!$A$2:$G$12,P$1,FALSE)</f>
        <v>20</v>
      </c>
      <c r="Q277">
        <f t="shared" si="20"/>
        <v>10</v>
      </c>
      <c r="R277" t="str">
        <f t="shared" si="21"/>
        <v>Hub Risk</v>
      </c>
      <c r="S277" t="str">
        <f t="shared" si="22"/>
        <v>Style Risk</v>
      </c>
      <c r="T277" t="str">
        <f t="shared" si="23"/>
        <v>Risk</v>
      </c>
      <c r="U277" t="str">
        <f t="shared" si="24"/>
        <v>High Value</v>
      </c>
    </row>
    <row r="278" spans="1:21" hidden="1" x14ac:dyDescent="0.2">
      <c r="A278" s="2">
        <v>1080</v>
      </c>
      <c r="B278" s="2" t="s">
        <v>9</v>
      </c>
      <c r="C278" s="2" t="s">
        <v>454</v>
      </c>
      <c r="D278" s="2" t="s">
        <v>11</v>
      </c>
      <c r="E278" s="2">
        <v>80123</v>
      </c>
      <c r="F278" s="2" t="s">
        <v>455</v>
      </c>
      <c r="G278" s="2" t="s">
        <v>13</v>
      </c>
      <c r="H278" s="2">
        <v>1</v>
      </c>
      <c r="I278" s="2" t="s">
        <v>39</v>
      </c>
      <c r="J278" s="2" t="str">
        <f>VLOOKUP(E278,[1]LL_Hub!$A$1:$B$13,2,FALSE)</f>
        <v>Denver</v>
      </c>
      <c r="K278" t="str">
        <f>VLOOKUP(D278,'[2]product Table data'!$A$2:$B$12,2,FALSE)</f>
        <v>Male</v>
      </c>
      <c r="L278" t="str">
        <f>VLOOKUP($D278,'[2]product Table data'!$A$2:$G$12,L$1,FALSE)</f>
        <v>Casual n Light</v>
      </c>
      <c r="M278" t="str">
        <f>VLOOKUP($D278,'[2]product Table data'!$A$2:$G$12,M$1,FALSE)</f>
        <v>Ethiopia</v>
      </c>
      <c r="N278" t="str">
        <f>VLOOKUP($D278,'[2]product Table data'!$A$2:$G$12,N$1,FALSE)</f>
        <v>Africa</v>
      </c>
      <c r="O278">
        <f>VLOOKUP($D278,'[2]product Table data'!$A$2:$G$12,O$1,FALSE)</f>
        <v>10</v>
      </c>
      <c r="P278">
        <f>VLOOKUP($D278,'[2]product Table data'!$A$2:$G$12,P$1,FALSE)</f>
        <v>20</v>
      </c>
      <c r="Q278">
        <f t="shared" si="20"/>
        <v>10</v>
      </c>
      <c r="R278" t="str">
        <f t="shared" si="21"/>
        <v>Hub Risk</v>
      </c>
      <c r="S278" t="str">
        <f t="shared" si="22"/>
        <v>Style Risk</v>
      </c>
      <c r="T278" t="str">
        <f t="shared" si="23"/>
        <v>Risk</v>
      </c>
      <c r="U278" t="str">
        <f t="shared" si="24"/>
        <v>High Value</v>
      </c>
    </row>
    <row r="279" spans="1:21" hidden="1" x14ac:dyDescent="0.2">
      <c r="A279" s="2">
        <v>1081</v>
      </c>
      <c r="B279" s="2" t="s">
        <v>9</v>
      </c>
      <c r="C279" s="2" t="s">
        <v>456</v>
      </c>
      <c r="D279" s="2" t="s">
        <v>11</v>
      </c>
      <c r="E279" s="2">
        <v>80123</v>
      </c>
      <c r="F279" s="2" t="s">
        <v>457</v>
      </c>
      <c r="G279" s="2" t="s">
        <v>13</v>
      </c>
      <c r="H279" s="2">
        <v>1</v>
      </c>
      <c r="I279" s="2" t="s">
        <v>39</v>
      </c>
      <c r="J279" s="2" t="str">
        <f>VLOOKUP(E279,[1]LL_Hub!$A$1:$B$13,2,FALSE)</f>
        <v>Denver</v>
      </c>
      <c r="K279" t="str">
        <f>VLOOKUP(D279,'[2]product Table data'!$A$2:$B$12,2,FALSE)</f>
        <v>Male</v>
      </c>
      <c r="L279" t="str">
        <f>VLOOKUP($D279,'[2]product Table data'!$A$2:$G$12,L$1,FALSE)</f>
        <v>Casual n Light</v>
      </c>
      <c r="M279" t="str">
        <f>VLOOKUP($D279,'[2]product Table data'!$A$2:$G$12,M$1,FALSE)</f>
        <v>Ethiopia</v>
      </c>
      <c r="N279" t="str">
        <f>VLOOKUP($D279,'[2]product Table data'!$A$2:$G$12,N$1,FALSE)</f>
        <v>Africa</v>
      </c>
      <c r="O279">
        <f>VLOOKUP($D279,'[2]product Table data'!$A$2:$G$12,O$1,FALSE)</f>
        <v>10</v>
      </c>
      <c r="P279">
        <f>VLOOKUP($D279,'[2]product Table data'!$A$2:$G$12,P$1,FALSE)</f>
        <v>20</v>
      </c>
      <c r="Q279">
        <f t="shared" si="20"/>
        <v>10</v>
      </c>
      <c r="R279" t="str">
        <f t="shared" si="21"/>
        <v>Hub Risk</v>
      </c>
      <c r="S279" t="str">
        <f t="shared" si="22"/>
        <v>Style Risk</v>
      </c>
      <c r="T279" t="str">
        <f t="shared" si="23"/>
        <v>Risk</v>
      </c>
      <c r="U279" t="str">
        <f t="shared" si="24"/>
        <v>High Value</v>
      </c>
    </row>
    <row r="280" spans="1:21" hidden="1" x14ac:dyDescent="0.2">
      <c r="A280" s="2">
        <v>1082</v>
      </c>
      <c r="B280" s="2" t="s">
        <v>9</v>
      </c>
      <c r="C280" s="2" t="s">
        <v>458</v>
      </c>
      <c r="D280" s="2" t="s">
        <v>11</v>
      </c>
      <c r="E280" s="2">
        <v>80123</v>
      </c>
      <c r="F280" s="2" t="s">
        <v>459</v>
      </c>
      <c r="G280" s="2" t="s">
        <v>13</v>
      </c>
      <c r="H280" s="2">
        <v>1</v>
      </c>
      <c r="I280" s="2" t="s">
        <v>39</v>
      </c>
      <c r="J280" s="2" t="str">
        <f>VLOOKUP(E280,[1]LL_Hub!$A$1:$B$13,2,FALSE)</f>
        <v>Denver</v>
      </c>
      <c r="K280" t="str">
        <f>VLOOKUP(D280,'[2]product Table data'!$A$2:$B$12,2,FALSE)</f>
        <v>Male</v>
      </c>
      <c r="L280" t="str">
        <f>VLOOKUP($D280,'[2]product Table data'!$A$2:$G$12,L$1,FALSE)</f>
        <v>Casual n Light</v>
      </c>
      <c r="M280" t="str">
        <f>VLOOKUP($D280,'[2]product Table data'!$A$2:$G$12,M$1,FALSE)</f>
        <v>Ethiopia</v>
      </c>
      <c r="N280" t="str">
        <f>VLOOKUP($D280,'[2]product Table data'!$A$2:$G$12,N$1,FALSE)</f>
        <v>Africa</v>
      </c>
      <c r="O280">
        <f>VLOOKUP($D280,'[2]product Table data'!$A$2:$G$12,O$1,FALSE)</f>
        <v>10</v>
      </c>
      <c r="P280">
        <f>VLOOKUP($D280,'[2]product Table data'!$A$2:$G$12,P$1,FALSE)</f>
        <v>20</v>
      </c>
      <c r="Q280">
        <f t="shared" si="20"/>
        <v>10</v>
      </c>
      <c r="R280" t="str">
        <f t="shared" si="21"/>
        <v>Hub Risk</v>
      </c>
      <c r="S280" t="str">
        <f t="shared" si="22"/>
        <v>Style Risk</v>
      </c>
      <c r="T280" t="str">
        <f t="shared" si="23"/>
        <v>Risk</v>
      </c>
      <c r="U280" t="str">
        <f t="shared" si="24"/>
        <v>High Value</v>
      </c>
    </row>
    <row r="281" spans="1:21" hidden="1" x14ac:dyDescent="0.2">
      <c r="A281" s="2">
        <v>1083</v>
      </c>
      <c r="B281" s="2" t="s">
        <v>9</v>
      </c>
      <c r="C281" s="2" t="s">
        <v>460</v>
      </c>
      <c r="D281" s="2" t="s">
        <v>11</v>
      </c>
      <c r="E281" s="2">
        <v>80123</v>
      </c>
      <c r="F281" s="2" t="s">
        <v>461</v>
      </c>
      <c r="G281" s="2" t="s">
        <v>13</v>
      </c>
      <c r="H281" s="2">
        <v>1</v>
      </c>
      <c r="I281" s="2" t="s">
        <v>39</v>
      </c>
      <c r="J281" s="2" t="str">
        <f>VLOOKUP(E281,[1]LL_Hub!$A$1:$B$13,2,FALSE)</f>
        <v>Denver</v>
      </c>
      <c r="K281" t="str">
        <f>VLOOKUP(D281,'[2]product Table data'!$A$2:$B$12,2,FALSE)</f>
        <v>Male</v>
      </c>
      <c r="L281" t="str">
        <f>VLOOKUP($D281,'[2]product Table data'!$A$2:$G$12,L$1,FALSE)</f>
        <v>Casual n Light</v>
      </c>
      <c r="M281" t="str">
        <f>VLOOKUP($D281,'[2]product Table data'!$A$2:$G$12,M$1,FALSE)</f>
        <v>Ethiopia</v>
      </c>
      <c r="N281" t="str">
        <f>VLOOKUP($D281,'[2]product Table data'!$A$2:$G$12,N$1,FALSE)</f>
        <v>Africa</v>
      </c>
      <c r="O281">
        <f>VLOOKUP($D281,'[2]product Table data'!$A$2:$G$12,O$1,FALSE)</f>
        <v>10</v>
      </c>
      <c r="P281">
        <f>VLOOKUP($D281,'[2]product Table data'!$A$2:$G$12,P$1,FALSE)</f>
        <v>20</v>
      </c>
      <c r="Q281">
        <f t="shared" si="20"/>
        <v>10</v>
      </c>
      <c r="R281" t="str">
        <f t="shared" si="21"/>
        <v>Hub Risk</v>
      </c>
      <c r="S281" t="str">
        <f t="shared" si="22"/>
        <v>Style Risk</v>
      </c>
      <c r="T281" t="str">
        <f t="shared" si="23"/>
        <v>Risk</v>
      </c>
      <c r="U281" t="str">
        <f t="shared" si="24"/>
        <v>High Value</v>
      </c>
    </row>
    <row r="282" spans="1:21" hidden="1" x14ac:dyDescent="0.2">
      <c r="A282" s="2">
        <v>1084</v>
      </c>
      <c r="B282" s="2" t="s">
        <v>9</v>
      </c>
      <c r="C282" s="2" t="s">
        <v>462</v>
      </c>
      <c r="D282" s="2" t="s">
        <v>11</v>
      </c>
      <c r="E282" s="2">
        <v>80123</v>
      </c>
      <c r="F282" s="2" t="s">
        <v>463</v>
      </c>
      <c r="G282" s="2" t="s">
        <v>13</v>
      </c>
      <c r="H282" s="2">
        <v>1</v>
      </c>
      <c r="I282" s="2" t="s">
        <v>39</v>
      </c>
      <c r="J282" s="2" t="str">
        <f>VLOOKUP(E282,[1]LL_Hub!$A$1:$B$13,2,FALSE)</f>
        <v>Denver</v>
      </c>
      <c r="K282" t="str">
        <f>VLOOKUP(D282,'[2]product Table data'!$A$2:$B$12,2,FALSE)</f>
        <v>Male</v>
      </c>
      <c r="L282" t="str">
        <f>VLOOKUP($D282,'[2]product Table data'!$A$2:$G$12,L$1,FALSE)</f>
        <v>Casual n Light</v>
      </c>
      <c r="M282" t="str">
        <f>VLOOKUP($D282,'[2]product Table data'!$A$2:$G$12,M$1,FALSE)</f>
        <v>Ethiopia</v>
      </c>
      <c r="N282" t="str">
        <f>VLOOKUP($D282,'[2]product Table data'!$A$2:$G$12,N$1,FALSE)</f>
        <v>Africa</v>
      </c>
      <c r="O282">
        <f>VLOOKUP($D282,'[2]product Table data'!$A$2:$G$12,O$1,FALSE)</f>
        <v>10</v>
      </c>
      <c r="P282">
        <f>VLOOKUP($D282,'[2]product Table data'!$A$2:$G$12,P$1,FALSE)</f>
        <v>20</v>
      </c>
      <c r="Q282">
        <f t="shared" si="20"/>
        <v>10</v>
      </c>
      <c r="R282" t="str">
        <f t="shared" si="21"/>
        <v>Hub Risk</v>
      </c>
      <c r="S282" t="str">
        <f t="shared" si="22"/>
        <v>Style Risk</v>
      </c>
      <c r="T282" t="str">
        <f t="shared" si="23"/>
        <v>Risk</v>
      </c>
      <c r="U282" t="str">
        <f t="shared" si="24"/>
        <v>High Value</v>
      </c>
    </row>
    <row r="283" spans="1:21" hidden="1" x14ac:dyDescent="0.2">
      <c r="A283" s="2">
        <v>1085</v>
      </c>
      <c r="B283" s="2" t="s">
        <v>9</v>
      </c>
      <c r="C283" s="2" t="s">
        <v>464</v>
      </c>
      <c r="D283" s="2" t="s">
        <v>11</v>
      </c>
      <c r="E283" s="2">
        <v>80123</v>
      </c>
      <c r="F283" s="2" t="s">
        <v>465</v>
      </c>
      <c r="G283" s="2" t="s">
        <v>13</v>
      </c>
      <c r="H283" s="2">
        <v>1</v>
      </c>
      <c r="I283" s="2" t="s">
        <v>39</v>
      </c>
      <c r="J283" s="2" t="str">
        <f>VLOOKUP(E283,[1]LL_Hub!$A$1:$B$13,2,FALSE)</f>
        <v>Denver</v>
      </c>
      <c r="K283" t="str">
        <f>VLOOKUP(D283,'[2]product Table data'!$A$2:$B$12,2,FALSE)</f>
        <v>Male</v>
      </c>
      <c r="L283" t="str">
        <f>VLOOKUP($D283,'[2]product Table data'!$A$2:$G$12,L$1,FALSE)</f>
        <v>Casual n Light</v>
      </c>
      <c r="M283" t="str">
        <f>VLOOKUP($D283,'[2]product Table data'!$A$2:$G$12,M$1,FALSE)</f>
        <v>Ethiopia</v>
      </c>
      <c r="N283" t="str">
        <f>VLOOKUP($D283,'[2]product Table data'!$A$2:$G$12,N$1,FALSE)</f>
        <v>Africa</v>
      </c>
      <c r="O283">
        <f>VLOOKUP($D283,'[2]product Table data'!$A$2:$G$12,O$1,FALSE)</f>
        <v>10</v>
      </c>
      <c r="P283">
        <f>VLOOKUP($D283,'[2]product Table data'!$A$2:$G$12,P$1,FALSE)</f>
        <v>20</v>
      </c>
      <c r="Q283">
        <f t="shared" si="20"/>
        <v>10</v>
      </c>
      <c r="R283" t="str">
        <f t="shared" si="21"/>
        <v>Hub Risk</v>
      </c>
      <c r="S283" t="str">
        <f t="shared" si="22"/>
        <v>Style Risk</v>
      </c>
      <c r="T283" t="str">
        <f t="shared" si="23"/>
        <v>Risk</v>
      </c>
      <c r="U283" t="str">
        <f t="shared" si="24"/>
        <v>High Value</v>
      </c>
    </row>
    <row r="284" spans="1:21" hidden="1" x14ac:dyDescent="0.2">
      <c r="A284" s="2">
        <v>1086</v>
      </c>
      <c r="B284" s="2" t="s">
        <v>9</v>
      </c>
      <c r="C284" s="2" t="s">
        <v>466</v>
      </c>
      <c r="D284" s="2" t="s">
        <v>11</v>
      </c>
      <c r="E284" s="2">
        <v>80123</v>
      </c>
      <c r="F284" s="2" t="s">
        <v>467</v>
      </c>
      <c r="G284" s="2" t="s">
        <v>13</v>
      </c>
      <c r="H284" s="2">
        <v>1</v>
      </c>
      <c r="I284" s="2" t="s">
        <v>39</v>
      </c>
      <c r="J284" s="2" t="str">
        <f>VLOOKUP(E284,[1]LL_Hub!$A$1:$B$13,2,FALSE)</f>
        <v>Denver</v>
      </c>
      <c r="K284" t="str">
        <f>VLOOKUP(D284,'[2]product Table data'!$A$2:$B$12,2,FALSE)</f>
        <v>Male</v>
      </c>
      <c r="L284" t="str">
        <f>VLOOKUP($D284,'[2]product Table data'!$A$2:$G$12,L$1,FALSE)</f>
        <v>Casual n Light</v>
      </c>
      <c r="M284" t="str">
        <f>VLOOKUP($D284,'[2]product Table data'!$A$2:$G$12,M$1,FALSE)</f>
        <v>Ethiopia</v>
      </c>
      <c r="N284" t="str">
        <f>VLOOKUP($D284,'[2]product Table data'!$A$2:$G$12,N$1,FALSE)</f>
        <v>Africa</v>
      </c>
      <c r="O284">
        <f>VLOOKUP($D284,'[2]product Table data'!$A$2:$G$12,O$1,FALSE)</f>
        <v>10</v>
      </c>
      <c r="P284">
        <f>VLOOKUP($D284,'[2]product Table data'!$A$2:$G$12,P$1,FALSE)</f>
        <v>20</v>
      </c>
      <c r="Q284">
        <f t="shared" si="20"/>
        <v>10</v>
      </c>
      <c r="R284" t="str">
        <f t="shared" si="21"/>
        <v>Hub Risk</v>
      </c>
      <c r="S284" t="str">
        <f t="shared" si="22"/>
        <v>Style Risk</v>
      </c>
      <c r="T284" t="str">
        <f t="shared" si="23"/>
        <v>Risk</v>
      </c>
      <c r="U284" t="str">
        <f t="shared" si="24"/>
        <v>High Value</v>
      </c>
    </row>
    <row r="285" spans="1:21" hidden="1" x14ac:dyDescent="0.2">
      <c r="A285" s="2">
        <v>1087</v>
      </c>
      <c r="B285" s="2" t="s">
        <v>9</v>
      </c>
      <c r="C285" s="2" t="s">
        <v>468</v>
      </c>
      <c r="D285" s="2" t="s">
        <v>11</v>
      </c>
      <c r="E285" s="2">
        <v>80123</v>
      </c>
      <c r="F285" s="2" t="s">
        <v>469</v>
      </c>
      <c r="G285" s="2" t="s">
        <v>13</v>
      </c>
      <c r="H285" s="2">
        <v>1</v>
      </c>
      <c r="I285" s="2" t="s">
        <v>39</v>
      </c>
      <c r="J285" s="2" t="str">
        <f>VLOOKUP(E285,[1]LL_Hub!$A$1:$B$13,2,FALSE)</f>
        <v>Denver</v>
      </c>
      <c r="K285" t="str">
        <f>VLOOKUP(D285,'[2]product Table data'!$A$2:$B$12,2,FALSE)</f>
        <v>Male</v>
      </c>
      <c r="L285" t="str">
        <f>VLOOKUP($D285,'[2]product Table data'!$A$2:$G$12,L$1,FALSE)</f>
        <v>Casual n Light</v>
      </c>
      <c r="M285" t="str">
        <f>VLOOKUP($D285,'[2]product Table data'!$A$2:$G$12,M$1,FALSE)</f>
        <v>Ethiopia</v>
      </c>
      <c r="N285" t="str">
        <f>VLOOKUP($D285,'[2]product Table data'!$A$2:$G$12,N$1,FALSE)</f>
        <v>Africa</v>
      </c>
      <c r="O285">
        <f>VLOOKUP($D285,'[2]product Table data'!$A$2:$G$12,O$1,FALSE)</f>
        <v>10</v>
      </c>
      <c r="P285">
        <f>VLOOKUP($D285,'[2]product Table data'!$A$2:$G$12,P$1,FALSE)</f>
        <v>20</v>
      </c>
      <c r="Q285">
        <f t="shared" si="20"/>
        <v>10</v>
      </c>
      <c r="R285" t="str">
        <f t="shared" si="21"/>
        <v>Hub Risk</v>
      </c>
      <c r="S285" t="str">
        <f t="shared" si="22"/>
        <v>Style Risk</v>
      </c>
      <c r="T285" t="str">
        <f t="shared" si="23"/>
        <v>Risk</v>
      </c>
      <c r="U285" t="str">
        <f t="shared" si="24"/>
        <v>High Value</v>
      </c>
    </row>
    <row r="286" spans="1:21" hidden="1" x14ac:dyDescent="0.2">
      <c r="A286" s="2">
        <v>1088</v>
      </c>
      <c r="B286" s="2" t="s">
        <v>9</v>
      </c>
      <c r="C286" s="2" t="s">
        <v>470</v>
      </c>
      <c r="D286" s="2" t="s">
        <v>11</v>
      </c>
      <c r="E286" s="2">
        <v>80123</v>
      </c>
      <c r="F286" s="2" t="s">
        <v>471</v>
      </c>
      <c r="G286" s="2" t="s">
        <v>13</v>
      </c>
      <c r="H286" s="2">
        <v>1</v>
      </c>
      <c r="I286" s="2" t="s">
        <v>39</v>
      </c>
      <c r="J286" s="2" t="str">
        <f>VLOOKUP(E286,[1]LL_Hub!$A$1:$B$13,2,FALSE)</f>
        <v>Denver</v>
      </c>
      <c r="K286" t="str">
        <f>VLOOKUP(D286,'[2]product Table data'!$A$2:$B$12,2,FALSE)</f>
        <v>Male</v>
      </c>
      <c r="L286" t="str">
        <f>VLOOKUP($D286,'[2]product Table data'!$A$2:$G$12,L$1,FALSE)</f>
        <v>Casual n Light</v>
      </c>
      <c r="M286" t="str">
        <f>VLOOKUP($D286,'[2]product Table data'!$A$2:$G$12,M$1,FALSE)</f>
        <v>Ethiopia</v>
      </c>
      <c r="N286" t="str">
        <f>VLOOKUP($D286,'[2]product Table data'!$A$2:$G$12,N$1,FALSE)</f>
        <v>Africa</v>
      </c>
      <c r="O286">
        <f>VLOOKUP($D286,'[2]product Table data'!$A$2:$G$12,O$1,FALSE)</f>
        <v>10</v>
      </c>
      <c r="P286">
        <f>VLOOKUP($D286,'[2]product Table data'!$A$2:$G$12,P$1,FALSE)</f>
        <v>20</v>
      </c>
      <c r="Q286">
        <f t="shared" si="20"/>
        <v>10</v>
      </c>
      <c r="R286" t="str">
        <f t="shared" si="21"/>
        <v>Hub Risk</v>
      </c>
      <c r="S286" t="str">
        <f t="shared" si="22"/>
        <v>Style Risk</v>
      </c>
      <c r="T286" t="str">
        <f t="shared" si="23"/>
        <v>Risk</v>
      </c>
      <c r="U286" t="str">
        <f t="shared" si="24"/>
        <v>High Value</v>
      </c>
    </row>
    <row r="287" spans="1:21" hidden="1" x14ac:dyDescent="0.2">
      <c r="A287" s="2">
        <v>1089</v>
      </c>
      <c r="B287" s="2" t="s">
        <v>9</v>
      </c>
      <c r="C287" s="2" t="s">
        <v>472</v>
      </c>
      <c r="D287" s="2" t="s">
        <v>11</v>
      </c>
      <c r="E287" s="2">
        <v>80123</v>
      </c>
      <c r="F287" s="2" t="s">
        <v>473</v>
      </c>
      <c r="G287" s="2" t="s">
        <v>13</v>
      </c>
      <c r="H287" s="2">
        <v>1</v>
      </c>
      <c r="I287" s="2" t="s">
        <v>39</v>
      </c>
      <c r="J287" s="2" t="str">
        <f>VLOOKUP(E287,[1]LL_Hub!$A$1:$B$13,2,FALSE)</f>
        <v>Denver</v>
      </c>
      <c r="K287" t="str">
        <f>VLOOKUP(D287,'[2]product Table data'!$A$2:$B$12,2,FALSE)</f>
        <v>Male</v>
      </c>
      <c r="L287" t="str">
        <f>VLOOKUP($D287,'[2]product Table data'!$A$2:$G$12,L$1,FALSE)</f>
        <v>Casual n Light</v>
      </c>
      <c r="M287" t="str">
        <f>VLOOKUP($D287,'[2]product Table data'!$A$2:$G$12,M$1,FALSE)</f>
        <v>Ethiopia</v>
      </c>
      <c r="N287" t="str">
        <f>VLOOKUP($D287,'[2]product Table data'!$A$2:$G$12,N$1,FALSE)</f>
        <v>Africa</v>
      </c>
      <c r="O287">
        <f>VLOOKUP($D287,'[2]product Table data'!$A$2:$G$12,O$1,FALSE)</f>
        <v>10</v>
      </c>
      <c r="P287">
        <f>VLOOKUP($D287,'[2]product Table data'!$A$2:$G$12,P$1,FALSE)</f>
        <v>20</v>
      </c>
      <c r="Q287">
        <f t="shared" si="20"/>
        <v>10</v>
      </c>
      <c r="R287" t="str">
        <f t="shared" si="21"/>
        <v>Hub Risk</v>
      </c>
      <c r="S287" t="str">
        <f t="shared" si="22"/>
        <v>Style Risk</v>
      </c>
      <c r="T287" t="str">
        <f t="shared" si="23"/>
        <v>Risk</v>
      </c>
      <c r="U287" t="str">
        <f t="shared" si="24"/>
        <v>High Value</v>
      </c>
    </row>
    <row r="288" spans="1:21" x14ac:dyDescent="0.2">
      <c r="A288" s="2">
        <v>405</v>
      </c>
      <c r="B288" s="2" t="s">
        <v>9</v>
      </c>
      <c r="C288" s="2" t="s">
        <v>990</v>
      </c>
      <c r="D288" s="2" t="s">
        <v>558</v>
      </c>
      <c r="E288" s="2">
        <v>90005</v>
      </c>
      <c r="F288" s="2" t="s">
        <v>991</v>
      </c>
      <c r="G288" s="2" t="s">
        <v>13</v>
      </c>
      <c r="H288" s="2">
        <v>1</v>
      </c>
      <c r="I288" s="2" t="s">
        <v>14</v>
      </c>
      <c r="J288" s="2" t="str">
        <f>VLOOKUP(E288,[1]LL_Hub!$A$1:$B$13,2,FALSE)</f>
        <v>Los Angeles</v>
      </c>
      <c r="K288" t="str">
        <f>VLOOKUP(D288,'[2]product Table data'!$A$2:$B$12,2,FALSE)</f>
        <v>Female</v>
      </c>
      <c r="L288" t="str">
        <f>VLOOKUP($D288,'[2]product Table data'!$A$2:$G$12,L$1,FALSE)</f>
        <v>Fancy Sheek</v>
      </c>
      <c r="M288" t="str">
        <f>VLOOKUP($D288,'[2]product Table data'!$A$2:$G$12,M$1,FALSE)</f>
        <v>Afghanistan</v>
      </c>
      <c r="N288" t="str">
        <f>VLOOKUP($D288,'[2]product Table data'!$A$2:$G$12,N$1,FALSE)</f>
        <v>Middle East</v>
      </c>
      <c r="O288">
        <f>VLOOKUP($D288,'[2]product Table data'!$A$2:$G$12,O$1,FALSE)</f>
        <v>150</v>
      </c>
      <c r="P288">
        <f>VLOOKUP($D288,'[2]product Table data'!$A$2:$G$12,P$1,FALSE)</f>
        <v>75</v>
      </c>
      <c r="Q288">
        <f t="shared" si="20"/>
        <v>-75</v>
      </c>
      <c r="R288" t="str">
        <f t="shared" si="21"/>
        <v>Hub Risk</v>
      </c>
      <c r="S288" t="str">
        <f t="shared" si="22"/>
        <v>Style Risk</v>
      </c>
      <c r="T288" t="str">
        <f t="shared" si="23"/>
        <v>Risk</v>
      </c>
      <c r="U288" t="str">
        <f t="shared" si="24"/>
        <v>Low Value</v>
      </c>
    </row>
    <row r="289" spans="1:21" hidden="1" x14ac:dyDescent="0.2">
      <c r="A289" s="2">
        <v>1091</v>
      </c>
      <c r="B289" s="2" t="s">
        <v>9</v>
      </c>
      <c r="C289" s="2" t="s">
        <v>476</v>
      </c>
      <c r="D289" s="2" t="s">
        <v>11</v>
      </c>
      <c r="E289" s="2">
        <v>10022</v>
      </c>
      <c r="F289" s="2" t="s">
        <v>35</v>
      </c>
      <c r="G289" s="2" t="s">
        <v>36</v>
      </c>
      <c r="H289" s="2">
        <v>1</v>
      </c>
      <c r="I289" s="2" t="s">
        <v>17</v>
      </c>
      <c r="J289" s="2" t="str">
        <f>VLOOKUP(E289,[1]LL_Hub!$A$1:$B$13,2,FALSE)</f>
        <v>New York</v>
      </c>
      <c r="K289" t="str">
        <f>VLOOKUP(D289,'[2]product Table data'!$A$2:$B$12,2,FALSE)</f>
        <v>Male</v>
      </c>
      <c r="L289" t="str">
        <f>VLOOKUP($D289,'[2]product Table data'!$A$2:$G$12,L$1,FALSE)</f>
        <v>Casual n Light</v>
      </c>
      <c r="M289" t="str">
        <f>VLOOKUP($D289,'[2]product Table data'!$A$2:$G$12,M$1,FALSE)</f>
        <v>Ethiopia</v>
      </c>
      <c r="N289" t="str">
        <f>VLOOKUP($D289,'[2]product Table data'!$A$2:$G$12,N$1,FALSE)</f>
        <v>Africa</v>
      </c>
      <c r="O289">
        <f>VLOOKUP($D289,'[2]product Table data'!$A$2:$G$12,O$1,FALSE)</f>
        <v>10</v>
      </c>
      <c r="P289">
        <f>VLOOKUP($D289,'[2]product Table data'!$A$2:$G$12,P$1,FALSE)</f>
        <v>20</v>
      </c>
      <c r="Q289">
        <f t="shared" si="20"/>
        <v>10</v>
      </c>
      <c r="R289" t="str">
        <f t="shared" si="21"/>
        <v>-</v>
      </c>
      <c r="S289" t="str">
        <f t="shared" si="22"/>
        <v>Style Risk</v>
      </c>
      <c r="T289" t="str">
        <f t="shared" si="23"/>
        <v>-</v>
      </c>
      <c r="U289" t="str">
        <f t="shared" si="24"/>
        <v>High Value</v>
      </c>
    </row>
    <row r="290" spans="1:21" hidden="1" x14ac:dyDescent="0.2">
      <c r="A290" s="2">
        <v>1092</v>
      </c>
      <c r="B290" s="2" t="s">
        <v>9</v>
      </c>
      <c r="C290" s="2" t="s">
        <v>477</v>
      </c>
      <c r="D290" s="2" t="s">
        <v>11</v>
      </c>
      <c r="E290" s="2">
        <v>80123</v>
      </c>
      <c r="F290" s="2" t="s">
        <v>478</v>
      </c>
      <c r="G290" s="2" t="s">
        <v>13</v>
      </c>
      <c r="H290" s="2">
        <v>1</v>
      </c>
      <c r="I290" s="2" t="s">
        <v>39</v>
      </c>
      <c r="J290" s="2" t="str">
        <f>VLOOKUP(E290,[1]LL_Hub!$A$1:$B$13,2,FALSE)</f>
        <v>Denver</v>
      </c>
      <c r="K290" t="str">
        <f>VLOOKUP(D290,'[2]product Table data'!$A$2:$B$12,2,FALSE)</f>
        <v>Male</v>
      </c>
      <c r="L290" t="str">
        <f>VLOOKUP($D290,'[2]product Table data'!$A$2:$G$12,L$1,FALSE)</f>
        <v>Casual n Light</v>
      </c>
      <c r="M290" t="str">
        <f>VLOOKUP($D290,'[2]product Table data'!$A$2:$G$12,M$1,FALSE)</f>
        <v>Ethiopia</v>
      </c>
      <c r="N290" t="str">
        <f>VLOOKUP($D290,'[2]product Table data'!$A$2:$G$12,N$1,FALSE)</f>
        <v>Africa</v>
      </c>
      <c r="O290">
        <f>VLOOKUP($D290,'[2]product Table data'!$A$2:$G$12,O$1,FALSE)</f>
        <v>10</v>
      </c>
      <c r="P290">
        <f>VLOOKUP($D290,'[2]product Table data'!$A$2:$G$12,P$1,FALSE)</f>
        <v>20</v>
      </c>
      <c r="Q290">
        <f t="shared" si="20"/>
        <v>10</v>
      </c>
      <c r="R290" t="str">
        <f t="shared" si="21"/>
        <v>Hub Risk</v>
      </c>
      <c r="S290" t="str">
        <f t="shared" si="22"/>
        <v>Style Risk</v>
      </c>
      <c r="T290" t="str">
        <f t="shared" si="23"/>
        <v>Risk</v>
      </c>
      <c r="U290" t="str">
        <f t="shared" si="24"/>
        <v>High Value</v>
      </c>
    </row>
    <row r="291" spans="1:21" hidden="1" x14ac:dyDescent="0.2">
      <c r="A291" s="2">
        <v>1093</v>
      </c>
      <c r="B291" s="2" t="s">
        <v>9</v>
      </c>
      <c r="C291" s="2" t="s">
        <v>479</v>
      </c>
      <c r="D291" s="2" t="s">
        <v>11</v>
      </c>
      <c r="E291" s="2">
        <v>80123</v>
      </c>
      <c r="F291" s="2" t="s">
        <v>480</v>
      </c>
      <c r="G291" s="2" t="s">
        <v>13</v>
      </c>
      <c r="H291" s="2">
        <v>1</v>
      </c>
      <c r="I291" s="2" t="s">
        <v>39</v>
      </c>
      <c r="J291" s="2" t="str">
        <f>VLOOKUP(E291,[1]LL_Hub!$A$1:$B$13,2,FALSE)</f>
        <v>Denver</v>
      </c>
      <c r="K291" t="str">
        <f>VLOOKUP(D291,'[2]product Table data'!$A$2:$B$12,2,FALSE)</f>
        <v>Male</v>
      </c>
      <c r="L291" t="str">
        <f>VLOOKUP($D291,'[2]product Table data'!$A$2:$G$12,L$1,FALSE)</f>
        <v>Casual n Light</v>
      </c>
      <c r="M291" t="str">
        <f>VLOOKUP($D291,'[2]product Table data'!$A$2:$G$12,M$1,FALSE)</f>
        <v>Ethiopia</v>
      </c>
      <c r="N291" t="str">
        <f>VLOOKUP($D291,'[2]product Table data'!$A$2:$G$12,N$1,FALSE)</f>
        <v>Africa</v>
      </c>
      <c r="O291">
        <f>VLOOKUP($D291,'[2]product Table data'!$A$2:$G$12,O$1,FALSE)</f>
        <v>10</v>
      </c>
      <c r="P291">
        <f>VLOOKUP($D291,'[2]product Table data'!$A$2:$G$12,P$1,FALSE)</f>
        <v>20</v>
      </c>
      <c r="Q291">
        <f t="shared" si="20"/>
        <v>10</v>
      </c>
      <c r="R291" t="str">
        <f t="shared" si="21"/>
        <v>Hub Risk</v>
      </c>
      <c r="S291" t="str">
        <f t="shared" si="22"/>
        <v>Style Risk</v>
      </c>
      <c r="T291" t="str">
        <f t="shared" si="23"/>
        <v>Risk</v>
      </c>
      <c r="U291" t="str">
        <f t="shared" si="24"/>
        <v>High Value</v>
      </c>
    </row>
    <row r="292" spans="1:21" x14ac:dyDescent="0.2">
      <c r="A292" s="2">
        <v>406</v>
      </c>
      <c r="B292" s="2" t="s">
        <v>9</v>
      </c>
      <c r="C292" s="2" t="s">
        <v>992</v>
      </c>
      <c r="D292" s="2" t="s">
        <v>558</v>
      </c>
      <c r="E292" s="2">
        <v>90005</v>
      </c>
      <c r="F292" s="2" t="s">
        <v>981</v>
      </c>
      <c r="G292" s="2" t="s">
        <v>36</v>
      </c>
      <c r="H292" s="2">
        <v>1</v>
      </c>
      <c r="I292" s="2" t="s">
        <v>14</v>
      </c>
      <c r="J292" s="2" t="str">
        <f>VLOOKUP(E292,[1]LL_Hub!$A$1:$B$13,2,FALSE)</f>
        <v>Los Angeles</v>
      </c>
      <c r="K292" t="str">
        <f>VLOOKUP(D292,'[2]product Table data'!$A$2:$B$12,2,FALSE)</f>
        <v>Female</v>
      </c>
      <c r="L292" t="str">
        <f>VLOOKUP($D292,'[2]product Table data'!$A$2:$G$12,L$1,FALSE)</f>
        <v>Fancy Sheek</v>
      </c>
      <c r="M292" t="str">
        <f>VLOOKUP($D292,'[2]product Table data'!$A$2:$G$12,M$1,FALSE)</f>
        <v>Afghanistan</v>
      </c>
      <c r="N292" t="str">
        <f>VLOOKUP($D292,'[2]product Table data'!$A$2:$G$12,N$1,FALSE)</f>
        <v>Middle East</v>
      </c>
      <c r="O292">
        <f>VLOOKUP($D292,'[2]product Table data'!$A$2:$G$12,O$1,FALSE)</f>
        <v>150</v>
      </c>
      <c r="P292">
        <f>VLOOKUP($D292,'[2]product Table data'!$A$2:$G$12,P$1,FALSE)</f>
        <v>75</v>
      </c>
      <c r="Q292">
        <f t="shared" si="20"/>
        <v>-75</v>
      </c>
      <c r="R292" t="str">
        <f t="shared" si="21"/>
        <v>Hub Risk</v>
      </c>
      <c r="S292" t="str">
        <f t="shared" si="22"/>
        <v>Style Risk</v>
      </c>
      <c r="T292" t="str">
        <f t="shared" si="23"/>
        <v>Risk</v>
      </c>
      <c r="U292" t="str">
        <f t="shared" si="24"/>
        <v>Low Value</v>
      </c>
    </row>
    <row r="293" spans="1:21" hidden="1" x14ac:dyDescent="0.2">
      <c r="A293" s="2">
        <v>1095</v>
      </c>
      <c r="B293" s="2" t="s">
        <v>9</v>
      </c>
      <c r="C293" s="2" t="s">
        <v>483</v>
      </c>
      <c r="D293" s="2" t="s">
        <v>11</v>
      </c>
      <c r="E293" s="2">
        <v>80123</v>
      </c>
      <c r="F293" s="2" t="s">
        <v>484</v>
      </c>
      <c r="G293" s="2" t="s">
        <v>13</v>
      </c>
      <c r="H293" s="2">
        <v>1</v>
      </c>
      <c r="I293" s="2" t="s">
        <v>39</v>
      </c>
      <c r="J293" s="2" t="str">
        <f>VLOOKUP(E293,[1]LL_Hub!$A$1:$B$13,2,FALSE)</f>
        <v>Denver</v>
      </c>
      <c r="K293" t="str">
        <f>VLOOKUP(D293,'[2]product Table data'!$A$2:$B$12,2,FALSE)</f>
        <v>Male</v>
      </c>
      <c r="L293" t="str">
        <f>VLOOKUP($D293,'[2]product Table data'!$A$2:$G$12,L$1,FALSE)</f>
        <v>Casual n Light</v>
      </c>
      <c r="M293" t="str">
        <f>VLOOKUP($D293,'[2]product Table data'!$A$2:$G$12,M$1,FALSE)</f>
        <v>Ethiopia</v>
      </c>
      <c r="N293" t="str">
        <f>VLOOKUP($D293,'[2]product Table data'!$A$2:$G$12,N$1,FALSE)</f>
        <v>Africa</v>
      </c>
      <c r="O293">
        <f>VLOOKUP($D293,'[2]product Table data'!$A$2:$G$12,O$1,FALSE)</f>
        <v>10</v>
      </c>
      <c r="P293">
        <f>VLOOKUP($D293,'[2]product Table data'!$A$2:$G$12,P$1,FALSE)</f>
        <v>20</v>
      </c>
      <c r="Q293">
        <f t="shared" si="20"/>
        <v>10</v>
      </c>
      <c r="R293" t="str">
        <f t="shared" si="21"/>
        <v>Hub Risk</v>
      </c>
      <c r="S293" t="str">
        <f t="shared" si="22"/>
        <v>Style Risk</v>
      </c>
      <c r="T293" t="str">
        <f t="shared" si="23"/>
        <v>Risk</v>
      </c>
      <c r="U293" t="str">
        <f t="shared" si="24"/>
        <v>High Value</v>
      </c>
    </row>
    <row r="294" spans="1:21" hidden="1" x14ac:dyDescent="0.2">
      <c r="A294" s="2">
        <v>1096</v>
      </c>
      <c r="B294" s="2" t="s">
        <v>9</v>
      </c>
      <c r="C294" s="2" t="s">
        <v>485</v>
      </c>
      <c r="D294" s="2" t="s">
        <v>11</v>
      </c>
      <c r="E294" s="2">
        <v>80123</v>
      </c>
      <c r="F294" s="2" t="s">
        <v>486</v>
      </c>
      <c r="G294" s="2" t="s">
        <v>13</v>
      </c>
      <c r="H294" s="2">
        <v>1</v>
      </c>
      <c r="I294" s="2" t="s">
        <v>39</v>
      </c>
      <c r="J294" s="2" t="str">
        <f>VLOOKUP(E294,[1]LL_Hub!$A$1:$B$13,2,FALSE)</f>
        <v>Denver</v>
      </c>
      <c r="K294" t="str">
        <f>VLOOKUP(D294,'[2]product Table data'!$A$2:$B$12,2,FALSE)</f>
        <v>Male</v>
      </c>
      <c r="L294" t="str">
        <f>VLOOKUP($D294,'[2]product Table data'!$A$2:$G$12,L$1,FALSE)</f>
        <v>Casual n Light</v>
      </c>
      <c r="M294" t="str">
        <f>VLOOKUP($D294,'[2]product Table data'!$A$2:$G$12,M$1,FALSE)</f>
        <v>Ethiopia</v>
      </c>
      <c r="N294" t="str">
        <f>VLOOKUP($D294,'[2]product Table data'!$A$2:$G$12,N$1,FALSE)</f>
        <v>Africa</v>
      </c>
      <c r="O294">
        <f>VLOOKUP($D294,'[2]product Table data'!$A$2:$G$12,O$1,FALSE)</f>
        <v>10</v>
      </c>
      <c r="P294">
        <f>VLOOKUP($D294,'[2]product Table data'!$A$2:$G$12,P$1,FALSE)</f>
        <v>20</v>
      </c>
      <c r="Q294">
        <f t="shared" si="20"/>
        <v>10</v>
      </c>
      <c r="R294" t="str">
        <f t="shared" si="21"/>
        <v>Hub Risk</v>
      </c>
      <c r="S294" t="str">
        <f t="shared" si="22"/>
        <v>Style Risk</v>
      </c>
      <c r="T294" t="str">
        <f t="shared" si="23"/>
        <v>Risk</v>
      </c>
      <c r="U294" t="str">
        <f t="shared" si="24"/>
        <v>High Value</v>
      </c>
    </row>
    <row r="295" spans="1:21" x14ac:dyDescent="0.2">
      <c r="A295" s="2">
        <v>407</v>
      </c>
      <c r="B295" s="2" t="s">
        <v>9</v>
      </c>
      <c r="C295" s="2" t="s">
        <v>993</v>
      </c>
      <c r="D295" s="2" t="s">
        <v>558</v>
      </c>
      <c r="E295" s="2">
        <v>90005</v>
      </c>
      <c r="F295" s="2" t="s">
        <v>981</v>
      </c>
      <c r="G295" s="2" t="s">
        <v>36</v>
      </c>
      <c r="H295" s="2">
        <v>1</v>
      </c>
      <c r="I295" s="2" t="s">
        <v>14</v>
      </c>
      <c r="J295" s="2" t="str">
        <f>VLOOKUP(E295,[1]LL_Hub!$A$1:$B$13,2,FALSE)</f>
        <v>Los Angeles</v>
      </c>
      <c r="K295" t="str">
        <f>VLOOKUP(D295,'[2]product Table data'!$A$2:$B$12,2,FALSE)</f>
        <v>Female</v>
      </c>
      <c r="L295" t="str">
        <f>VLOOKUP($D295,'[2]product Table data'!$A$2:$G$12,L$1,FALSE)</f>
        <v>Fancy Sheek</v>
      </c>
      <c r="M295" t="str">
        <f>VLOOKUP($D295,'[2]product Table data'!$A$2:$G$12,M$1,FALSE)</f>
        <v>Afghanistan</v>
      </c>
      <c r="N295" t="str">
        <f>VLOOKUP($D295,'[2]product Table data'!$A$2:$G$12,N$1,FALSE)</f>
        <v>Middle East</v>
      </c>
      <c r="O295">
        <f>VLOOKUP($D295,'[2]product Table data'!$A$2:$G$12,O$1,FALSE)</f>
        <v>150</v>
      </c>
      <c r="P295">
        <f>VLOOKUP($D295,'[2]product Table data'!$A$2:$G$12,P$1,FALSE)</f>
        <v>75</v>
      </c>
      <c r="Q295">
        <f t="shared" si="20"/>
        <v>-75</v>
      </c>
      <c r="R295" t="str">
        <f t="shared" si="21"/>
        <v>Hub Risk</v>
      </c>
      <c r="S295" t="str">
        <f t="shared" si="22"/>
        <v>Style Risk</v>
      </c>
      <c r="T295" t="str">
        <f t="shared" si="23"/>
        <v>Risk</v>
      </c>
      <c r="U295" t="str">
        <f t="shared" si="24"/>
        <v>Low Value</v>
      </c>
    </row>
    <row r="296" spans="1:21" hidden="1" x14ac:dyDescent="0.2">
      <c r="A296" s="2">
        <v>1098</v>
      </c>
      <c r="B296" s="2" t="s">
        <v>9</v>
      </c>
      <c r="C296" s="2" t="s">
        <v>489</v>
      </c>
      <c r="D296" s="2" t="s">
        <v>11</v>
      </c>
      <c r="E296" s="2">
        <v>80123</v>
      </c>
      <c r="F296" s="2" t="s">
        <v>490</v>
      </c>
      <c r="G296" s="2" t="s">
        <v>13</v>
      </c>
      <c r="H296" s="2">
        <v>1</v>
      </c>
      <c r="I296" s="2" t="s">
        <v>39</v>
      </c>
      <c r="J296" s="2" t="str">
        <f>VLOOKUP(E296,[1]LL_Hub!$A$1:$B$13,2,FALSE)</f>
        <v>Denver</v>
      </c>
      <c r="K296" t="str">
        <f>VLOOKUP(D296,'[2]product Table data'!$A$2:$B$12,2,FALSE)</f>
        <v>Male</v>
      </c>
      <c r="L296" t="str">
        <f>VLOOKUP($D296,'[2]product Table data'!$A$2:$G$12,L$1,FALSE)</f>
        <v>Casual n Light</v>
      </c>
      <c r="M296" t="str">
        <f>VLOOKUP($D296,'[2]product Table data'!$A$2:$G$12,M$1,FALSE)</f>
        <v>Ethiopia</v>
      </c>
      <c r="N296" t="str">
        <f>VLOOKUP($D296,'[2]product Table data'!$A$2:$G$12,N$1,FALSE)</f>
        <v>Africa</v>
      </c>
      <c r="O296">
        <f>VLOOKUP($D296,'[2]product Table data'!$A$2:$G$12,O$1,FALSE)</f>
        <v>10</v>
      </c>
      <c r="P296">
        <f>VLOOKUP($D296,'[2]product Table data'!$A$2:$G$12,P$1,FALSE)</f>
        <v>20</v>
      </c>
      <c r="Q296">
        <f t="shared" si="20"/>
        <v>10</v>
      </c>
      <c r="R296" t="str">
        <f t="shared" si="21"/>
        <v>Hub Risk</v>
      </c>
      <c r="S296" t="str">
        <f t="shared" si="22"/>
        <v>Style Risk</v>
      </c>
      <c r="T296" t="str">
        <f t="shared" si="23"/>
        <v>Risk</v>
      </c>
      <c r="U296" t="str">
        <f t="shared" si="24"/>
        <v>High Value</v>
      </c>
    </row>
    <row r="297" spans="1:21" x14ac:dyDescent="0.2">
      <c r="A297" s="2">
        <v>408</v>
      </c>
      <c r="B297" s="2" t="s">
        <v>9</v>
      </c>
      <c r="C297" s="2" t="s">
        <v>994</v>
      </c>
      <c r="D297" s="2" t="s">
        <v>558</v>
      </c>
      <c r="E297" s="2">
        <v>90005</v>
      </c>
      <c r="F297" s="2" t="s">
        <v>981</v>
      </c>
      <c r="G297" s="2" t="s">
        <v>36</v>
      </c>
      <c r="H297" s="2">
        <v>1</v>
      </c>
      <c r="I297" s="2" t="s">
        <v>14</v>
      </c>
      <c r="J297" s="2" t="str">
        <f>VLOOKUP(E297,[1]LL_Hub!$A$1:$B$13,2,FALSE)</f>
        <v>Los Angeles</v>
      </c>
      <c r="K297" t="str">
        <f>VLOOKUP(D297,'[2]product Table data'!$A$2:$B$12,2,FALSE)</f>
        <v>Female</v>
      </c>
      <c r="L297" t="str">
        <f>VLOOKUP($D297,'[2]product Table data'!$A$2:$G$12,L$1,FALSE)</f>
        <v>Fancy Sheek</v>
      </c>
      <c r="M297" t="str">
        <f>VLOOKUP($D297,'[2]product Table data'!$A$2:$G$12,M$1,FALSE)</f>
        <v>Afghanistan</v>
      </c>
      <c r="N297" t="str">
        <f>VLOOKUP($D297,'[2]product Table data'!$A$2:$G$12,N$1,FALSE)</f>
        <v>Middle East</v>
      </c>
      <c r="O297">
        <f>VLOOKUP($D297,'[2]product Table data'!$A$2:$G$12,O$1,FALSE)</f>
        <v>150</v>
      </c>
      <c r="P297">
        <f>VLOOKUP($D297,'[2]product Table data'!$A$2:$G$12,P$1,FALSE)</f>
        <v>75</v>
      </c>
      <c r="Q297">
        <f t="shared" si="20"/>
        <v>-75</v>
      </c>
      <c r="R297" t="str">
        <f t="shared" si="21"/>
        <v>Hub Risk</v>
      </c>
      <c r="S297" t="str">
        <f t="shared" si="22"/>
        <v>Style Risk</v>
      </c>
      <c r="T297" t="str">
        <f t="shared" si="23"/>
        <v>Risk</v>
      </c>
      <c r="U297" t="str">
        <f t="shared" si="24"/>
        <v>Low Value</v>
      </c>
    </row>
    <row r="298" spans="1:21" hidden="1" x14ac:dyDescent="0.2">
      <c r="A298" s="2">
        <v>1100</v>
      </c>
      <c r="B298" s="2" t="s">
        <v>9</v>
      </c>
      <c r="C298" s="2" t="s">
        <v>493</v>
      </c>
      <c r="D298" s="2" t="s">
        <v>11</v>
      </c>
      <c r="E298" s="2">
        <v>80123</v>
      </c>
      <c r="F298" s="2" t="s">
        <v>494</v>
      </c>
      <c r="G298" s="2" t="s">
        <v>13</v>
      </c>
      <c r="H298" s="2">
        <v>1</v>
      </c>
      <c r="I298" s="2" t="s">
        <v>39</v>
      </c>
      <c r="J298" s="2" t="str">
        <f>VLOOKUP(E298,[1]LL_Hub!$A$1:$B$13,2,FALSE)</f>
        <v>Denver</v>
      </c>
      <c r="K298" t="str">
        <f>VLOOKUP(D298,'[2]product Table data'!$A$2:$B$12,2,FALSE)</f>
        <v>Male</v>
      </c>
      <c r="L298" t="str">
        <f>VLOOKUP($D298,'[2]product Table data'!$A$2:$G$12,L$1,FALSE)</f>
        <v>Casual n Light</v>
      </c>
      <c r="M298" t="str">
        <f>VLOOKUP($D298,'[2]product Table data'!$A$2:$G$12,M$1,FALSE)</f>
        <v>Ethiopia</v>
      </c>
      <c r="N298" t="str">
        <f>VLOOKUP($D298,'[2]product Table data'!$A$2:$G$12,N$1,FALSE)</f>
        <v>Africa</v>
      </c>
      <c r="O298">
        <f>VLOOKUP($D298,'[2]product Table data'!$A$2:$G$12,O$1,FALSE)</f>
        <v>10</v>
      </c>
      <c r="P298">
        <f>VLOOKUP($D298,'[2]product Table data'!$A$2:$G$12,P$1,FALSE)</f>
        <v>20</v>
      </c>
      <c r="Q298">
        <f t="shared" si="20"/>
        <v>10</v>
      </c>
      <c r="R298" t="str">
        <f t="shared" si="21"/>
        <v>Hub Risk</v>
      </c>
      <c r="S298" t="str">
        <f t="shared" si="22"/>
        <v>Style Risk</v>
      </c>
      <c r="T298" t="str">
        <f t="shared" si="23"/>
        <v>Risk</v>
      </c>
      <c r="U298" t="str">
        <f t="shared" si="24"/>
        <v>High Value</v>
      </c>
    </row>
    <row r="299" spans="1:21" hidden="1" x14ac:dyDescent="0.2">
      <c r="A299" s="2">
        <v>1101</v>
      </c>
      <c r="B299" s="2" t="s">
        <v>9</v>
      </c>
      <c r="C299" s="2" t="s">
        <v>495</v>
      </c>
      <c r="D299" s="2" t="s">
        <v>11</v>
      </c>
      <c r="E299" s="2">
        <v>80123</v>
      </c>
      <c r="F299" s="2" t="s">
        <v>496</v>
      </c>
      <c r="G299" s="2" t="s">
        <v>36</v>
      </c>
      <c r="H299" s="2">
        <v>1</v>
      </c>
      <c r="I299" s="2" t="s">
        <v>39</v>
      </c>
      <c r="J299" s="2" t="str">
        <f>VLOOKUP(E299,[1]LL_Hub!$A$1:$B$13,2,FALSE)</f>
        <v>Denver</v>
      </c>
      <c r="K299" t="str">
        <f>VLOOKUP(D299,'[2]product Table data'!$A$2:$B$12,2,FALSE)</f>
        <v>Male</v>
      </c>
      <c r="L299" t="str">
        <f>VLOOKUP($D299,'[2]product Table data'!$A$2:$G$12,L$1,FALSE)</f>
        <v>Casual n Light</v>
      </c>
      <c r="M299" t="str">
        <f>VLOOKUP($D299,'[2]product Table data'!$A$2:$G$12,M$1,FALSE)</f>
        <v>Ethiopia</v>
      </c>
      <c r="N299" t="str">
        <f>VLOOKUP($D299,'[2]product Table data'!$A$2:$G$12,N$1,FALSE)</f>
        <v>Africa</v>
      </c>
      <c r="O299">
        <f>VLOOKUP($D299,'[2]product Table data'!$A$2:$G$12,O$1,FALSE)</f>
        <v>10</v>
      </c>
      <c r="P299">
        <f>VLOOKUP($D299,'[2]product Table data'!$A$2:$G$12,P$1,FALSE)</f>
        <v>20</v>
      </c>
      <c r="Q299">
        <f t="shared" si="20"/>
        <v>10</v>
      </c>
      <c r="R299" t="str">
        <f t="shared" si="21"/>
        <v>Hub Risk</v>
      </c>
      <c r="S299" t="str">
        <f t="shared" si="22"/>
        <v>Style Risk</v>
      </c>
      <c r="T299" t="str">
        <f t="shared" si="23"/>
        <v>Risk</v>
      </c>
      <c r="U299" t="str">
        <f t="shared" si="24"/>
        <v>High Value</v>
      </c>
    </row>
    <row r="300" spans="1:21" hidden="1" x14ac:dyDescent="0.2">
      <c r="A300" s="2">
        <v>1102</v>
      </c>
      <c r="B300" s="2" t="s">
        <v>9</v>
      </c>
      <c r="C300" s="2" t="s">
        <v>497</v>
      </c>
      <c r="D300" s="2" t="s">
        <v>11</v>
      </c>
      <c r="E300" s="2">
        <v>80123</v>
      </c>
      <c r="F300" s="2" t="s">
        <v>496</v>
      </c>
      <c r="G300" s="2" t="s">
        <v>36</v>
      </c>
      <c r="H300" s="2">
        <v>1</v>
      </c>
      <c r="I300" s="2" t="s">
        <v>39</v>
      </c>
      <c r="J300" s="2" t="str">
        <f>VLOOKUP(E300,[1]LL_Hub!$A$1:$B$13,2,FALSE)</f>
        <v>Denver</v>
      </c>
      <c r="K300" t="str">
        <f>VLOOKUP(D300,'[2]product Table data'!$A$2:$B$12,2,FALSE)</f>
        <v>Male</v>
      </c>
      <c r="L300" t="str">
        <f>VLOOKUP($D300,'[2]product Table data'!$A$2:$G$12,L$1,FALSE)</f>
        <v>Casual n Light</v>
      </c>
      <c r="M300" t="str">
        <f>VLOOKUP($D300,'[2]product Table data'!$A$2:$G$12,M$1,FALSE)</f>
        <v>Ethiopia</v>
      </c>
      <c r="N300" t="str">
        <f>VLOOKUP($D300,'[2]product Table data'!$A$2:$G$12,N$1,FALSE)</f>
        <v>Africa</v>
      </c>
      <c r="O300">
        <f>VLOOKUP($D300,'[2]product Table data'!$A$2:$G$12,O$1,FALSE)</f>
        <v>10</v>
      </c>
      <c r="P300">
        <f>VLOOKUP($D300,'[2]product Table data'!$A$2:$G$12,P$1,FALSE)</f>
        <v>20</v>
      </c>
      <c r="Q300">
        <f t="shared" si="20"/>
        <v>10</v>
      </c>
      <c r="R300" t="str">
        <f t="shared" si="21"/>
        <v>Hub Risk</v>
      </c>
      <c r="S300" t="str">
        <f t="shared" si="22"/>
        <v>Style Risk</v>
      </c>
      <c r="T300" t="str">
        <f t="shared" si="23"/>
        <v>Risk</v>
      </c>
      <c r="U300" t="str">
        <f t="shared" si="24"/>
        <v>High Value</v>
      </c>
    </row>
    <row r="301" spans="1:21" hidden="1" x14ac:dyDescent="0.2">
      <c r="A301" s="2">
        <v>1103</v>
      </c>
      <c r="B301" s="2" t="s">
        <v>9</v>
      </c>
      <c r="C301" s="2" t="s">
        <v>498</v>
      </c>
      <c r="D301" s="2" t="s">
        <v>11</v>
      </c>
      <c r="E301" s="2">
        <v>80123</v>
      </c>
      <c r="F301" s="2" t="s">
        <v>496</v>
      </c>
      <c r="G301" s="2" t="s">
        <v>36</v>
      </c>
      <c r="H301" s="2">
        <v>1</v>
      </c>
      <c r="I301" s="2" t="s">
        <v>39</v>
      </c>
      <c r="J301" s="2" t="str">
        <f>VLOOKUP(E301,[1]LL_Hub!$A$1:$B$13,2,FALSE)</f>
        <v>Denver</v>
      </c>
      <c r="K301" t="str">
        <f>VLOOKUP(D301,'[2]product Table data'!$A$2:$B$12,2,FALSE)</f>
        <v>Male</v>
      </c>
      <c r="L301" t="str">
        <f>VLOOKUP($D301,'[2]product Table data'!$A$2:$G$12,L$1,FALSE)</f>
        <v>Casual n Light</v>
      </c>
      <c r="M301" t="str">
        <f>VLOOKUP($D301,'[2]product Table data'!$A$2:$G$12,M$1,FALSE)</f>
        <v>Ethiopia</v>
      </c>
      <c r="N301" t="str">
        <f>VLOOKUP($D301,'[2]product Table data'!$A$2:$G$12,N$1,FALSE)</f>
        <v>Africa</v>
      </c>
      <c r="O301">
        <f>VLOOKUP($D301,'[2]product Table data'!$A$2:$G$12,O$1,FALSE)</f>
        <v>10</v>
      </c>
      <c r="P301">
        <f>VLOOKUP($D301,'[2]product Table data'!$A$2:$G$12,P$1,FALSE)</f>
        <v>20</v>
      </c>
      <c r="Q301">
        <f t="shared" si="20"/>
        <v>10</v>
      </c>
      <c r="R301" t="str">
        <f t="shared" si="21"/>
        <v>Hub Risk</v>
      </c>
      <c r="S301" t="str">
        <f t="shared" si="22"/>
        <v>Style Risk</v>
      </c>
      <c r="T301" t="str">
        <f t="shared" si="23"/>
        <v>Risk</v>
      </c>
      <c r="U301" t="str">
        <f t="shared" si="24"/>
        <v>High Value</v>
      </c>
    </row>
    <row r="302" spans="1:21" hidden="1" x14ac:dyDescent="0.2">
      <c r="A302" s="2">
        <v>1104</v>
      </c>
      <c r="B302" s="2" t="s">
        <v>9</v>
      </c>
      <c r="C302" s="2" t="s">
        <v>499</v>
      </c>
      <c r="D302" s="2" t="s">
        <v>11</v>
      </c>
      <c r="E302" s="2">
        <v>80123</v>
      </c>
      <c r="F302" s="2" t="s">
        <v>496</v>
      </c>
      <c r="G302" s="2" t="s">
        <v>36</v>
      </c>
      <c r="H302" s="2">
        <v>1</v>
      </c>
      <c r="I302" s="2" t="s">
        <v>39</v>
      </c>
      <c r="J302" s="2" t="str">
        <f>VLOOKUP(E302,[1]LL_Hub!$A$1:$B$13,2,FALSE)</f>
        <v>Denver</v>
      </c>
      <c r="K302" t="str">
        <f>VLOOKUP(D302,'[2]product Table data'!$A$2:$B$12,2,FALSE)</f>
        <v>Male</v>
      </c>
      <c r="L302" t="str">
        <f>VLOOKUP($D302,'[2]product Table data'!$A$2:$G$12,L$1,FALSE)</f>
        <v>Casual n Light</v>
      </c>
      <c r="M302" t="str">
        <f>VLOOKUP($D302,'[2]product Table data'!$A$2:$G$12,M$1,FALSE)</f>
        <v>Ethiopia</v>
      </c>
      <c r="N302" t="str">
        <f>VLOOKUP($D302,'[2]product Table data'!$A$2:$G$12,N$1,FALSE)</f>
        <v>Africa</v>
      </c>
      <c r="O302">
        <f>VLOOKUP($D302,'[2]product Table data'!$A$2:$G$12,O$1,FALSE)</f>
        <v>10</v>
      </c>
      <c r="P302">
        <f>VLOOKUP($D302,'[2]product Table data'!$A$2:$G$12,P$1,FALSE)</f>
        <v>20</v>
      </c>
      <c r="Q302">
        <f t="shared" si="20"/>
        <v>10</v>
      </c>
      <c r="R302" t="str">
        <f t="shared" si="21"/>
        <v>Hub Risk</v>
      </c>
      <c r="S302" t="str">
        <f t="shared" si="22"/>
        <v>Style Risk</v>
      </c>
      <c r="T302" t="str">
        <f t="shared" si="23"/>
        <v>Risk</v>
      </c>
      <c r="U302" t="str">
        <f t="shared" si="24"/>
        <v>High Value</v>
      </c>
    </row>
    <row r="303" spans="1:21" hidden="1" x14ac:dyDescent="0.2">
      <c r="A303" s="2">
        <v>1105</v>
      </c>
      <c r="B303" s="2" t="s">
        <v>9</v>
      </c>
      <c r="C303" s="2" t="s">
        <v>500</v>
      </c>
      <c r="D303" s="2" t="s">
        <v>11</v>
      </c>
      <c r="E303" s="2">
        <v>10022</v>
      </c>
      <c r="F303" s="2" t="s">
        <v>35</v>
      </c>
      <c r="G303" s="2" t="s">
        <v>36</v>
      </c>
      <c r="H303" s="2">
        <v>1</v>
      </c>
      <c r="I303" s="2" t="s">
        <v>17</v>
      </c>
      <c r="J303" s="2" t="str">
        <f>VLOOKUP(E303,[1]LL_Hub!$A$1:$B$13,2,FALSE)</f>
        <v>New York</v>
      </c>
      <c r="K303" t="str">
        <f>VLOOKUP(D303,'[2]product Table data'!$A$2:$B$12,2,FALSE)</f>
        <v>Male</v>
      </c>
      <c r="L303" t="str">
        <f>VLOOKUP($D303,'[2]product Table data'!$A$2:$G$12,L$1,FALSE)</f>
        <v>Casual n Light</v>
      </c>
      <c r="M303" t="str">
        <f>VLOOKUP($D303,'[2]product Table data'!$A$2:$G$12,M$1,FALSE)</f>
        <v>Ethiopia</v>
      </c>
      <c r="N303" t="str">
        <f>VLOOKUP($D303,'[2]product Table data'!$A$2:$G$12,N$1,FALSE)</f>
        <v>Africa</v>
      </c>
      <c r="O303">
        <f>VLOOKUP($D303,'[2]product Table data'!$A$2:$G$12,O$1,FALSE)</f>
        <v>10</v>
      </c>
      <c r="P303">
        <f>VLOOKUP($D303,'[2]product Table data'!$A$2:$G$12,P$1,FALSE)</f>
        <v>20</v>
      </c>
      <c r="Q303">
        <f t="shared" si="20"/>
        <v>10</v>
      </c>
      <c r="R303" t="str">
        <f t="shared" si="21"/>
        <v>-</v>
      </c>
      <c r="S303" t="str">
        <f t="shared" si="22"/>
        <v>Style Risk</v>
      </c>
      <c r="T303" t="str">
        <f t="shared" si="23"/>
        <v>-</v>
      </c>
      <c r="U303" t="str">
        <f t="shared" si="24"/>
        <v>High Value</v>
      </c>
    </row>
    <row r="304" spans="1:21" hidden="1" x14ac:dyDescent="0.2">
      <c r="A304" s="2">
        <v>1106</v>
      </c>
      <c r="B304" s="2" t="s">
        <v>9</v>
      </c>
      <c r="C304" s="2" t="s">
        <v>501</v>
      </c>
      <c r="D304" s="2" t="s">
        <v>11</v>
      </c>
      <c r="E304" s="2">
        <v>10022</v>
      </c>
      <c r="F304" s="2" t="s">
        <v>35</v>
      </c>
      <c r="G304" s="2" t="s">
        <v>36</v>
      </c>
      <c r="H304" s="2">
        <v>1</v>
      </c>
      <c r="I304" s="2" t="s">
        <v>17</v>
      </c>
      <c r="J304" s="2" t="str">
        <f>VLOOKUP(E304,[1]LL_Hub!$A$1:$B$13,2,FALSE)</f>
        <v>New York</v>
      </c>
      <c r="K304" t="str">
        <f>VLOOKUP(D304,'[2]product Table data'!$A$2:$B$12,2,FALSE)</f>
        <v>Male</v>
      </c>
      <c r="L304" t="str">
        <f>VLOOKUP($D304,'[2]product Table data'!$A$2:$G$12,L$1,FALSE)</f>
        <v>Casual n Light</v>
      </c>
      <c r="M304" t="str">
        <f>VLOOKUP($D304,'[2]product Table data'!$A$2:$G$12,M$1,FALSE)</f>
        <v>Ethiopia</v>
      </c>
      <c r="N304" t="str">
        <f>VLOOKUP($D304,'[2]product Table data'!$A$2:$G$12,N$1,FALSE)</f>
        <v>Africa</v>
      </c>
      <c r="O304">
        <f>VLOOKUP($D304,'[2]product Table data'!$A$2:$G$12,O$1,FALSE)</f>
        <v>10</v>
      </c>
      <c r="P304">
        <f>VLOOKUP($D304,'[2]product Table data'!$A$2:$G$12,P$1,FALSE)</f>
        <v>20</v>
      </c>
      <c r="Q304">
        <f t="shared" si="20"/>
        <v>10</v>
      </c>
      <c r="R304" t="str">
        <f t="shared" si="21"/>
        <v>-</v>
      </c>
      <c r="S304" t="str">
        <f t="shared" si="22"/>
        <v>Style Risk</v>
      </c>
      <c r="T304" t="str">
        <f t="shared" si="23"/>
        <v>-</v>
      </c>
      <c r="U304" t="str">
        <f t="shared" si="24"/>
        <v>High Value</v>
      </c>
    </row>
    <row r="305" spans="1:21" hidden="1" x14ac:dyDescent="0.2">
      <c r="A305" s="2">
        <v>1107</v>
      </c>
      <c r="B305" s="2" t="s">
        <v>9</v>
      </c>
      <c r="C305" s="2" t="s">
        <v>502</v>
      </c>
      <c r="D305" s="2" t="s">
        <v>11</v>
      </c>
      <c r="E305" s="2">
        <v>10022</v>
      </c>
      <c r="F305" s="2" t="s">
        <v>35</v>
      </c>
      <c r="G305" s="2" t="s">
        <v>36</v>
      </c>
      <c r="H305" s="2">
        <v>1</v>
      </c>
      <c r="I305" s="2" t="s">
        <v>17</v>
      </c>
      <c r="J305" s="2" t="str">
        <f>VLOOKUP(E305,[1]LL_Hub!$A$1:$B$13,2,FALSE)</f>
        <v>New York</v>
      </c>
      <c r="K305" t="str">
        <f>VLOOKUP(D305,'[2]product Table data'!$A$2:$B$12,2,FALSE)</f>
        <v>Male</v>
      </c>
      <c r="L305" t="str">
        <f>VLOOKUP($D305,'[2]product Table data'!$A$2:$G$12,L$1,FALSE)</f>
        <v>Casual n Light</v>
      </c>
      <c r="M305" t="str">
        <f>VLOOKUP($D305,'[2]product Table data'!$A$2:$G$12,M$1,FALSE)</f>
        <v>Ethiopia</v>
      </c>
      <c r="N305" t="str">
        <f>VLOOKUP($D305,'[2]product Table data'!$A$2:$G$12,N$1,FALSE)</f>
        <v>Africa</v>
      </c>
      <c r="O305">
        <f>VLOOKUP($D305,'[2]product Table data'!$A$2:$G$12,O$1,FALSE)</f>
        <v>10</v>
      </c>
      <c r="P305">
        <f>VLOOKUP($D305,'[2]product Table data'!$A$2:$G$12,P$1,FALSE)</f>
        <v>20</v>
      </c>
      <c r="Q305">
        <f t="shared" si="20"/>
        <v>10</v>
      </c>
      <c r="R305" t="str">
        <f t="shared" si="21"/>
        <v>-</v>
      </c>
      <c r="S305" t="str">
        <f t="shared" si="22"/>
        <v>Style Risk</v>
      </c>
      <c r="T305" t="str">
        <f t="shared" si="23"/>
        <v>-</v>
      </c>
      <c r="U305" t="str">
        <f t="shared" si="24"/>
        <v>High Value</v>
      </c>
    </row>
    <row r="306" spans="1:21" hidden="1" x14ac:dyDescent="0.2">
      <c r="A306" s="2">
        <v>1108</v>
      </c>
      <c r="B306" s="2" t="s">
        <v>9</v>
      </c>
      <c r="C306" s="2" t="s">
        <v>503</v>
      </c>
      <c r="D306" s="2" t="s">
        <v>11</v>
      </c>
      <c r="E306" s="2">
        <v>10022</v>
      </c>
      <c r="F306" s="2" t="s">
        <v>35</v>
      </c>
      <c r="G306" s="2" t="s">
        <v>36</v>
      </c>
      <c r="H306" s="2">
        <v>1</v>
      </c>
      <c r="I306" s="2" t="s">
        <v>17</v>
      </c>
      <c r="J306" s="2" t="str">
        <f>VLOOKUP(E306,[1]LL_Hub!$A$1:$B$13,2,FALSE)</f>
        <v>New York</v>
      </c>
      <c r="K306" t="str">
        <f>VLOOKUP(D306,'[2]product Table data'!$A$2:$B$12,2,FALSE)</f>
        <v>Male</v>
      </c>
      <c r="L306" t="str">
        <f>VLOOKUP($D306,'[2]product Table data'!$A$2:$G$12,L$1,FALSE)</f>
        <v>Casual n Light</v>
      </c>
      <c r="M306" t="str">
        <f>VLOOKUP($D306,'[2]product Table data'!$A$2:$G$12,M$1,FALSE)</f>
        <v>Ethiopia</v>
      </c>
      <c r="N306" t="str">
        <f>VLOOKUP($D306,'[2]product Table data'!$A$2:$G$12,N$1,FALSE)</f>
        <v>Africa</v>
      </c>
      <c r="O306">
        <f>VLOOKUP($D306,'[2]product Table data'!$A$2:$G$12,O$1,FALSE)</f>
        <v>10</v>
      </c>
      <c r="P306">
        <f>VLOOKUP($D306,'[2]product Table data'!$A$2:$G$12,P$1,FALSE)</f>
        <v>20</v>
      </c>
      <c r="Q306">
        <f t="shared" si="20"/>
        <v>10</v>
      </c>
      <c r="R306" t="str">
        <f t="shared" si="21"/>
        <v>-</v>
      </c>
      <c r="S306" t="str">
        <f t="shared" si="22"/>
        <v>Style Risk</v>
      </c>
      <c r="T306" t="str">
        <f t="shared" si="23"/>
        <v>-</v>
      </c>
      <c r="U306" t="str">
        <f t="shared" si="24"/>
        <v>High Value</v>
      </c>
    </row>
    <row r="307" spans="1:21" hidden="1" x14ac:dyDescent="0.2">
      <c r="A307" s="2">
        <v>1</v>
      </c>
      <c r="B307" s="2" t="s">
        <v>9</v>
      </c>
      <c r="C307" s="2" t="s">
        <v>504</v>
      </c>
      <c r="D307" s="2" t="s">
        <v>505</v>
      </c>
      <c r="E307" s="2">
        <v>90001</v>
      </c>
      <c r="F307" s="2" t="s">
        <v>506</v>
      </c>
      <c r="G307" s="2" t="s">
        <v>13</v>
      </c>
      <c r="H307" s="2">
        <v>1</v>
      </c>
      <c r="I307" s="2" t="s">
        <v>17</v>
      </c>
      <c r="J307" s="2" t="str">
        <f>VLOOKUP(E307,[1]LL_Hub!$A$1:$B$13,2,FALSE)</f>
        <v>Los Angeles</v>
      </c>
      <c r="K307" t="str">
        <f>VLOOKUP(D307,'[2]product Table data'!$A$2:$B$12,2,FALSE)</f>
        <v>Female</v>
      </c>
      <c r="L307" t="str">
        <f>VLOOKUP($D307,'[2]product Table data'!$A$2:$G$12,L$1,FALSE)</f>
        <v>Casual n Light</v>
      </c>
      <c r="M307" t="str">
        <f>VLOOKUP($D307,'[2]product Table data'!$A$2:$G$12,M$1,FALSE)</f>
        <v>Honduras</v>
      </c>
      <c r="N307" t="str">
        <f>VLOOKUP($D307,'[2]product Table data'!$A$2:$G$12,N$1,FALSE)</f>
        <v>Central America</v>
      </c>
      <c r="O307">
        <f>VLOOKUP($D307,'[2]product Table data'!$A$2:$G$12,O$1,FALSE)</f>
        <v>30</v>
      </c>
      <c r="P307">
        <f>VLOOKUP($D307,'[2]product Table data'!$A$2:$G$12,P$1,FALSE)</f>
        <v>45</v>
      </c>
      <c r="Q307">
        <f t="shared" si="20"/>
        <v>15</v>
      </c>
      <c r="R307" t="str">
        <f t="shared" si="21"/>
        <v>Hub Risk</v>
      </c>
      <c r="S307" t="str">
        <f t="shared" si="22"/>
        <v>Style Risk</v>
      </c>
      <c r="T307" t="str">
        <f t="shared" si="23"/>
        <v>Risk</v>
      </c>
      <c r="U307" t="str">
        <f t="shared" si="24"/>
        <v>High Value</v>
      </c>
    </row>
    <row r="308" spans="1:21" hidden="1" x14ac:dyDescent="0.2">
      <c r="A308" s="2">
        <v>2</v>
      </c>
      <c r="B308" s="2" t="s">
        <v>9</v>
      </c>
      <c r="C308" s="2" t="s">
        <v>507</v>
      </c>
      <c r="D308" s="2" t="s">
        <v>505</v>
      </c>
      <c r="E308" s="2">
        <v>90001</v>
      </c>
      <c r="F308" s="2" t="s">
        <v>508</v>
      </c>
      <c r="G308" s="2" t="s">
        <v>13</v>
      </c>
      <c r="H308" s="2">
        <v>1</v>
      </c>
      <c r="I308" s="2" t="s">
        <v>17</v>
      </c>
      <c r="J308" s="2" t="str">
        <f>VLOOKUP(E308,[1]LL_Hub!$A$1:$B$13,2,FALSE)</f>
        <v>Los Angeles</v>
      </c>
      <c r="K308" t="str">
        <f>VLOOKUP(D308,'[2]product Table data'!$A$2:$B$12,2,FALSE)</f>
        <v>Female</v>
      </c>
      <c r="L308" t="str">
        <f>VLOOKUP($D308,'[2]product Table data'!$A$2:$G$12,L$1,FALSE)</f>
        <v>Casual n Light</v>
      </c>
      <c r="M308" t="str">
        <f>VLOOKUP($D308,'[2]product Table data'!$A$2:$G$12,M$1,FALSE)</f>
        <v>Honduras</v>
      </c>
      <c r="N308" t="str">
        <f>VLOOKUP($D308,'[2]product Table data'!$A$2:$G$12,N$1,FALSE)</f>
        <v>Central America</v>
      </c>
      <c r="O308">
        <f>VLOOKUP($D308,'[2]product Table data'!$A$2:$G$12,O$1,FALSE)</f>
        <v>30</v>
      </c>
      <c r="P308">
        <f>VLOOKUP($D308,'[2]product Table data'!$A$2:$G$12,P$1,FALSE)</f>
        <v>45</v>
      </c>
      <c r="Q308">
        <f t="shared" si="20"/>
        <v>15</v>
      </c>
      <c r="R308" t="str">
        <f t="shared" si="21"/>
        <v>Hub Risk</v>
      </c>
      <c r="S308" t="str">
        <f t="shared" si="22"/>
        <v>Style Risk</v>
      </c>
      <c r="T308" t="str">
        <f t="shared" si="23"/>
        <v>Risk</v>
      </c>
      <c r="U308" t="str">
        <f t="shared" si="24"/>
        <v>High Value</v>
      </c>
    </row>
    <row r="309" spans="1:21" hidden="1" x14ac:dyDescent="0.2">
      <c r="A309" s="2">
        <v>5</v>
      </c>
      <c r="B309" s="2" t="s">
        <v>9</v>
      </c>
      <c r="C309" s="2" t="s">
        <v>509</v>
      </c>
      <c r="D309" s="2" t="s">
        <v>505</v>
      </c>
      <c r="E309" s="2">
        <v>10001</v>
      </c>
      <c r="F309" s="2" t="s">
        <v>35</v>
      </c>
      <c r="G309" s="2" t="s">
        <v>36</v>
      </c>
      <c r="H309" s="2">
        <v>1</v>
      </c>
      <c r="I309" s="2" t="s">
        <v>17</v>
      </c>
      <c r="J309" s="2" t="str">
        <f>VLOOKUP(E309,[1]LL_Hub!$A$1:$B$13,2,FALSE)</f>
        <v>New York</v>
      </c>
      <c r="K309" t="str">
        <f>VLOOKUP(D309,'[2]product Table data'!$A$2:$B$12,2,FALSE)</f>
        <v>Female</v>
      </c>
      <c r="L309" t="str">
        <f>VLOOKUP($D309,'[2]product Table data'!$A$2:$G$12,L$1,FALSE)</f>
        <v>Casual n Light</v>
      </c>
      <c r="M309" t="str">
        <f>VLOOKUP($D309,'[2]product Table data'!$A$2:$G$12,M$1,FALSE)</f>
        <v>Honduras</v>
      </c>
      <c r="N309" t="str">
        <f>VLOOKUP($D309,'[2]product Table data'!$A$2:$G$12,N$1,FALSE)</f>
        <v>Central America</v>
      </c>
      <c r="O309">
        <f>VLOOKUP($D309,'[2]product Table data'!$A$2:$G$12,O$1,FALSE)</f>
        <v>30</v>
      </c>
      <c r="P309">
        <f>VLOOKUP($D309,'[2]product Table data'!$A$2:$G$12,P$1,FALSE)</f>
        <v>45</v>
      </c>
      <c r="Q309">
        <f t="shared" si="20"/>
        <v>15</v>
      </c>
      <c r="R309" t="str">
        <f t="shared" si="21"/>
        <v>-</v>
      </c>
      <c r="S309" t="str">
        <f t="shared" si="22"/>
        <v>Style Risk</v>
      </c>
      <c r="T309" t="str">
        <f t="shared" si="23"/>
        <v>-</v>
      </c>
      <c r="U309" t="str">
        <f t="shared" si="24"/>
        <v>High Value</v>
      </c>
    </row>
    <row r="310" spans="1:21" hidden="1" x14ac:dyDescent="0.2">
      <c r="A310" s="2">
        <v>6</v>
      </c>
      <c r="B310" s="2" t="s">
        <v>9</v>
      </c>
      <c r="C310" s="2" t="s">
        <v>510</v>
      </c>
      <c r="D310" s="2" t="s">
        <v>505</v>
      </c>
      <c r="E310" s="2">
        <v>10001</v>
      </c>
      <c r="F310" s="2" t="s">
        <v>35</v>
      </c>
      <c r="G310" s="2" t="s">
        <v>36</v>
      </c>
      <c r="H310" s="2">
        <v>1</v>
      </c>
      <c r="I310" s="2" t="s">
        <v>17</v>
      </c>
      <c r="J310" s="2" t="str">
        <f>VLOOKUP(E310,[1]LL_Hub!$A$1:$B$13,2,FALSE)</f>
        <v>New York</v>
      </c>
      <c r="K310" t="str">
        <f>VLOOKUP(D310,'[2]product Table data'!$A$2:$B$12,2,FALSE)</f>
        <v>Female</v>
      </c>
      <c r="L310" t="str">
        <f>VLOOKUP($D310,'[2]product Table data'!$A$2:$G$12,L$1,FALSE)</f>
        <v>Casual n Light</v>
      </c>
      <c r="M310" t="str">
        <f>VLOOKUP($D310,'[2]product Table data'!$A$2:$G$12,M$1,FALSE)</f>
        <v>Honduras</v>
      </c>
      <c r="N310" t="str">
        <f>VLOOKUP($D310,'[2]product Table data'!$A$2:$G$12,N$1,FALSE)</f>
        <v>Central America</v>
      </c>
      <c r="O310">
        <f>VLOOKUP($D310,'[2]product Table data'!$A$2:$G$12,O$1,FALSE)</f>
        <v>30</v>
      </c>
      <c r="P310">
        <f>VLOOKUP($D310,'[2]product Table data'!$A$2:$G$12,P$1,FALSE)</f>
        <v>45</v>
      </c>
      <c r="Q310">
        <f t="shared" si="20"/>
        <v>15</v>
      </c>
      <c r="R310" t="str">
        <f t="shared" si="21"/>
        <v>-</v>
      </c>
      <c r="S310" t="str">
        <f t="shared" si="22"/>
        <v>Style Risk</v>
      </c>
      <c r="T310" t="str">
        <f t="shared" si="23"/>
        <v>-</v>
      </c>
      <c r="U310" t="str">
        <f t="shared" si="24"/>
        <v>High Value</v>
      </c>
    </row>
    <row r="311" spans="1:21" hidden="1" x14ac:dyDescent="0.2">
      <c r="A311" s="2">
        <v>8</v>
      </c>
      <c r="B311" s="2" t="s">
        <v>9</v>
      </c>
      <c r="C311" s="2" t="s">
        <v>511</v>
      </c>
      <c r="D311" s="2" t="s">
        <v>505</v>
      </c>
      <c r="E311" s="2">
        <v>10001</v>
      </c>
      <c r="F311" s="2" t="s">
        <v>35</v>
      </c>
      <c r="G311" s="2" t="s">
        <v>36</v>
      </c>
      <c r="H311" s="2">
        <v>1</v>
      </c>
      <c r="I311" s="2" t="s">
        <v>17</v>
      </c>
      <c r="J311" s="2" t="str">
        <f>VLOOKUP(E311,[1]LL_Hub!$A$1:$B$13,2,FALSE)</f>
        <v>New York</v>
      </c>
      <c r="K311" t="str">
        <f>VLOOKUP(D311,'[2]product Table data'!$A$2:$B$12,2,FALSE)</f>
        <v>Female</v>
      </c>
      <c r="L311" t="str">
        <f>VLOOKUP($D311,'[2]product Table data'!$A$2:$G$12,L$1,FALSE)</f>
        <v>Casual n Light</v>
      </c>
      <c r="M311" t="str">
        <f>VLOOKUP($D311,'[2]product Table data'!$A$2:$G$12,M$1,FALSE)</f>
        <v>Honduras</v>
      </c>
      <c r="N311" t="str">
        <f>VLOOKUP($D311,'[2]product Table data'!$A$2:$G$12,N$1,FALSE)</f>
        <v>Central America</v>
      </c>
      <c r="O311">
        <f>VLOOKUP($D311,'[2]product Table data'!$A$2:$G$12,O$1,FALSE)</f>
        <v>30</v>
      </c>
      <c r="P311">
        <f>VLOOKUP($D311,'[2]product Table data'!$A$2:$G$12,P$1,FALSE)</f>
        <v>45</v>
      </c>
      <c r="Q311">
        <f t="shared" si="20"/>
        <v>15</v>
      </c>
      <c r="R311" t="str">
        <f t="shared" si="21"/>
        <v>-</v>
      </c>
      <c r="S311" t="str">
        <f t="shared" si="22"/>
        <v>Style Risk</v>
      </c>
      <c r="T311" t="str">
        <f t="shared" si="23"/>
        <v>-</v>
      </c>
      <c r="U311" t="str">
        <f t="shared" si="24"/>
        <v>High Value</v>
      </c>
    </row>
    <row r="312" spans="1:21" hidden="1" x14ac:dyDescent="0.2">
      <c r="A312" s="2">
        <v>13</v>
      </c>
      <c r="B312" s="2" t="s">
        <v>9</v>
      </c>
      <c r="C312" s="2" t="s">
        <v>512</v>
      </c>
      <c r="D312" s="2" t="s">
        <v>41</v>
      </c>
      <c r="E312" s="2">
        <v>10001</v>
      </c>
      <c r="F312" s="2" t="s">
        <v>35</v>
      </c>
      <c r="G312" s="2" t="s">
        <v>36</v>
      </c>
      <c r="H312" s="2">
        <v>1</v>
      </c>
      <c r="I312" s="2" t="s">
        <v>39</v>
      </c>
      <c r="J312" s="2" t="str">
        <f>VLOOKUP(E312,[1]LL_Hub!$A$1:$B$13,2,FALSE)</f>
        <v>New York</v>
      </c>
      <c r="K312" t="str">
        <f>VLOOKUP(D312,'[2]product Table data'!$A$2:$B$12,2,FALSE)</f>
        <v>Male</v>
      </c>
      <c r="L312" t="str">
        <f>VLOOKUP($D312,'[2]product Table data'!$A$2:$G$12,L$1,FALSE)</f>
        <v>Winter Warmth</v>
      </c>
      <c r="M312" t="str">
        <f>VLOOKUP($D312,'[2]product Table data'!$A$2:$G$12,M$1,FALSE)</f>
        <v>Moldova</v>
      </c>
      <c r="N312" t="str">
        <f>VLOOKUP($D312,'[2]product Table data'!$A$2:$G$12,N$1,FALSE)</f>
        <v>Eastern Europe</v>
      </c>
      <c r="O312">
        <f>VLOOKUP($D312,'[2]product Table data'!$A$2:$G$12,O$1,FALSE)</f>
        <v>475</v>
      </c>
      <c r="P312">
        <f>VLOOKUP($D312,'[2]product Table data'!$A$2:$G$12,P$1,FALSE)</f>
        <v>600</v>
      </c>
      <c r="Q312">
        <f t="shared" si="20"/>
        <v>125</v>
      </c>
      <c r="R312" t="str">
        <f t="shared" si="21"/>
        <v>-</v>
      </c>
      <c r="S312" t="str">
        <f t="shared" si="22"/>
        <v>-</v>
      </c>
      <c r="T312" t="str">
        <f t="shared" si="23"/>
        <v>-</v>
      </c>
      <c r="U312" t="str">
        <f t="shared" si="24"/>
        <v>High Value</v>
      </c>
    </row>
    <row r="313" spans="1:21" hidden="1" x14ac:dyDescent="0.2">
      <c r="A313" s="2">
        <v>15</v>
      </c>
      <c r="B313" s="2" t="s">
        <v>9</v>
      </c>
      <c r="C313" s="2" t="s">
        <v>513</v>
      </c>
      <c r="D313" s="2" t="s">
        <v>45</v>
      </c>
      <c r="E313" s="2">
        <v>10001</v>
      </c>
      <c r="F313" s="2" t="s">
        <v>42</v>
      </c>
      <c r="G313" s="2" t="s">
        <v>36</v>
      </c>
      <c r="H313" s="2">
        <v>1</v>
      </c>
      <c r="I313" s="2" t="s">
        <v>39</v>
      </c>
      <c r="J313" s="2" t="str">
        <f>VLOOKUP(E313,[1]LL_Hub!$A$1:$B$13,2,FALSE)</f>
        <v>New York</v>
      </c>
      <c r="K313" t="str">
        <f>VLOOKUP(D313,'[2]product Table data'!$A$2:$B$12,2,FALSE)</f>
        <v>Female</v>
      </c>
      <c r="L313" t="str">
        <f>VLOOKUP($D313,'[2]product Table data'!$A$2:$G$12,L$1,FALSE)</f>
        <v>Winter Warmth</v>
      </c>
      <c r="M313" t="str">
        <f>VLOOKUP($D313,'[2]product Table data'!$A$2:$G$12,M$1,FALSE)</f>
        <v>Romania</v>
      </c>
      <c r="N313" t="str">
        <f>VLOOKUP($D313,'[2]product Table data'!$A$2:$G$12,N$1,FALSE)</f>
        <v>Eastern Europe</v>
      </c>
      <c r="O313">
        <f>VLOOKUP($D313,'[2]product Table data'!$A$2:$G$12,O$1,FALSE)</f>
        <v>350</v>
      </c>
      <c r="P313">
        <f>VLOOKUP($D313,'[2]product Table data'!$A$2:$G$12,P$1,FALSE)</f>
        <v>450</v>
      </c>
      <c r="Q313">
        <f t="shared" si="20"/>
        <v>100</v>
      </c>
      <c r="R313" t="str">
        <f t="shared" si="21"/>
        <v>-</v>
      </c>
      <c r="S313" t="str">
        <f t="shared" si="22"/>
        <v>-</v>
      </c>
      <c r="T313" t="str">
        <f t="shared" si="23"/>
        <v>-</v>
      </c>
      <c r="U313" t="str">
        <f t="shared" si="24"/>
        <v>High Value</v>
      </c>
    </row>
    <row r="314" spans="1:21" hidden="1" x14ac:dyDescent="0.2">
      <c r="A314" s="2">
        <v>16</v>
      </c>
      <c r="B314" s="2" t="s">
        <v>9</v>
      </c>
      <c r="C314" s="2" t="s">
        <v>514</v>
      </c>
      <c r="D314" s="2" t="s">
        <v>45</v>
      </c>
      <c r="E314" s="2">
        <v>10001</v>
      </c>
      <c r="F314" s="2" t="s">
        <v>42</v>
      </c>
      <c r="G314" s="2" t="s">
        <v>36</v>
      </c>
      <c r="H314" s="2">
        <v>1</v>
      </c>
      <c r="I314" s="2" t="s">
        <v>39</v>
      </c>
      <c r="J314" s="2" t="str">
        <f>VLOOKUP(E314,[1]LL_Hub!$A$1:$B$13,2,FALSE)</f>
        <v>New York</v>
      </c>
      <c r="K314" t="str">
        <f>VLOOKUP(D314,'[2]product Table data'!$A$2:$B$12,2,FALSE)</f>
        <v>Female</v>
      </c>
      <c r="L314" t="str">
        <f>VLOOKUP($D314,'[2]product Table data'!$A$2:$G$12,L$1,FALSE)</f>
        <v>Winter Warmth</v>
      </c>
      <c r="M314" t="str">
        <f>VLOOKUP($D314,'[2]product Table data'!$A$2:$G$12,M$1,FALSE)</f>
        <v>Romania</v>
      </c>
      <c r="N314" t="str">
        <f>VLOOKUP($D314,'[2]product Table data'!$A$2:$G$12,N$1,FALSE)</f>
        <v>Eastern Europe</v>
      </c>
      <c r="O314">
        <f>VLOOKUP($D314,'[2]product Table data'!$A$2:$G$12,O$1,FALSE)</f>
        <v>350</v>
      </c>
      <c r="P314">
        <f>VLOOKUP($D314,'[2]product Table data'!$A$2:$G$12,P$1,FALSE)</f>
        <v>450</v>
      </c>
      <c r="Q314">
        <f t="shared" si="20"/>
        <v>100</v>
      </c>
      <c r="R314" t="str">
        <f t="shared" si="21"/>
        <v>-</v>
      </c>
      <c r="S314" t="str">
        <f t="shared" si="22"/>
        <v>-</v>
      </c>
      <c r="T314" t="str">
        <f t="shared" si="23"/>
        <v>-</v>
      </c>
      <c r="U314" t="str">
        <f t="shared" si="24"/>
        <v>High Value</v>
      </c>
    </row>
    <row r="315" spans="1:21" hidden="1" x14ac:dyDescent="0.2">
      <c r="A315" s="2">
        <v>18</v>
      </c>
      <c r="B315" s="2" t="s">
        <v>9</v>
      </c>
      <c r="C315" s="2" t="s">
        <v>515</v>
      </c>
      <c r="D315" s="2" t="s">
        <v>45</v>
      </c>
      <c r="E315" s="2">
        <v>10001</v>
      </c>
      <c r="F315" s="2" t="s">
        <v>42</v>
      </c>
      <c r="G315" s="2" t="s">
        <v>36</v>
      </c>
      <c r="H315" s="2">
        <v>1</v>
      </c>
      <c r="I315" s="2" t="s">
        <v>39</v>
      </c>
      <c r="J315" s="2" t="str">
        <f>VLOOKUP(E315,[1]LL_Hub!$A$1:$B$13,2,FALSE)</f>
        <v>New York</v>
      </c>
      <c r="K315" t="str">
        <f>VLOOKUP(D315,'[2]product Table data'!$A$2:$B$12,2,FALSE)</f>
        <v>Female</v>
      </c>
      <c r="L315" t="str">
        <f>VLOOKUP($D315,'[2]product Table data'!$A$2:$G$12,L$1,FALSE)</f>
        <v>Winter Warmth</v>
      </c>
      <c r="M315" t="str">
        <f>VLOOKUP($D315,'[2]product Table data'!$A$2:$G$12,M$1,FALSE)</f>
        <v>Romania</v>
      </c>
      <c r="N315" t="str">
        <f>VLOOKUP($D315,'[2]product Table data'!$A$2:$G$12,N$1,FALSE)</f>
        <v>Eastern Europe</v>
      </c>
      <c r="O315">
        <f>VLOOKUP($D315,'[2]product Table data'!$A$2:$G$12,O$1,FALSE)</f>
        <v>350</v>
      </c>
      <c r="P315">
        <f>VLOOKUP($D315,'[2]product Table data'!$A$2:$G$12,P$1,FALSE)</f>
        <v>450</v>
      </c>
      <c r="Q315">
        <f t="shared" si="20"/>
        <v>100</v>
      </c>
      <c r="R315" t="str">
        <f t="shared" si="21"/>
        <v>-</v>
      </c>
      <c r="S315" t="str">
        <f t="shared" si="22"/>
        <v>-</v>
      </c>
      <c r="T315" t="str">
        <f t="shared" si="23"/>
        <v>-</v>
      </c>
      <c r="U315" t="str">
        <f t="shared" si="24"/>
        <v>High Value</v>
      </c>
    </row>
    <row r="316" spans="1:21" hidden="1" x14ac:dyDescent="0.2">
      <c r="A316" s="2">
        <v>20</v>
      </c>
      <c r="B316" s="2" t="s">
        <v>9</v>
      </c>
      <c r="C316" s="2" t="s">
        <v>516</v>
      </c>
      <c r="D316" s="2" t="s">
        <v>45</v>
      </c>
      <c r="E316" s="2">
        <v>10001</v>
      </c>
      <c r="F316" s="2" t="s">
        <v>42</v>
      </c>
      <c r="G316" s="2" t="s">
        <v>36</v>
      </c>
      <c r="H316" s="2">
        <v>1</v>
      </c>
      <c r="I316" s="2" t="s">
        <v>39</v>
      </c>
      <c r="J316" s="2" t="str">
        <f>VLOOKUP(E316,[1]LL_Hub!$A$1:$B$13,2,FALSE)</f>
        <v>New York</v>
      </c>
      <c r="K316" t="str">
        <f>VLOOKUP(D316,'[2]product Table data'!$A$2:$B$12,2,FALSE)</f>
        <v>Female</v>
      </c>
      <c r="L316" t="str">
        <f>VLOOKUP($D316,'[2]product Table data'!$A$2:$G$12,L$1,FALSE)</f>
        <v>Winter Warmth</v>
      </c>
      <c r="M316" t="str">
        <f>VLOOKUP($D316,'[2]product Table data'!$A$2:$G$12,M$1,FALSE)</f>
        <v>Romania</v>
      </c>
      <c r="N316" t="str">
        <f>VLOOKUP($D316,'[2]product Table data'!$A$2:$G$12,N$1,FALSE)</f>
        <v>Eastern Europe</v>
      </c>
      <c r="O316">
        <f>VLOOKUP($D316,'[2]product Table data'!$A$2:$G$12,O$1,FALSE)</f>
        <v>350</v>
      </c>
      <c r="P316">
        <f>VLOOKUP($D316,'[2]product Table data'!$A$2:$G$12,P$1,FALSE)</f>
        <v>450</v>
      </c>
      <c r="Q316">
        <f t="shared" si="20"/>
        <v>100</v>
      </c>
      <c r="R316" t="str">
        <f t="shared" si="21"/>
        <v>-</v>
      </c>
      <c r="S316" t="str">
        <f t="shared" si="22"/>
        <v>-</v>
      </c>
      <c r="T316" t="str">
        <f t="shared" si="23"/>
        <v>-</v>
      </c>
      <c r="U316" t="str">
        <f t="shared" si="24"/>
        <v>High Value</v>
      </c>
    </row>
    <row r="317" spans="1:21" hidden="1" x14ac:dyDescent="0.2">
      <c r="A317" s="2">
        <v>22</v>
      </c>
      <c r="B317" s="2" t="s">
        <v>9</v>
      </c>
      <c r="C317" s="2" t="s">
        <v>517</v>
      </c>
      <c r="D317" s="2" t="s">
        <v>45</v>
      </c>
      <c r="E317" s="2">
        <v>10001</v>
      </c>
      <c r="F317" s="2" t="s">
        <v>42</v>
      </c>
      <c r="G317" s="2" t="s">
        <v>36</v>
      </c>
      <c r="H317" s="2">
        <v>1</v>
      </c>
      <c r="I317" s="2" t="s">
        <v>39</v>
      </c>
      <c r="J317" s="2" t="str">
        <f>VLOOKUP(E317,[1]LL_Hub!$A$1:$B$13,2,FALSE)</f>
        <v>New York</v>
      </c>
      <c r="K317" t="str">
        <f>VLOOKUP(D317,'[2]product Table data'!$A$2:$B$12,2,FALSE)</f>
        <v>Female</v>
      </c>
      <c r="L317" t="str">
        <f>VLOOKUP($D317,'[2]product Table data'!$A$2:$G$12,L$1,FALSE)</f>
        <v>Winter Warmth</v>
      </c>
      <c r="M317" t="str">
        <f>VLOOKUP($D317,'[2]product Table data'!$A$2:$G$12,M$1,FALSE)</f>
        <v>Romania</v>
      </c>
      <c r="N317" t="str">
        <f>VLOOKUP($D317,'[2]product Table data'!$A$2:$G$12,N$1,FALSE)</f>
        <v>Eastern Europe</v>
      </c>
      <c r="O317">
        <f>VLOOKUP($D317,'[2]product Table data'!$A$2:$G$12,O$1,FALSE)</f>
        <v>350</v>
      </c>
      <c r="P317">
        <f>VLOOKUP($D317,'[2]product Table data'!$A$2:$G$12,P$1,FALSE)</f>
        <v>450</v>
      </c>
      <c r="Q317">
        <f t="shared" si="20"/>
        <v>100</v>
      </c>
      <c r="R317" t="str">
        <f t="shared" si="21"/>
        <v>-</v>
      </c>
      <c r="S317" t="str">
        <f t="shared" si="22"/>
        <v>-</v>
      </c>
      <c r="T317" t="str">
        <f t="shared" si="23"/>
        <v>-</v>
      </c>
      <c r="U317" t="str">
        <f t="shared" si="24"/>
        <v>High Value</v>
      </c>
    </row>
    <row r="318" spans="1:21" hidden="1" x14ac:dyDescent="0.2">
      <c r="A318" s="2">
        <v>24</v>
      </c>
      <c r="B318" s="2" t="s">
        <v>9</v>
      </c>
      <c r="C318" s="2" t="s">
        <v>518</v>
      </c>
      <c r="D318" s="2" t="s">
        <v>45</v>
      </c>
      <c r="E318" s="2">
        <v>10001</v>
      </c>
      <c r="F318" s="2" t="s">
        <v>42</v>
      </c>
      <c r="G318" s="2" t="s">
        <v>36</v>
      </c>
      <c r="H318" s="2">
        <v>1</v>
      </c>
      <c r="I318" s="2" t="s">
        <v>39</v>
      </c>
      <c r="J318" s="2" t="str">
        <f>VLOOKUP(E318,[1]LL_Hub!$A$1:$B$13,2,FALSE)</f>
        <v>New York</v>
      </c>
      <c r="K318" t="str">
        <f>VLOOKUP(D318,'[2]product Table data'!$A$2:$B$12,2,FALSE)</f>
        <v>Female</v>
      </c>
      <c r="L318" t="str">
        <f>VLOOKUP($D318,'[2]product Table data'!$A$2:$G$12,L$1,FALSE)</f>
        <v>Winter Warmth</v>
      </c>
      <c r="M318" t="str">
        <f>VLOOKUP($D318,'[2]product Table data'!$A$2:$G$12,M$1,FALSE)</f>
        <v>Romania</v>
      </c>
      <c r="N318" t="str">
        <f>VLOOKUP($D318,'[2]product Table data'!$A$2:$G$12,N$1,FALSE)</f>
        <v>Eastern Europe</v>
      </c>
      <c r="O318">
        <f>VLOOKUP($D318,'[2]product Table data'!$A$2:$G$12,O$1,FALSE)</f>
        <v>350</v>
      </c>
      <c r="P318">
        <f>VLOOKUP($D318,'[2]product Table data'!$A$2:$G$12,P$1,FALSE)</f>
        <v>450</v>
      </c>
      <c r="Q318">
        <f t="shared" si="20"/>
        <v>100</v>
      </c>
      <c r="R318" t="str">
        <f t="shared" si="21"/>
        <v>-</v>
      </c>
      <c r="S318" t="str">
        <f t="shared" si="22"/>
        <v>-</v>
      </c>
      <c r="T318" t="str">
        <f t="shared" si="23"/>
        <v>-</v>
      </c>
      <c r="U318" t="str">
        <f t="shared" si="24"/>
        <v>High Value</v>
      </c>
    </row>
    <row r="319" spans="1:21" hidden="1" x14ac:dyDescent="0.2">
      <c r="A319" s="2">
        <v>26</v>
      </c>
      <c r="B319" s="2" t="s">
        <v>9</v>
      </c>
      <c r="C319" s="2" t="s">
        <v>519</v>
      </c>
      <c r="D319" s="2" t="s">
        <v>45</v>
      </c>
      <c r="E319" s="2">
        <v>10001</v>
      </c>
      <c r="F319" s="2" t="s">
        <v>42</v>
      </c>
      <c r="G319" s="2" t="s">
        <v>36</v>
      </c>
      <c r="H319" s="2">
        <v>1</v>
      </c>
      <c r="I319" s="2" t="s">
        <v>39</v>
      </c>
      <c r="J319" s="2" t="str">
        <f>VLOOKUP(E319,[1]LL_Hub!$A$1:$B$13,2,FALSE)</f>
        <v>New York</v>
      </c>
      <c r="K319" t="str">
        <f>VLOOKUP(D319,'[2]product Table data'!$A$2:$B$12,2,FALSE)</f>
        <v>Female</v>
      </c>
      <c r="L319" t="str">
        <f>VLOOKUP($D319,'[2]product Table data'!$A$2:$G$12,L$1,FALSE)</f>
        <v>Winter Warmth</v>
      </c>
      <c r="M319" t="str">
        <f>VLOOKUP($D319,'[2]product Table data'!$A$2:$G$12,M$1,FALSE)</f>
        <v>Romania</v>
      </c>
      <c r="N319" t="str">
        <f>VLOOKUP($D319,'[2]product Table data'!$A$2:$G$12,N$1,FALSE)</f>
        <v>Eastern Europe</v>
      </c>
      <c r="O319">
        <f>VLOOKUP($D319,'[2]product Table data'!$A$2:$G$12,O$1,FALSE)</f>
        <v>350</v>
      </c>
      <c r="P319">
        <f>VLOOKUP($D319,'[2]product Table data'!$A$2:$G$12,P$1,FALSE)</f>
        <v>450</v>
      </c>
      <c r="Q319">
        <f t="shared" si="20"/>
        <v>100</v>
      </c>
      <c r="R319" t="str">
        <f t="shared" si="21"/>
        <v>-</v>
      </c>
      <c r="S319" t="str">
        <f t="shared" si="22"/>
        <v>-</v>
      </c>
      <c r="T319" t="str">
        <f t="shared" si="23"/>
        <v>-</v>
      </c>
      <c r="U319" t="str">
        <f t="shared" si="24"/>
        <v>High Value</v>
      </c>
    </row>
    <row r="320" spans="1:21" hidden="1" x14ac:dyDescent="0.2">
      <c r="A320" s="2">
        <v>27</v>
      </c>
      <c r="B320" s="2" t="s">
        <v>9</v>
      </c>
      <c r="C320" s="2" t="s">
        <v>520</v>
      </c>
      <c r="D320" s="2" t="s">
        <v>45</v>
      </c>
      <c r="E320" s="2">
        <v>10001</v>
      </c>
      <c r="F320" s="2" t="s">
        <v>42</v>
      </c>
      <c r="G320" s="2" t="s">
        <v>36</v>
      </c>
      <c r="H320" s="2">
        <v>1</v>
      </c>
      <c r="I320" s="2" t="s">
        <v>39</v>
      </c>
      <c r="J320" s="2" t="str">
        <f>VLOOKUP(E320,[1]LL_Hub!$A$1:$B$13,2,FALSE)</f>
        <v>New York</v>
      </c>
      <c r="K320" t="str">
        <f>VLOOKUP(D320,'[2]product Table data'!$A$2:$B$12,2,FALSE)</f>
        <v>Female</v>
      </c>
      <c r="L320" t="str">
        <f>VLOOKUP($D320,'[2]product Table data'!$A$2:$G$12,L$1,FALSE)</f>
        <v>Winter Warmth</v>
      </c>
      <c r="M320" t="str">
        <f>VLOOKUP($D320,'[2]product Table data'!$A$2:$G$12,M$1,FALSE)</f>
        <v>Romania</v>
      </c>
      <c r="N320" t="str">
        <f>VLOOKUP($D320,'[2]product Table data'!$A$2:$G$12,N$1,FALSE)</f>
        <v>Eastern Europe</v>
      </c>
      <c r="O320">
        <f>VLOOKUP($D320,'[2]product Table data'!$A$2:$G$12,O$1,FALSE)</f>
        <v>350</v>
      </c>
      <c r="P320">
        <f>VLOOKUP($D320,'[2]product Table data'!$A$2:$G$12,P$1,FALSE)</f>
        <v>450</v>
      </c>
      <c r="Q320">
        <f t="shared" si="20"/>
        <v>100</v>
      </c>
      <c r="R320" t="str">
        <f t="shared" si="21"/>
        <v>-</v>
      </c>
      <c r="S320" t="str">
        <f t="shared" si="22"/>
        <v>-</v>
      </c>
      <c r="T320" t="str">
        <f t="shared" si="23"/>
        <v>-</v>
      </c>
      <c r="U320" t="str">
        <f t="shared" si="24"/>
        <v>High Value</v>
      </c>
    </row>
    <row r="321" spans="1:21" hidden="1" x14ac:dyDescent="0.2">
      <c r="A321" s="2">
        <v>31</v>
      </c>
      <c r="B321" s="2" t="s">
        <v>9</v>
      </c>
      <c r="C321" s="2" t="s">
        <v>521</v>
      </c>
      <c r="D321" s="2" t="s">
        <v>45</v>
      </c>
      <c r="E321" s="2">
        <v>10001</v>
      </c>
      <c r="F321" s="2" t="s">
        <v>42</v>
      </c>
      <c r="G321" s="2" t="s">
        <v>36</v>
      </c>
      <c r="H321" s="2">
        <v>1</v>
      </c>
      <c r="I321" s="2" t="s">
        <v>39</v>
      </c>
      <c r="J321" s="2" t="str">
        <f>VLOOKUP(E321,[1]LL_Hub!$A$1:$B$13,2,FALSE)</f>
        <v>New York</v>
      </c>
      <c r="K321" t="str">
        <f>VLOOKUP(D321,'[2]product Table data'!$A$2:$B$12,2,FALSE)</f>
        <v>Female</v>
      </c>
      <c r="L321" t="str">
        <f>VLOOKUP($D321,'[2]product Table data'!$A$2:$G$12,L$1,FALSE)</f>
        <v>Winter Warmth</v>
      </c>
      <c r="M321" t="str">
        <f>VLOOKUP($D321,'[2]product Table data'!$A$2:$G$12,M$1,FALSE)</f>
        <v>Romania</v>
      </c>
      <c r="N321" t="str">
        <f>VLOOKUP($D321,'[2]product Table data'!$A$2:$G$12,N$1,FALSE)</f>
        <v>Eastern Europe</v>
      </c>
      <c r="O321">
        <f>VLOOKUP($D321,'[2]product Table data'!$A$2:$G$12,O$1,FALSE)</f>
        <v>350</v>
      </c>
      <c r="P321">
        <f>VLOOKUP($D321,'[2]product Table data'!$A$2:$G$12,P$1,FALSE)</f>
        <v>450</v>
      </c>
      <c r="Q321">
        <f t="shared" si="20"/>
        <v>100</v>
      </c>
      <c r="R321" t="str">
        <f t="shared" si="21"/>
        <v>-</v>
      </c>
      <c r="S321" t="str">
        <f t="shared" si="22"/>
        <v>-</v>
      </c>
      <c r="T321" t="str">
        <f t="shared" si="23"/>
        <v>-</v>
      </c>
      <c r="U321" t="str">
        <f t="shared" si="24"/>
        <v>High Value</v>
      </c>
    </row>
    <row r="322" spans="1:21" hidden="1" x14ac:dyDescent="0.2">
      <c r="A322" s="2">
        <v>37</v>
      </c>
      <c r="B322" s="2" t="s">
        <v>9</v>
      </c>
      <c r="C322" s="2" t="s">
        <v>522</v>
      </c>
      <c r="D322" s="2" t="s">
        <v>45</v>
      </c>
      <c r="E322" s="2">
        <v>10001</v>
      </c>
      <c r="F322" s="2" t="s">
        <v>42</v>
      </c>
      <c r="G322" s="2" t="s">
        <v>36</v>
      </c>
      <c r="H322" s="2">
        <v>1</v>
      </c>
      <c r="I322" s="2" t="s">
        <v>39</v>
      </c>
      <c r="J322" s="2" t="str">
        <f>VLOOKUP(E322,[1]LL_Hub!$A$1:$B$13,2,FALSE)</f>
        <v>New York</v>
      </c>
      <c r="K322" t="str">
        <f>VLOOKUP(D322,'[2]product Table data'!$A$2:$B$12,2,FALSE)</f>
        <v>Female</v>
      </c>
      <c r="L322" t="str">
        <f>VLOOKUP($D322,'[2]product Table data'!$A$2:$G$12,L$1,FALSE)</f>
        <v>Winter Warmth</v>
      </c>
      <c r="M322" t="str">
        <f>VLOOKUP($D322,'[2]product Table data'!$A$2:$G$12,M$1,FALSE)</f>
        <v>Romania</v>
      </c>
      <c r="N322" t="str">
        <f>VLOOKUP($D322,'[2]product Table data'!$A$2:$G$12,N$1,FALSE)</f>
        <v>Eastern Europe</v>
      </c>
      <c r="O322">
        <f>VLOOKUP($D322,'[2]product Table data'!$A$2:$G$12,O$1,FALSE)</f>
        <v>350</v>
      </c>
      <c r="P322">
        <f>VLOOKUP($D322,'[2]product Table data'!$A$2:$G$12,P$1,FALSE)</f>
        <v>450</v>
      </c>
      <c r="Q322">
        <f t="shared" si="20"/>
        <v>100</v>
      </c>
      <c r="R322" t="str">
        <f t="shared" si="21"/>
        <v>-</v>
      </c>
      <c r="S322" t="str">
        <f t="shared" si="22"/>
        <v>-</v>
      </c>
      <c r="T322" t="str">
        <f t="shared" si="23"/>
        <v>-</v>
      </c>
      <c r="U322" t="str">
        <f t="shared" si="24"/>
        <v>High Value</v>
      </c>
    </row>
    <row r="323" spans="1:21" hidden="1" x14ac:dyDescent="0.2">
      <c r="A323" s="2">
        <v>38</v>
      </c>
      <c r="B323" s="2" t="s">
        <v>9</v>
      </c>
      <c r="C323" s="2" t="s">
        <v>523</v>
      </c>
      <c r="D323" s="2" t="s">
        <v>45</v>
      </c>
      <c r="E323" s="2">
        <v>10001</v>
      </c>
      <c r="F323" s="2" t="s">
        <v>42</v>
      </c>
      <c r="G323" s="2" t="s">
        <v>36</v>
      </c>
      <c r="H323" s="2">
        <v>1</v>
      </c>
      <c r="I323" s="2" t="s">
        <v>39</v>
      </c>
      <c r="J323" s="2" t="str">
        <f>VLOOKUP(E323,[1]LL_Hub!$A$1:$B$13,2,FALSE)</f>
        <v>New York</v>
      </c>
      <c r="K323" t="str">
        <f>VLOOKUP(D323,'[2]product Table data'!$A$2:$B$12,2,FALSE)</f>
        <v>Female</v>
      </c>
      <c r="L323" t="str">
        <f>VLOOKUP($D323,'[2]product Table data'!$A$2:$G$12,L$1,FALSE)</f>
        <v>Winter Warmth</v>
      </c>
      <c r="M323" t="str">
        <f>VLOOKUP($D323,'[2]product Table data'!$A$2:$G$12,M$1,FALSE)</f>
        <v>Romania</v>
      </c>
      <c r="N323" t="str">
        <f>VLOOKUP($D323,'[2]product Table data'!$A$2:$G$12,N$1,FALSE)</f>
        <v>Eastern Europe</v>
      </c>
      <c r="O323">
        <f>VLOOKUP($D323,'[2]product Table data'!$A$2:$G$12,O$1,FALSE)</f>
        <v>350</v>
      </c>
      <c r="P323">
        <f>VLOOKUP($D323,'[2]product Table data'!$A$2:$G$12,P$1,FALSE)</f>
        <v>450</v>
      </c>
      <c r="Q323">
        <f t="shared" ref="Q323:Q386" si="25">P323-O323</f>
        <v>100</v>
      </c>
      <c r="R323" t="str">
        <f t="shared" ref="R323:R386" si="26">IF(OR(J323="Los Angeles",J323="Denver"),"Hub Risk","-")</f>
        <v>-</v>
      </c>
      <c r="S323" t="str">
        <f t="shared" ref="S323:S386" si="27">IF(OR(L323="Casual n Light",L323="Fancy Sheek"),"Style Risk","-")</f>
        <v>-</v>
      </c>
      <c r="T323" t="str">
        <f t="shared" ref="T323:T386" si="28">IF(AND(R323="Hub Risk", S323="Style Risk"), "Risk", "-")</f>
        <v>-</v>
      </c>
      <c r="U323" t="str">
        <f t="shared" ref="U323:U386" si="29">IF(Q323&lt;=5, "Low Value", "High Value")</f>
        <v>High Value</v>
      </c>
    </row>
    <row r="324" spans="1:21" hidden="1" x14ac:dyDescent="0.2">
      <c r="A324" s="2">
        <v>39</v>
      </c>
      <c r="B324" s="2" t="s">
        <v>9</v>
      </c>
      <c r="C324" s="2" t="s">
        <v>524</v>
      </c>
      <c r="D324" s="2" t="s">
        <v>41</v>
      </c>
      <c r="E324" s="2">
        <v>10001</v>
      </c>
      <c r="F324" s="2" t="s">
        <v>35</v>
      </c>
      <c r="G324" s="2" t="s">
        <v>36</v>
      </c>
      <c r="H324" s="2">
        <v>1</v>
      </c>
      <c r="I324" s="2" t="s">
        <v>39</v>
      </c>
      <c r="J324" s="2" t="str">
        <f>VLOOKUP(E324,[1]LL_Hub!$A$1:$B$13,2,FALSE)</f>
        <v>New York</v>
      </c>
      <c r="K324" t="str">
        <f>VLOOKUP(D324,'[2]product Table data'!$A$2:$B$12,2,FALSE)</f>
        <v>Male</v>
      </c>
      <c r="L324" t="str">
        <f>VLOOKUP($D324,'[2]product Table data'!$A$2:$G$12,L$1,FALSE)</f>
        <v>Winter Warmth</v>
      </c>
      <c r="M324" t="str">
        <f>VLOOKUP($D324,'[2]product Table data'!$A$2:$G$12,M$1,FALSE)</f>
        <v>Moldova</v>
      </c>
      <c r="N324" t="str">
        <f>VLOOKUP($D324,'[2]product Table data'!$A$2:$G$12,N$1,FALSE)</f>
        <v>Eastern Europe</v>
      </c>
      <c r="O324">
        <f>VLOOKUP($D324,'[2]product Table data'!$A$2:$G$12,O$1,FALSE)</f>
        <v>475</v>
      </c>
      <c r="P324">
        <f>VLOOKUP($D324,'[2]product Table data'!$A$2:$G$12,P$1,FALSE)</f>
        <v>600</v>
      </c>
      <c r="Q324">
        <f t="shared" si="25"/>
        <v>125</v>
      </c>
      <c r="R324" t="str">
        <f t="shared" si="26"/>
        <v>-</v>
      </c>
      <c r="S324" t="str">
        <f t="shared" si="27"/>
        <v>-</v>
      </c>
      <c r="T324" t="str">
        <f t="shared" si="28"/>
        <v>-</v>
      </c>
      <c r="U324" t="str">
        <f t="shared" si="29"/>
        <v>High Value</v>
      </c>
    </row>
    <row r="325" spans="1:21" hidden="1" x14ac:dyDescent="0.2">
      <c r="A325" s="2">
        <v>40</v>
      </c>
      <c r="B325" s="2" t="s">
        <v>9</v>
      </c>
      <c r="C325" s="2" t="s">
        <v>525</v>
      </c>
      <c r="D325" s="2" t="s">
        <v>41</v>
      </c>
      <c r="E325" s="2">
        <v>10001</v>
      </c>
      <c r="F325" s="2" t="s">
        <v>35</v>
      </c>
      <c r="G325" s="2" t="s">
        <v>36</v>
      </c>
      <c r="H325" s="2">
        <v>1</v>
      </c>
      <c r="I325" s="2" t="s">
        <v>39</v>
      </c>
      <c r="J325" s="2" t="str">
        <f>VLOOKUP(E325,[1]LL_Hub!$A$1:$B$13,2,FALSE)</f>
        <v>New York</v>
      </c>
      <c r="K325" t="str">
        <f>VLOOKUP(D325,'[2]product Table data'!$A$2:$B$12,2,FALSE)</f>
        <v>Male</v>
      </c>
      <c r="L325" t="str">
        <f>VLOOKUP($D325,'[2]product Table data'!$A$2:$G$12,L$1,FALSE)</f>
        <v>Winter Warmth</v>
      </c>
      <c r="M325" t="str">
        <f>VLOOKUP($D325,'[2]product Table data'!$A$2:$G$12,M$1,FALSE)</f>
        <v>Moldova</v>
      </c>
      <c r="N325" t="str">
        <f>VLOOKUP($D325,'[2]product Table data'!$A$2:$G$12,N$1,FALSE)</f>
        <v>Eastern Europe</v>
      </c>
      <c r="O325">
        <f>VLOOKUP($D325,'[2]product Table data'!$A$2:$G$12,O$1,FALSE)</f>
        <v>475</v>
      </c>
      <c r="P325">
        <f>VLOOKUP($D325,'[2]product Table data'!$A$2:$G$12,P$1,FALSE)</f>
        <v>600</v>
      </c>
      <c r="Q325">
        <f t="shared" si="25"/>
        <v>125</v>
      </c>
      <c r="R325" t="str">
        <f t="shared" si="26"/>
        <v>-</v>
      </c>
      <c r="S325" t="str">
        <f t="shared" si="27"/>
        <v>-</v>
      </c>
      <c r="T325" t="str">
        <f t="shared" si="28"/>
        <v>-</v>
      </c>
      <c r="U325" t="str">
        <f t="shared" si="29"/>
        <v>High Value</v>
      </c>
    </row>
    <row r="326" spans="1:21" hidden="1" x14ac:dyDescent="0.2">
      <c r="A326" s="2">
        <v>41</v>
      </c>
      <c r="B326" s="2" t="s">
        <v>9</v>
      </c>
      <c r="C326" s="2" t="s">
        <v>526</v>
      </c>
      <c r="D326" s="2" t="s">
        <v>41</v>
      </c>
      <c r="E326" s="2">
        <v>10001</v>
      </c>
      <c r="F326" s="2" t="s">
        <v>35</v>
      </c>
      <c r="G326" s="2" t="s">
        <v>36</v>
      </c>
      <c r="H326" s="2">
        <v>1</v>
      </c>
      <c r="I326" s="2" t="s">
        <v>39</v>
      </c>
      <c r="J326" s="2" t="str">
        <f>VLOOKUP(E326,[1]LL_Hub!$A$1:$B$13,2,FALSE)</f>
        <v>New York</v>
      </c>
      <c r="K326" t="str">
        <f>VLOOKUP(D326,'[2]product Table data'!$A$2:$B$12,2,FALSE)</f>
        <v>Male</v>
      </c>
      <c r="L326" t="str">
        <f>VLOOKUP($D326,'[2]product Table data'!$A$2:$G$12,L$1,FALSE)</f>
        <v>Winter Warmth</v>
      </c>
      <c r="M326" t="str">
        <f>VLOOKUP($D326,'[2]product Table data'!$A$2:$G$12,M$1,FALSE)</f>
        <v>Moldova</v>
      </c>
      <c r="N326" t="str">
        <f>VLOOKUP($D326,'[2]product Table data'!$A$2:$G$12,N$1,FALSE)</f>
        <v>Eastern Europe</v>
      </c>
      <c r="O326">
        <f>VLOOKUP($D326,'[2]product Table data'!$A$2:$G$12,O$1,FALSE)</f>
        <v>475</v>
      </c>
      <c r="P326">
        <f>VLOOKUP($D326,'[2]product Table data'!$A$2:$G$12,P$1,FALSE)</f>
        <v>600</v>
      </c>
      <c r="Q326">
        <f t="shared" si="25"/>
        <v>125</v>
      </c>
      <c r="R326" t="str">
        <f t="shared" si="26"/>
        <v>-</v>
      </c>
      <c r="S326" t="str">
        <f t="shared" si="27"/>
        <v>-</v>
      </c>
      <c r="T326" t="str">
        <f t="shared" si="28"/>
        <v>-</v>
      </c>
      <c r="U326" t="str">
        <f t="shared" si="29"/>
        <v>High Value</v>
      </c>
    </row>
    <row r="327" spans="1:21" hidden="1" x14ac:dyDescent="0.2">
      <c r="A327" s="2">
        <v>42</v>
      </c>
      <c r="B327" s="2" t="s">
        <v>9</v>
      </c>
      <c r="C327" s="2" t="s">
        <v>527</v>
      </c>
      <c r="D327" s="2" t="s">
        <v>41</v>
      </c>
      <c r="E327" s="2">
        <v>10001</v>
      </c>
      <c r="F327" s="2" t="s">
        <v>35</v>
      </c>
      <c r="G327" s="2" t="s">
        <v>36</v>
      </c>
      <c r="H327" s="2">
        <v>1</v>
      </c>
      <c r="I327" s="2" t="s">
        <v>39</v>
      </c>
      <c r="J327" s="2" t="str">
        <f>VLOOKUP(E327,[1]LL_Hub!$A$1:$B$13,2,FALSE)</f>
        <v>New York</v>
      </c>
      <c r="K327" t="str">
        <f>VLOOKUP(D327,'[2]product Table data'!$A$2:$B$12,2,FALSE)</f>
        <v>Male</v>
      </c>
      <c r="L327" t="str">
        <f>VLOOKUP($D327,'[2]product Table data'!$A$2:$G$12,L$1,FALSE)</f>
        <v>Winter Warmth</v>
      </c>
      <c r="M327" t="str">
        <f>VLOOKUP($D327,'[2]product Table data'!$A$2:$G$12,M$1,FALSE)</f>
        <v>Moldova</v>
      </c>
      <c r="N327" t="str">
        <f>VLOOKUP($D327,'[2]product Table data'!$A$2:$G$12,N$1,FALSE)</f>
        <v>Eastern Europe</v>
      </c>
      <c r="O327">
        <f>VLOOKUP($D327,'[2]product Table data'!$A$2:$G$12,O$1,FALSE)</f>
        <v>475</v>
      </c>
      <c r="P327">
        <f>VLOOKUP($D327,'[2]product Table data'!$A$2:$G$12,P$1,FALSE)</f>
        <v>600</v>
      </c>
      <c r="Q327">
        <f t="shared" si="25"/>
        <v>125</v>
      </c>
      <c r="R327" t="str">
        <f t="shared" si="26"/>
        <v>-</v>
      </c>
      <c r="S327" t="str">
        <f t="shared" si="27"/>
        <v>-</v>
      </c>
      <c r="T327" t="str">
        <f t="shared" si="28"/>
        <v>-</v>
      </c>
      <c r="U327" t="str">
        <f t="shared" si="29"/>
        <v>High Value</v>
      </c>
    </row>
    <row r="328" spans="1:21" hidden="1" x14ac:dyDescent="0.2">
      <c r="A328" s="2">
        <v>43</v>
      </c>
      <c r="B328" s="2" t="s">
        <v>9</v>
      </c>
      <c r="C328" s="2" t="s">
        <v>528</v>
      </c>
      <c r="D328" s="2" t="s">
        <v>41</v>
      </c>
      <c r="E328" s="2">
        <v>10001</v>
      </c>
      <c r="F328" s="2" t="s">
        <v>35</v>
      </c>
      <c r="G328" s="2" t="s">
        <v>36</v>
      </c>
      <c r="H328" s="2">
        <v>1</v>
      </c>
      <c r="I328" s="2" t="s">
        <v>39</v>
      </c>
      <c r="J328" s="2" t="str">
        <f>VLOOKUP(E328,[1]LL_Hub!$A$1:$B$13,2,FALSE)</f>
        <v>New York</v>
      </c>
      <c r="K328" t="str">
        <f>VLOOKUP(D328,'[2]product Table data'!$A$2:$B$12,2,FALSE)</f>
        <v>Male</v>
      </c>
      <c r="L328" t="str">
        <f>VLOOKUP($D328,'[2]product Table data'!$A$2:$G$12,L$1,FALSE)</f>
        <v>Winter Warmth</v>
      </c>
      <c r="M328" t="str">
        <f>VLOOKUP($D328,'[2]product Table data'!$A$2:$G$12,M$1,FALSE)</f>
        <v>Moldova</v>
      </c>
      <c r="N328" t="str">
        <f>VLOOKUP($D328,'[2]product Table data'!$A$2:$G$12,N$1,FALSE)</f>
        <v>Eastern Europe</v>
      </c>
      <c r="O328">
        <f>VLOOKUP($D328,'[2]product Table data'!$A$2:$G$12,O$1,FALSE)</f>
        <v>475</v>
      </c>
      <c r="P328">
        <f>VLOOKUP($D328,'[2]product Table data'!$A$2:$G$12,P$1,FALSE)</f>
        <v>600</v>
      </c>
      <c r="Q328">
        <f t="shared" si="25"/>
        <v>125</v>
      </c>
      <c r="R328" t="str">
        <f t="shared" si="26"/>
        <v>-</v>
      </c>
      <c r="S328" t="str">
        <f t="shared" si="27"/>
        <v>-</v>
      </c>
      <c r="T328" t="str">
        <f t="shared" si="28"/>
        <v>-</v>
      </c>
      <c r="U328" t="str">
        <f t="shared" si="29"/>
        <v>High Value</v>
      </c>
    </row>
    <row r="329" spans="1:21" hidden="1" x14ac:dyDescent="0.2">
      <c r="A329" s="2">
        <v>44</v>
      </c>
      <c r="B329" s="2" t="s">
        <v>9</v>
      </c>
      <c r="C329" s="2" t="s">
        <v>529</v>
      </c>
      <c r="D329" s="2" t="s">
        <v>41</v>
      </c>
      <c r="E329" s="2">
        <v>10001</v>
      </c>
      <c r="F329" s="2" t="s">
        <v>530</v>
      </c>
      <c r="G329" s="2" t="s">
        <v>13</v>
      </c>
      <c r="H329" s="2">
        <v>1</v>
      </c>
      <c r="I329" s="2" t="s">
        <v>39</v>
      </c>
      <c r="J329" s="2" t="str">
        <f>VLOOKUP(E329,[1]LL_Hub!$A$1:$B$13,2,FALSE)</f>
        <v>New York</v>
      </c>
      <c r="K329" t="str">
        <f>VLOOKUP(D329,'[2]product Table data'!$A$2:$B$12,2,FALSE)</f>
        <v>Male</v>
      </c>
      <c r="L329" t="str">
        <f>VLOOKUP($D329,'[2]product Table data'!$A$2:$G$12,L$1,FALSE)</f>
        <v>Winter Warmth</v>
      </c>
      <c r="M329" t="str">
        <f>VLOOKUP($D329,'[2]product Table data'!$A$2:$G$12,M$1,FALSE)</f>
        <v>Moldova</v>
      </c>
      <c r="N329" t="str">
        <f>VLOOKUP($D329,'[2]product Table data'!$A$2:$G$12,N$1,FALSE)</f>
        <v>Eastern Europe</v>
      </c>
      <c r="O329">
        <f>VLOOKUP($D329,'[2]product Table data'!$A$2:$G$12,O$1,FALSE)</f>
        <v>475</v>
      </c>
      <c r="P329">
        <f>VLOOKUP($D329,'[2]product Table data'!$A$2:$G$12,P$1,FALSE)</f>
        <v>600</v>
      </c>
      <c r="Q329">
        <f t="shared" si="25"/>
        <v>125</v>
      </c>
      <c r="R329" t="str">
        <f t="shared" si="26"/>
        <v>-</v>
      </c>
      <c r="S329" t="str">
        <f t="shared" si="27"/>
        <v>-</v>
      </c>
      <c r="T329" t="str">
        <f t="shared" si="28"/>
        <v>-</v>
      </c>
      <c r="U329" t="str">
        <f t="shared" si="29"/>
        <v>High Value</v>
      </c>
    </row>
    <row r="330" spans="1:21" hidden="1" x14ac:dyDescent="0.2">
      <c r="A330" s="2">
        <v>45</v>
      </c>
      <c r="B330" s="2" t="s">
        <v>9</v>
      </c>
      <c r="C330" s="2" t="s">
        <v>531</v>
      </c>
      <c r="D330" s="2" t="s">
        <v>41</v>
      </c>
      <c r="E330" s="2">
        <v>10001</v>
      </c>
      <c r="F330" s="2" t="s">
        <v>532</v>
      </c>
      <c r="G330" s="2" t="s">
        <v>13</v>
      </c>
      <c r="H330" s="2">
        <v>1</v>
      </c>
      <c r="I330" s="2" t="s">
        <v>39</v>
      </c>
      <c r="J330" s="2" t="str">
        <f>VLOOKUP(E330,[1]LL_Hub!$A$1:$B$13,2,FALSE)</f>
        <v>New York</v>
      </c>
      <c r="K330" t="str">
        <f>VLOOKUP(D330,'[2]product Table data'!$A$2:$B$12,2,FALSE)</f>
        <v>Male</v>
      </c>
      <c r="L330" t="str">
        <f>VLOOKUP($D330,'[2]product Table data'!$A$2:$G$12,L$1,FALSE)</f>
        <v>Winter Warmth</v>
      </c>
      <c r="M330" t="str">
        <f>VLOOKUP($D330,'[2]product Table data'!$A$2:$G$12,M$1,FALSE)</f>
        <v>Moldova</v>
      </c>
      <c r="N330" t="str">
        <f>VLOOKUP($D330,'[2]product Table data'!$A$2:$G$12,N$1,FALSE)</f>
        <v>Eastern Europe</v>
      </c>
      <c r="O330">
        <f>VLOOKUP($D330,'[2]product Table data'!$A$2:$G$12,O$1,FALSE)</f>
        <v>475</v>
      </c>
      <c r="P330">
        <f>VLOOKUP($D330,'[2]product Table data'!$A$2:$G$12,P$1,FALSE)</f>
        <v>600</v>
      </c>
      <c r="Q330">
        <f t="shared" si="25"/>
        <v>125</v>
      </c>
      <c r="R330" t="str">
        <f t="shared" si="26"/>
        <v>-</v>
      </c>
      <c r="S330" t="str">
        <f t="shared" si="27"/>
        <v>-</v>
      </c>
      <c r="T330" t="str">
        <f t="shared" si="28"/>
        <v>-</v>
      </c>
      <c r="U330" t="str">
        <f t="shared" si="29"/>
        <v>High Value</v>
      </c>
    </row>
    <row r="331" spans="1:21" hidden="1" x14ac:dyDescent="0.2">
      <c r="A331" s="2">
        <v>46</v>
      </c>
      <c r="B331" s="2" t="s">
        <v>9</v>
      </c>
      <c r="C331" s="2" t="s">
        <v>533</v>
      </c>
      <c r="D331" s="2" t="s">
        <v>41</v>
      </c>
      <c r="E331" s="2">
        <v>10001</v>
      </c>
      <c r="F331" s="2" t="s">
        <v>534</v>
      </c>
      <c r="G331" s="2" t="s">
        <v>13</v>
      </c>
      <c r="H331" s="2">
        <v>1</v>
      </c>
      <c r="I331" s="2" t="s">
        <v>39</v>
      </c>
      <c r="J331" s="2" t="str">
        <f>VLOOKUP(E331,[1]LL_Hub!$A$1:$B$13,2,FALSE)</f>
        <v>New York</v>
      </c>
      <c r="K331" t="str">
        <f>VLOOKUP(D331,'[2]product Table data'!$A$2:$B$12,2,FALSE)</f>
        <v>Male</v>
      </c>
      <c r="L331" t="str">
        <f>VLOOKUP($D331,'[2]product Table data'!$A$2:$G$12,L$1,FALSE)</f>
        <v>Winter Warmth</v>
      </c>
      <c r="M331" t="str">
        <f>VLOOKUP($D331,'[2]product Table data'!$A$2:$G$12,M$1,FALSE)</f>
        <v>Moldova</v>
      </c>
      <c r="N331" t="str">
        <f>VLOOKUP($D331,'[2]product Table data'!$A$2:$G$12,N$1,FALSE)</f>
        <v>Eastern Europe</v>
      </c>
      <c r="O331">
        <f>VLOOKUP($D331,'[2]product Table data'!$A$2:$G$12,O$1,FALSE)</f>
        <v>475</v>
      </c>
      <c r="P331">
        <f>VLOOKUP($D331,'[2]product Table data'!$A$2:$G$12,P$1,FALSE)</f>
        <v>600</v>
      </c>
      <c r="Q331">
        <f t="shared" si="25"/>
        <v>125</v>
      </c>
      <c r="R331" t="str">
        <f t="shared" si="26"/>
        <v>-</v>
      </c>
      <c r="S331" t="str">
        <f t="shared" si="27"/>
        <v>-</v>
      </c>
      <c r="T331" t="str">
        <f t="shared" si="28"/>
        <v>-</v>
      </c>
      <c r="U331" t="str">
        <f t="shared" si="29"/>
        <v>High Value</v>
      </c>
    </row>
    <row r="332" spans="1:21" hidden="1" x14ac:dyDescent="0.2">
      <c r="A332" s="2">
        <v>47</v>
      </c>
      <c r="B332" s="2" t="s">
        <v>9</v>
      </c>
      <c r="C332" s="2" t="s">
        <v>535</v>
      </c>
      <c r="D332" s="2" t="s">
        <v>41</v>
      </c>
      <c r="E332" s="2">
        <v>10001</v>
      </c>
      <c r="F332" s="2" t="s">
        <v>536</v>
      </c>
      <c r="G332" s="2" t="s">
        <v>13</v>
      </c>
      <c r="H332" s="2">
        <v>1</v>
      </c>
      <c r="I332" s="2" t="s">
        <v>39</v>
      </c>
      <c r="J332" s="2" t="str">
        <f>VLOOKUP(E332,[1]LL_Hub!$A$1:$B$13,2,FALSE)</f>
        <v>New York</v>
      </c>
      <c r="K332" t="str">
        <f>VLOOKUP(D332,'[2]product Table data'!$A$2:$B$12,2,FALSE)</f>
        <v>Male</v>
      </c>
      <c r="L332" t="str">
        <f>VLOOKUP($D332,'[2]product Table data'!$A$2:$G$12,L$1,FALSE)</f>
        <v>Winter Warmth</v>
      </c>
      <c r="M332" t="str">
        <f>VLOOKUP($D332,'[2]product Table data'!$A$2:$G$12,M$1,FALSE)</f>
        <v>Moldova</v>
      </c>
      <c r="N332" t="str">
        <f>VLOOKUP($D332,'[2]product Table data'!$A$2:$G$12,N$1,FALSE)</f>
        <v>Eastern Europe</v>
      </c>
      <c r="O332">
        <f>VLOOKUP($D332,'[2]product Table data'!$A$2:$G$12,O$1,FALSE)</f>
        <v>475</v>
      </c>
      <c r="P332">
        <f>VLOOKUP($D332,'[2]product Table data'!$A$2:$G$12,P$1,FALSE)</f>
        <v>600</v>
      </c>
      <c r="Q332">
        <f t="shared" si="25"/>
        <v>125</v>
      </c>
      <c r="R332" t="str">
        <f t="shared" si="26"/>
        <v>-</v>
      </c>
      <c r="S332" t="str">
        <f t="shared" si="27"/>
        <v>-</v>
      </c>
      <c r="T332" t="str">
        <f t="shared" si="28"/>
        <v>-</v>
      </c>
      <c r="U332" t="str">
        <f t="shared" si="29"/>
        <v>High Value</v>
      </c>
    </row>
    <row r="333" spans="1:21" hidden="1" x14ac:dyDescent="0.2">
      <c r="A333" s="2">
        <v>49</v>
      </c>
      <c r="B333" s="2" t="s">
        <v>9</v>
      </c>
      <c r="C333" s="2" t="s">
        <v>537</v>
      </c>
      <c r="D333" s="2" t="s">
        <v>45</v>
      </c>
      <c r="E333" s="2">
        <v>10001</v>
      </c>
      <c r="F333" s="2" t="s">
        <v>538</v>
      </c>
      <c r="G333" s="2" t="s">
        <v>13</v>
      </c>
      <c r="H333" s="2">
        <v>1</v>
      </c>
      <c r="I333" s="2" t="s">
        <v>39</v>
      </c>
      <c r="J333" s="2" t="str">
        <f>VLOOKUP(E333,[1]LL_Hub!$A$1:$B$13,2,FALSE)</f>
        <v>New York</v>
      </c>
      <c r="K333" t="str">
        <f>VLOOKUP(D333,'[2]product Table data'!$A$2:$B$12,2,FALSE)</f>
        <v>Female</v>
      </c>
      <c r="L333" t="str">
        <f>VLOOKUP($D333,'[2]product Table data'!$A$2:$G$12,L$1,FALSE)</f>
        <v>Winter Warmth</v>
      </c>
      <c r="M333" t="str">
        <f>VLOOKUP($D333,'[2]product Table data'!$A$2:$G$12,M$1,FALSE)</f>
        <v>Romania</v>
      </c>
      <c r="N333" t="str">
        <f>VLOOKUP($D333,'[2]product Table data'!$A$2:$G$12,N$1,FALSE)</f>
        <v>Eastern Europe</v>
      </c>
      <c r="O333">
        <f>VLOOKUP($D333,'[2]product Table data'!$A$2:$G$12,O$1,FALSE)</f>
        <v>350</v>
      </c>
      <c r="P333">
        <f>VLOOKUP($D333,'[2]product Table data'!$A$2:$G$12,P$1,FALSE)</f>
        <v>450</v>
      </c>
      <c r="Q333">
        <f t="shared" si="25"/>
        <v>100</v>
      </c>
      <c r="R333" t="str">
        <f t="shared" si="26"/>
        <v>-</v>
      </c>
      <c r="S333" t="str">
        <f t="shared" si="27"/>
        <v>-</v>
      </c>
      <c r="T333" t="str">
        <f t="shared" si="28"/>
        <v>-</v>
      </c>
      <c r="U333" t="str">
        <f t="shared" si="29"/>
        <v>High Value</v>
      </c>
    </row>
    <row r="334" spans="1:21" hidden="1" x14ac:dyDescent="0.2">
      <c r="A334" s="2">
        <v>50</v>
      </c>
      <c r="B334" s="2" t="s">
        <v>9</v>
      </c>
      <c r="C334" s="2" t="s">
        <v>539</v>
      </c>
      <c r="D334" s="2" t="s">
        <v>505</v>
      </c>
      <c r="E334" s="2">
        <v>10001</v>
      </c>
      <c r="F334" s="2" t="s">
        <v>540</v>
      </c>
      <c r="G334" s="2" t="s">
        <v>13</v>
      </c>
      <c r="H334" s="2">
        <v>1</v>
      </c>
      <c r="I334" s="2" t="s">
        <v>17</v>
      </c>
      <c r="J334" s="2" t="str">
        <f>VLOOKUP(E334,[1]LL_Hub!$A$1:$B$13,2,FALSE)</f>
        <v>New York</v>
      </c>
      <c r="K334" t="str">
        <f>VLOOKUP(D334,'[2]product Table data'!$A$2:$B$12,2,FALSE)</f>
        <v>Female</v>
      </c>
      <c r="L334" t="str">
        <f>VLOOKUP($D334,'[2]product Table data'!$A$2:$G$12,L$1,FALSE)</f>
        <v>Casual n Light</v>
      </c>
      <c r="M334" t="str">
        <f>VLOOKUP($D334,'[2]product Table data'!$A$2:$G$12,M$1,FALSE)</f>
        <v>Honduras</v>
      </c>
      <c r="N334" t="str">
        <f>VLOOKUP($D334,'[2]product Table data'!$A$2:$G$12,N$1,FALSE)</f>
        <v>Central America</v>
      </c>
      <c r="O334">
        <f>VLOOKUP($D334,'[2]product Table data'!$A$2:$G$12,O$1,FALSE)</f>
        <v>30</v>
      </c>
      <c r="P334">
        <f>VLOOKUP($D334,'[2]product Table data'!$A$2:$G$12,P$1,FALSE)</f>
        <v>45</v>
      </c>
      <c r="Q334">
        <f t="shared" si="25"/>
        <v>15</v>
      </c>
      <c r="R334" t="str">
        <f t="shared" si="26"/>
        <v>-</v>
      </c>
      <c r="S334" t="str">
        <f t="shared" si="27"/>
        <v>Style Risk</v>
      </c>
      <c r="T334" t="str">
        <f t="shared" si="28"/>
        <v>-</v>
      </c>
      <c r="U334" t="str">
        <f t="shared" si="29"/>
        <v>High Value</v>
      </c>
    </row>
    <row r="335" spans="1:21" hidden="1" x14ac:dyDescent="0.2">
      <c r="A335" s="2">
        <v>51</v>
      </c>
      <c r="B335" s="2" t="s">
        <v>9</v>
      </c>
      <c r="C335" s="2" t="s">
        <v>541</v>
      </c>
      <c r="D335" s="2" t="s">
        <v>505</v>
      </c>
      <c r="E335" s="2">
        <v>10001</v>
      </c>
      <c r="F335" s="2" t="s">
        <v>542</v>
      </c>
      <c r="G335" s="2" t="s">
        <v>13</v>
      </c>
      <c r="H335" s="2">
        <v>1</v>
      </c>
      <c r="I335" s="2" t="s">
        <v>17</v>
      </c>
      <c r="J335" s="2" t="str">
        <f>VLOOKUP(E335,[1]LL_Hub!$A$1:$B$13,2,FALSE)</f>
        <v>New York</v>
      </c>
      <c r="K335" t="str">
        <f>VLOOKUP(D335,'[2]product Table data'!$A$2:$B$12,2,FALSE)</f>
        <v>Female</v>
      </c>
      <c r="L335" t="str">
        <f>VLOOKUP($D335,'[2]product Table data'!$A$2:$G$12,L$1,FALSE)</f>
        <v>Casual n Light</v>
      </c>
      <c r="M335" t="str">
        <f>VLOOKUP($D335,'[2]product Table data'!$A$2:$G$12,M$1,FALSE)</f>
        <v>Honduras</v>
      </c>
      <c r="N335" t="str">
        <f>VLOOKUP($D335,'[2]product Table data'!$A$2:$G$12,N$1,FALSE)</f>
        <v>Central America</v>
      </c>
      <c r="O335">
        <f>VLOOKUP($D335,'[2]product Table data'!$A$2:$G$12,O$1,FALSE)</f>
        <v>30</v>
      </c>
      <c r="P335">
        <f>VLOOKUP($D335,'[2]product Table data'!$A$2:$G$12,P$1,FALSE)</f>
        <v>45</v>
      </c>
      <c r="Q335">
        <f t="shared" si="25"/>
        <v>15</v>
      </c>
      <c r="R335" t="str">
        <f t="shared" si="26"/>
        <v>-</v>
      </c>
      <c r="S335" t="str">
        <f t="shared" si="27"/>
        <v>Style Risk</v>
      </c>
      <c r="T335" t="str">
        <f t="shared" si="28"/>
        <v>-</v>
      </c>
      <c r="U335" t="str">
        <f t="shared" si="29"/>
        <v>High Value</v>
      </c>
    </row>
    <row r="336" spans="1:21" hidden="1" x14ac:dyDescent="0.2">
      <c r="A336" s="2">
        <v>52</v>
      </c>
      <c r="B336" s="2" t="s">
        <v>9</v>
      </c>
      <c r="C336" s="2" t="s">
        <v>543</v>
      </c>
      <c r="D336" s="2" t="s">
        <v>45</v>
      </c>
      <c r="E336" s="2">
        <v>10001</v>
      </c>
      <c r="F336" s="2" t="s">
        <v>544</v>
      </c>
      <c r="G336" s="2" t="s">
        <v>13</v>
      </c>
      <c r="H336" s="2">
        <v>1</v>
      </c>
      <c r="I336" s="2" t="s">
        <v>39</v>
      </c>
      <c r="J336" s="2" t="str">
        <f>VLOOKUP(E336,[1]LL_Hub!$A$1:$B$13,2,FALSE)</f>
        <v>New York</v>
      </c>
      <c r="K336" t="str">
        <f>VLOOKUP(D336,'[2]product Table data'!$A$2:$B$12,2,FALSE)</f>
        <v>Female</v>
      </c>
      <c r="L336" t="str">
        <f>VLOOKUP($D336,'[2]product Table data'!$A$2:$G$12,L$1,FALSE)</f>
        <v>Winter Warmth</v>
      </c>
      <c r="M336" t="str">
        <f>VLOOKUP($D336,'[2]product Table data'!$A$2:$G$12,M$1,FALSE)</f>
        <v>Romania</v>
      </c>
      <c r="N336" t="str">
        <f>VLOOKUP($D336,'[2]product Table data'!$A$2:$G$12,N$1,FALSE)</f>
        <v>Eastern Europe</v>
      </c>
      <c r="O336">
        <f>VLOOKUP($D336,'[2]product Table data'!$A$2:$G$12,O$1,FALSE)</f>
        <v>350</v>
      </c>
      <c r="P336">
        <f>VLOOKUP($D336,'[2]product Table data'!$A$2:$G$12,P$1,FALSE)</f>
        <v>450</v>
      </c>
      <c r="Q336">
        <f t="shared" si="25"/>
        <v>100</v>
      </c>
      <c r="R336" t="str">
        <f t="shared" si="26"/>
        <v>-</v>
      </c>
      <c r="S336" t="str">
        <f t="shared" si="27"/>
        <v>-</v>
      </c>
      <c r="T336" t="str">
        <f t="shared" si="28"/>
        <v>-</v>
      </c>
      <c r="U336" t="str">
        <f t="shared" si="29"/>
        <v>High Value</v>
      </c>
    </row>
    <row r="337" spans="1:21" hidden="1" x14ac:dyDescent="0.2">
      <c r="A337" s="2">
        <v>53</v>
      </c>
      <c r="B337" s="2" t="s">
        <v>9</v>
      </c>
      <c r="C337" s="2" t="s">
        <v>545</v>
      </c>
      <c r="D337" s="2" t="s">
        <v>45</v>
      </c>
      <c r="E337" s="2">
        <v>10001</v>
      </c>
      <c r="F337" s="2" t="s">
        <v>546</v>
      </c>
      <c r="G337" s="2" t="s">
        <v>13</v>
      </c>
      <c r="H337" s="2">
        <v>1</v>
      </c>
      <c r="I337" s="2" t="s">
        <v>39</v>
      </c>
      <c r="J337" s="2" t="str">
        <f>VLOOKUP(E337,[1]LL_Hub!$A$1:$B$13,2,FALSE)</f>
        <v>New York</v>
      </c>
      <c r="K337" t="str">
        <f>VLOOKUP(D337,'[2]product Table data'!$A$2:$B$12,2,FALSE)</f>
        <v>Female</v>
      </c>
      <c r="L337" t="str">
        <f>VLOOKUP($D337,'[2]product Table data'!$A$2:$G$12,L$1,FALSE)</f>
        <v>Winter Warmth</v>
      </c>
      <c r="M337" t="str">
        <f>VLOOKUP($D337,'[2]product Table data'!$A$2:$G$12,M$1,FALSE)</f>
        <v>Romania</v>
      </c>
      <c r="N337" t="str">
        <f>VLOOKUP($D337,'[2]product Table data'!$A$2:$G$12,N$1,FALSE)</f>
        <v>Eastern Europe</v>
      </c>
      <c r="O337">
        <f>VLOOKUP($D337,'[2]product Table data'!$A$2:$G$12,O$1,FALSE)</f>
        <v>350</v>
      </c>
      <c r="P337">
        <f>VLOOKUP($D337,'[2]product Table data'!$A$2:$G$12,P$1,FALSE)</f>
        <v>450</v>
      </c>
      <c r="Q337">
        <f t="shared" si="25"/>
        <v>100</v>
      </c>
      <c r="R337" t="str">
        <f t="shared" si="26"/>
        <v>-</v>
      </c>
      <c r="S337" t="str">
        <f t="shared" si="27"/>
        <v>-</v>
      </c>
      <c r="T337" t="str">
        <f t="shared" si="28"/>
        <v>-</v>
      </c>
      <c r="U337" t="str">
        <f t="shared" si="29"/>
        <v>High Value</v>
      </c>
    </row>
    <row r="338" spans="1:21" hidden="1" x14ac:dyDescent="0.2">
      <c r="A338" s="2">
        <v>54</v>
      </c>
      <c r="B338" s="2" t="s">
        <v>9</v>
      </c>
      <c r="C338" s="2" t="s">
        <v>547</v>
      </c>
      <c r="D338" s="2" t="s">
        <v>45</v>
      </c>
      <c r="E338" s="2">
        <v>10001</v>
      </c>
      <c r="F338" s="2" t="s">
        <v>35</v>
      </c>
      <c r="G338" s="2" t="s">
        <v>36</v>
      </c>
      <c r="H338" s="2">
        <v>1</v>
      </c>
      <c r="I338" s="2" t="s">
        <v>39</v>
      </c>
      <c r="J338" s="2" t="str">
        <f>VLOOKUP(E338,[1]LL_Hub!$A$1:$B$13,2,FALSE)</f>
        <v>New York</v>
      </c>
      <c r="K338" t="str">
        <f>VLOOKUP(D338,'[2]product Table data'!$A$2:$B$12,2,FALSE)</f>
        <v>Female</v>
      </c>
      <c r="L338" t="str">
        <f>VLOOKUP($D338,'[2]product Table data'!$A$2:$G$12,L$1,FALSE)</f>
        <v>Winter Warmth</v>
      </c>
      <c r="M338" t="str">
        <f>VLOOKUP($D338,'[2]product Table data'!$A$2:$G$12,M$1,FALSE)</f>
        <v>Romania</v>
      </c>
      <c r="N338" t="str">
        <f>VLOOKUP($D338,'[2]product Table data'!$A$2:$G$12,N$1,FALSE)</f>
        <v>Eastern Europe</v>
      </c>
      <c r="O338">
        <f>VLOOKUP($D338,'[2]product Table data'!$A$2:$G$12,O$1,FALSE)</f>
        <v>350</v>
      </c>
      <c r="P338">
        <f>VLOOKUP($D338,'[2]product Table data'!$A$2:$G$12,P$1,FALSE)</f>
        <v>450</v>
      </c>
      <c r="Q338">
        <f t="shared" si="25"/>
        <v>100</v>
      </c>
      <c r="R338" t="str">
        <f t="shared" si="26"/>
        <v>-</v>
      </c>
      <c r="S338" t="str">
        <f t="shared" si="27"/>
        <v>-</v>
      </c>
      <c r="T338" t="str">
        <f t="shared" si="28"/>
        <v>-</v>
      </c>
      <c r="U338" t="str">
        <f t="shared" si="29"/>
        <v>High Value</v>
      </c>
    </row>
    <row r="339" spans="1:21" hidden="1" x14ac:dyDescent="0.2">
      <c r="A339" s="2">
        <v>55</v>
      </c>
      <c r="B339" s="2" t="s">
        <v>9</v>
      </c>
      <c r="C339" s="2" t="s">
        <v>548</v>
      </c>
      <c r="D339" s="2" t="s">
        <v>45</v>
      </c>
      <c r="E339" s="2">
        <v>10001</v>
      </c>
      <c r="F339" s="2" t="s">
        <v>35</v>
      </c>
      <c r="G339" s="2" t="s">
        <v>36</v>
      </c>
      <c r="H339" s="2">
        <v>1</v>
      </c>
      <c r="I339" s="2" t="s">
        <v>39</v>
      </c>
      <c r="J339" s="2" t="str">
        <f>VLOOKUP(E339,[1]LL_Hub!$A$1:$B$13,2,FALSE)</f>
        <v>New York</v>
      </c>
      <c r="K339" t="str">
        <f>VLOOKUP(D339,'[2]product Table data'!$A$2:$B$12,2,FALSE)</f>
        <v>Female</v>
      </c>
      <c r="L339" t="str">
        <f>VLOOKUP($D339,'[2]product Table data'!$A$2:$G$12,L$1,FALSE)</f>
        <v>Winter Warmth</v>
      </c>
      <c r="M339" t="str">
        <f>VLOOKUP($D339,'[2]product Table data'!$A$2:$G$12,M$1,FALSE)</f>
        <v>Romania</v>
      </c>
      <c r="N339" t="str">
        <f>VLOOKUP($D339,'[2]product Table data'!$A$2:$G$12,N$1,FALSE)</f>
        <v>Eastern Europe</v>
      </c>
      <c r="O339">
        <f>VLOOKUP($D339,'[2]product Table data'!$A$2:$G$12,O$1,FALSE)</f>
        <v>350</v>
      </c>
      <c r="P339">
        <f>VLOOKUP($D339,'[2]product Table data'!$A$2:$G$12,P$1,FALSE)</f>
        <v>450</v>
      </c>
      <c r="Q339">
        <f t="shared" si="25"/>
        <v>100</v>
      </c>
      <c r="R339" t="str">
        <f t="shared" si="26"/>
        <v>-</v>
      </c>
      <c r="S339" t="str">
        <f t="shared" si="27"/>
        <v>-</v>
      </c>
      <c r="T339" t="str">
        <f t="shared" si="28"/>
        <v>-</v>
      </c>
      <c r="U339" t="str">
        <f t="shared" si="29"/>
        <v>High Value</v>
      </c>
    </row>
    <row r="340" spans="1:21" hidden="1" x14ac:dyDescent="0.2">
      <c r="A340" s="2">
        <v>56</v>
      </c>
      <c r="B340" s="2" t="s">
        <v>9</v>
      </c>
      <c r="C340" s="2" t="s">
        <v>549</v>
      </c>
      <c r="D340" s="2" t="s">
        <v>45</v>
      </c>
      <c r="E340" s="2">
        <v>10001</v>
      </c>
      <c r="F340" s="2" t="s">
        <v>35</v>
      </c>
      <c r="G340" s="2" t="s">
        <v>36</v>
      </c>
      <c r="H340" s="2">
        <v>1</v>
      </c>
      <c r="I340" s="2" t="s">
        <v>39</v>
      </c>
      <c r="J340" s="2" t="str">
        <f>VLOOKUP(E340,[1]LL_Hub!$A$1:$B$13,2,FALSE)</f>
        <v>New York</v>
      </c>
      <c r="K340" t="str">
        <f>VLOOKUP(D340,'[2]product Table data'!$A$2:$B$12,2,FALSE)</f>
        <v>Female</v>
      </c>
      <c r="L340" t="str">
        <f>VLOOKUP($D340,'[2]product Table data'!$A$2:$G$12,L$1,FALSE)</f>
        <v>Winter Warmth</v>
      </c>
      <c r="M340" t="str">
        <f>VLOOKUP($D340,'[2]product Table data'!$A$2:$G$12,M$1,FALSE)</f>
        <v>Romania</v>
      </c>
      <c r="N340" t="str">
        <f>VLOOKUP($D340,'[2]product Table data'!$A$2:$G$12,N$1,FALSE)</f>
        <v>Eastern Europe</v>
      </c>
      <c r="O340">
        <f>VLOOKUP($D340,'[2]product Table data'!$A$2:$G$12,O$1,FALSE)</f>
        <v>350</v>
      </c>
      <c r="P340">
        <f>VLOOKUP($D340,'[2]product Table data'!$A$2:$G$12,P$1,FALSE)</f>
        <v>450</v>
      </c>
      <c r="Q340">
        <f t="shared" si="25"/>
        <v>100</v>
      </c>
      <c r="R340" t="str">
        <f t="shared" si="26"/>
        <v>-</v>
      </c>
      <c r="S340" t="str">
        <f t="shared" si="27"/>
        <v>-</v>
      </c>
      <c r="T340" t="str">
        <f t="shared" si="28"/>
        <v>-</v>
      </c>
      <c r="U340" t="str">
        <f t="shared" si="29"/>
        <v>High Value</v>
      </c>
    </row>
    <row r="341" spans="1:21" hidden="1" x14ac:dyDescent="0.2">
      <c r="A341" s="2">
        <v>57</v>
      </c>
      <c r="B341" s="2" t="s">
        <v>9</v>
      </c>
      <c r="C341" s="2" t="s">
        <v>550</v>
      </c>
      <c r="D341" s="2" t="s">
        <v>45</v>
      </c>
      <c r="E341" s="2">
        <v>10001</v>
      </c>
      <c r="F341" s="2" t="s">
        <v>35</v>
      </c>
      <c r="G341" s="2" t="s">
        <v>36</v>
      </c>
      <c r="H341" s="2">
        <v>1</v>
      </c>
      <c r="I341" s="2" t="s">
        <v>39</v>
      </c>
      <c r="J341" s="2" t="str">
        <f>VLOOKUP(E341,[1]LL_Hub!$A$1:$B$13,2,FALSE)</f>
        <v>New York</v>
      </c>
      <c r="K341" t="str">
        <f>VLOOKUP(D341,'[2]product Table data'!$A$2:$B$12,2,FALSE)</f>
        <v>Female</v>
      </c>
      <c r="L341" t="str">
        <f>VLOOKUP($D341,'[2]product Table data'!$A$2:$G$12,L$1,FALSE)</f>
        <v>Winter Warmth</v>
      </c>
      <c r="M341" t="str">
        <f>VLOOKUP($D341,'[2]product Table data'!$A$2:$G$12,M$1,FALSE)</f>
        <v>Romania</v>
      </c>
      <c r="N341" t="str">
        <f>VLOOKUP($D341,'[2]product Table data'!$A$2:$G$12,N$1,FALSE)</f>
        <v>Eastern Europe</v>
      </c>
      <c r="O341">
        <f>VLOOKUP($D341,'[2]product Table data'!$A$2:$G$12,O$1,FALSE)</f>
        <v>350</v>
      </c>
      <c r="P341">
        <f>VLOOKUP($D341,'[2]product Table data'!$A$2:$G$12,P$1,FALSE)</f>
        <v>450</v>
      </c>
      <c r="Q341">
        <f t="shared" si="25"/>
        <v>100</v>
      </c>
      <c r="R341" t="str">
        <f t="shared" si="26"/>
        <v>-</v>
      </c>
      <c r="S341" t="str">
        <f t="shared" si="27"/>
        <v>-</v>
      </c>
      <c r="T341" t="str">
        <f t="shared" si="28"/>
        <v>-</v>
      </c>
      <c r="U341" t="str">
        <f t="shared" si="29"/>
        <v>High Value</v>
      </c>
    </row>
    <row r="342" spans="1:21" hidden="1" x14ac:dyDescent="0.2">
      <c r="A342" s="2">
        <v>58</v>
      </c>
      <c r="B342" s="2" t="s">
        <v>9</v>
      </c>
      <c r="C342" s="2" t="s">
        <v>551</v>
      </c>
      <c r="D342" s="2" t="s">
        <v>505</v>
      </c>
      <c r="E342" s="2">
        <v>10001</v>
      </c>
      <c r="F342" s="2" t="s">
        <v>35</v>
      </c>
      <c r="G342" s="2" t="s">
        <v>36</v>
      </c>
      <c r="H342" s="2">
        <v>1</v>
      </c>
      <c r="I342" s="2" t="s">
        <v>17</v>
      </c>
      <c r="J342" s="2" t="str">
        <f>VLOOKUP(E342,[1]LL_Hub!$A$1:$B$13,2,FALSE)</f>
        <v>New York</v>
      </c>
      <c r="K342" t="str">
        <f>VLOOKUP(D342,'[2]product Table data'!$A$2:$B$12,2,FALSE)</f>
        <v>Female</v>
      </c>
      <c r="L342" t="str">
        <f>VLOOKUP($D342,'[2]product Table data'!$A$2:$G$12,L$1,FALSE)</f>
        <v>Casual n Light</v>
      </c>
      <c r="M342" t="str">
        <f>VLOOKUP($D342,'[2]product Table data'!$A$2:$G$12,M$1,FALSE)</f>
        <v>Honduras</v>
      </c>
      <c r="N342" t="str">
        <f>VLOOKUP($D342,'[2]product Table data'!$A$2:$G$12,N$1,FALSE)</f>
        <v>Central America</v>
      </c>
      <c r="O342">
        <f>VLOOKUP($D342,'[2]product Table data'!$A$2:$G$12,O$1,FALSE)</f>
        <v>30</v>
      </c>
      <c r="P342">
        <f>VLOOKUP($D342,'[2]product Table data'!$A$2:$G$12,P$1,FALSE)</f>
        <v>45</v>
      </c>
      <c r="Q342">
        <f t="shared" si="25"/>
        <v>15</v>
      </c>
      <c r="R342" t="str">
        <f t="shared" si="26"/>
        <v>-</v>
      </c>
      <c r="S342" t="str">
        <f t="shared" si="27"/>
        <v>Style Risk</v>
      </c>
      <c r="T342" t="str">
        <f t="shared" si="28"/>
        <v>-</v>
      </c>
      <c r="U342" t="str">
        <f t="shared" si="29"/>
        <v>High Value</v>
      </c>
    </row>
    <row r="343" spans="1:21" hidden="1" x14ac:dyDescent="0.2">
      <c r="A343" s="2">
        <v>60</v>
      </c>
      <c r="B343" s="2" t="s">
        <v>9</v>
      </c>
      <c r="C343" s="2" t="s">
        <v>552</v>
      </c>
      <c r="D343" s="2" t="s">
        <v>505</v>
      </c>
      <c r="E343" s="2">
        <v>10001</v>
      </c>
      <c r="F343" s="2" t="s">
        <v>35</v>
      </c>
      <c r="G343" s="2" t="s">
        <v>36</v>
      </c>
      <c r="H343" s="2">
        <v>1</v>
      </c>
      <c r="I343" s="2" t="s">
        <v>17</v>
      </c>
      <c r="J343" s="2" t="str">
        <f>VLOOKUP(E343,[1]LL_Hub!$A$1:$B$13,2,FALSE)</f>
        <v>New York</v>
      </c>
      <c r="K343" t="str">
        <f>VLOOKUP(D343,'[2]product Table data'!$A$2:$B$12,2,FALSE)</f>
        <v>Female</v>
      </c>
      <c r="L343" t="str">
        <f>VLOOKUP($D343,'[2]product Table data'!$A$2:$G$12,L$1,FALSE)</f>
        <v>Casual n Light</v>
      </c>
      <c r="M343" t="str">
        <f>VLOOKUP($D343,'[2]product Table data'!$A$2:$G$12,M$1,FALSE)</f>
        <v>Honduras</v>
      </c>
      <c r="N343" t="str">
        <f>VLOOKUP($D343,'[2]product Table data'!$A$2:$G$12,N$1,FALSE)</f>
        <v>Central America</v>
      </c>
      <c r="O343">
        <f>VLOOKUP($D343,'[2]product Table data'!$A$2:$G$12,O$1,FALSE)</f>
        <v>30</v>
      </c>
      <c r="P343">
        <f>VLOOKUP($D343,'[2]product Table data'!$A$2:$G$12,P$1,FALSE)</f>
        <v>45</v>
      </c>
      <c r="Q343">
        <f t="shared" si="25"/>
        <v>15</v>
      </c>
      <c r="R343" t="str">
        <f t="shared" si="26"/>
        <v>-</v>
      </c>
      <c r="S343" t="str">
        <f t="shared" si="27"/>
        <v>Style Risk</v>
      </c>
      <c r="T343" t="str">
        <f t="shared" si="28"/>
        <v>-</v>
      </c>
      <c r="U343" t="str">
        <f t="shared" si="29"/>
        <v>High Value</v>
      </c>
    </row>
    <row r="344" spans="1:21" hidden="1" x14ac:dyDescent="0.2">
      <c r="A344" s="2">
        <v>61</v>
      </c>
      <c r="B344" s="2" t="s">
        <v>9</v>
      </c>
      <c r="C344" s="2" t="s">
        <v>553</v>
      </c>
      <c r="D344" s="2" t="s">
        <v>505</v>
      </c>
      <c r="E344" s="2">
        <v>10001</v>
      </c>
      <c r="F344" s="2" t="s">
        <v>35</v>
      </c>
      <c r="G344" s="2" t="s">
        <v>36</v>
      </c>
      <c r="H344" s="2">
        <v>1</v>
      </c>
      <c r="I344" s="2" t="s">
        <v>17</v>
      </c>
      <c r="J344" s="2" t="str">
        <f>VLOOKUP(E344,[1]LL_Hub!$A$1:$B$13,2,FALSE)</f>
        <v>New York</v>
      </c>
      <c r="K344" t="str">
        <f>VLOOKUP(D344,'[2]product Table data'!$A$2:$B$12,2,FALSE)</f>
        <v>Female</v>
      </c>
      <c r="L344" t="str">
        <f>VLOOKUP($D344,'[2]product Table data'!$A$2:$G$12,L$1,FALSE)</f>
        <v>Casual n Light</v>
      </c>
      <c r="M344" t="str">
        <f>VLOOKUP($D344,'[2]product Table data'!$A$2:$G$12,M$1,FALSE)</f>
        <v>Honduras</v>
      </c>
      <c r="N344" t="str">
        <f>VLOOKUP($D344,'[2]product Table data'!$A$2:$G$12,N$1,FALSE)</f>
        <v>Central America</v>
      </c>
      <c r="O344">
        <f>VLOOKUP($D344,'[2]product Table data'!$A$2:$G$12,O$1,FALSE)</f>
        <v>30</v>
      </c>
      <c r="P344">
        <f>VLOOKUP($D344,'[2]product Table data'!$A$2:$G$12,P$1,FALSE)</f>
        <v>45</v>
      </c>
      <c r="Q344">
        <f t="shared" si="25"/>
        <v>15</v>
      </c>
      <c r="R344" t="str">
        <f t="shared" si="26"/>
        <v>-</v>
      </c>
      <c r="S344" t="str">
        <f t="shared" si="27"/>
        <v>Style Risk</v>
      </c>
      <c r="T344" t="str">
        <f t="shared" si="28"/>
        <v>-</v>
      </c>
      <c r="U344" t="str">
        <f t="shared" si="29"/>
        <v>High Value</v>
      </c>
    </row>
    <row r="345" spans="1:21" x14ac:dyDescent="0.2">
      <c r="A345" s="2">
        <v>409</v>
      </c>
      <c r="B345" s="2" t="s">
        <v>9</v>
      </c>
      <c r="C345" s="2" t="s">
        <v>995</v>
      </c>
      <c r="D345" s="2" t="s">
        <v>558</v>
      </c>
      <c r="E345" s="2">
        <v>90005</v>
      </c>
      <c r="F345" s="2" t="s">
        <v>981</v>
      </c>
      <c r="G345" s="2" t="s">
        <v>36</v>
      </c>
      <c r="H345" s="2">
        <v>1</v>
      </c>
      <c r="I345" s="2" t="s">
        <v>14</v>
      </c>
      <c r="J345" s="2" t="str">
        <f>VLOOKUP(E345,[1]LL_Hub!$A$1:$B$13,2,FALSE)</f>
        <v>Los Angeles</v>
      </c>
      <c r="K345" t="str">
        <f>VLOOKUP(D345,'[2]product Table data'!$A$2:$B$12,2,FALSE)</f>
        <v>Female</v>
      </c>
      <c r="L345" t="str">
        <f>VLOOKUP($D345,'[2]product Table data'!$A$2:$G$12,L$1,FALSE)</f>
        <v>Fancy Sheek</v>
      </c>
      <c r="M345" t="str">
        <f>VLOOKUP($D345,'[2]product Table data'!$A$2:$G$12,M$1,FALSE)</f>
        <v>Afghanistan</v>
      </c>
      <c r="N345" t="str">
        <f>VLOOKUP($D345,'[2]product Table data'!$A$2:$G$12,N$1,FALSE)</f>
        <v>Middle East</v>
      </c>
      <c r="O345">
        <f>VLOOKUP($D345,'[2]product Table data'!$A$2:$G$12,O$1,FALSE)</f>
        <v>150</v>
      </c>
      <c r="P345">
        <f>VLOOKUP($D345,'[2]product Table data'!$A$2:$G$12,P$1,FALSE)</f>
        <v>75</v>
      </c>
      <c r="Q345">
        <f t="shared" si="25"/>
        <v>-75</v>
      </c>
      <c r="R345" t="str">
        <f t="shared" si="26"/>
        <v>Hub Risk</v>
      </c>
      <c r="S345" t="str">
        <f t="shared" si="27"/>
        <v>Style Risk</v>
      </c>
      <c r="T345" t="str">
        <f t="shared" si="28"/>
        <v>Risk</v>
      </c>
      <c r="U345" t="str">
        <f t="shared" si="29"/>
        <v>Low Value</v>
      </c>
    </row>
    <row r="346" spans="1:21" x14ac:dyDescent="0.2">
      <c r="A346" s="2">
        <v>410</v>
      </c>
      <c r="B346" s="2" t="s">
        <v>9</v>
      </c>
      <c r="C346" s="2" t="s">
        <v>996</v>
      </c>
      <c r="D346" s="2" t="s">
        <v>558</v>
      </c>
      <c r="E346" s="2">
        <v>90005</v>
      </c>
      <c r="F346" s="2" t="s">
        <v>981</v>
      </c>
      <c r="G346" s="2" t="s">
        <v>36</v>
      </c>
      <c r="H346" s="2">
        <v>1</v>
      </c>
      <c r="I346" s="2" t="s">
        <v>14</v>
      </c>
      <c r="J346" s="2" t="str">
        <f>VLOOKUP(E346,[1]LL_Hub!$A$1:$B$13,2,FALSE)</f>
        <v>Los Angeles</v>
      </c>
      <c r="K346" t="str">
        <f>VLOOKUP(D346,'[2]product Table data'!$A$2:$B$12,2,FALSE)</f>
        <v>Female</v>
      </c>
      <c r="L346" t="str">
        <f>VLOOKUP($D346,'[2]product Table data'!$A$2:$G$12,L$1,FALSE)</f>
        <v>Fancy Sheek</v>
      </c>
      <c r="M346" t="str">
        <f>VLOOKUP($D346,'[2]product Table data'!$A$2:$G$12,M$1,FALSE)</f>
        <v>Afghanistan</v>
      </c>
      <c r="N346" t="str">
        <f>VLOOKUP($D346,'[2]product Table data'!$A$2:$G$12,N$1,FALSE)</f>
        <v>Middle East</v>
      </c>
      <c r="O346">
        <f>VLOOKUP($D346,'[2]product Table data'!$A$2:$G$12,O$1,FALSE)</f>
        <v>150</v>
      </c>
      <c r="P346">
        <f>VLOOKUP($D346,'[2]product Table data'!$A$2:$G$12,P$1,FALSE)</f>
        <v>75</v>
      </c>
      <c r="Q346">
        <f t="shared" si="25"/>
        <v>-75</v>
      </c>
      <c r="R346" t="str">
        <f t="shared" si="26"/>
        <v>Hub Risk</v>
      </c>
      <c r="S346" t="str">
        <f t="shared" si="27"/>
        <v>Style Risk</v>
      </c>
      <c r="T346" t="str">
        <f t="shared" si="28"/>
        <v>Risk</v>
      </c>
      <c r="U346" t="str">
        <f t="shared" si="29"/>
        <v>Low Value</v>
      </c>
    </row>
    <row r="347" spans="1:21" x14ac:dyDescent="0.2">
      <c r="A347" s="2">
        <v>411</v>
      </c>
      <c r="B347" s="2" t="s">
        <v>9</v>
      </c>
      <c r="C347" s="2" t="s">
        <v>997</v>
      </c>
      <c r="D347" s="2" t="s">
        <v>558</v>
      </c>
      <c r="E347" s="2">
        <v>90005</v>
      </c>
      <c r="F347" s="2" t="s">
        <v>981</v>
      </c>
      <c r="G347" s="2" t="s">
        <v>36</v>
      </c>
      <c r="H347" s="2">
        <v>1</v>
      </c>
      <c r="I347" s="2" t="s">
        <v>14</v>
      </c>
      <c r="J347" s="2" t="str">
        <f>VLOOKUP(E347,[1]LL_Hub!$A$1:$B$13,2,FALSE)</f>
        <v>Los Angeles</v>
      </c>
      <c r="K347" t="str">
        <f>VLOOKUP(D347,'[2]product Table data'!$A$2:$B$12,2,FALSE)</f>
        <v>Female</v>
      </c>
      <c r="L347" t="str">
        <f>VLOOKUP($D347,'[2]product Table data'!$A$2:$G$12,L$1,FALSE)</f>
        <v>Fancy Sheek</v>
      </c>
      <c r="M347" t="str">
        <f>VLOOKUP($D347,'[2]product Table data'!$A$2:$G$12,M$1,FALSE)</f>
        <v>Afghanistan</v>
      </c>
      <c r="N347" t="str">
        <f>VLOOKUP($D347,'[2]product Table data'!$A$2:$G$12,N$1,FALSE)</f>
        <v>Middle East</v>
      </c>
      <c r="O347">
        <f>VLOOKUP($D347,'[2]product Table data'!$A$2:$G$12,O$1,FALSE)</f>
        <v>150</v>
      </c>
      <c r="P347">
        <f>VLOOKUP($D347,'[2]product Table data'!$A$2:$G$12,P$1,FALSE)</f>
        <v>75</v>
      </c>
      <c r="Q347">
        <f t="shared" si="25"/>
        <v>-75</v>
      </c>
      <c r="R347" t="str">
        <f t="shared" si="26"/>
        <v>Hub Risk</v>
      </c>
      <c r="S347" t="str">
        <f t="shared" si="27"/>
        <v>Style Risk</v>
      </c>
      <c r="T347" t="str">
        <f t="shared" si="28"/>
        <v>Risk</v>
      </c>
      <c r="U347" t="str">
        <f t="shared" si="29"/>
        <v>Low Value</v>
      </c>
    </row>
    <row r="348" spans="1:21" x14ac:dyDescent="0.2">
      <c r="A348" s="2">
        <v>412</v>
      </c>
      <c r="B348" s="2" t="s">
        <v>9</v>
      </c>
      <c r="C348" s="2" t="s">
        <v>998</v>
      </c>
      <c r="D348" s="2" t="s">
        <v>558</v>
      </c>
      <c r="E348" s="2">
        <v>90005</v>
      </c>
      <c r="F348" s="2" t="s">
        <v>981</v>
      </c>
      <c r="G348" s="2" t="s">
        <v>36</v>
      </c>
      <c r="H348" s="2">
        <v>1</v>
      </c>
      <c r="I348" s="2" t="s">
        <v>14</v>
      </c>
      <c r="J348" s="2" t="str">
        <f>VLOOKUP(E348,[1]LL_Hub!$A$1:$B$13,2,FALSE)</f>
        <v>Los Angeles</v>
      </c>
      <c r="K348" t="str">
        <f>VLOOKUP(D348,'[2]product Table data'!$A$2:$B$12,2,FALSE)</f>
        <v>Female</v>
      </c>
      <c r="L348" t="str">
        <f>VLOOKUP($D348,'[2]product Table data'!$A$2:$G$12,L$1,FALSE)</f>
        <v>Fancy Sheek</v>
      </c>
      <c r="M348" t="str">
        <f>VLOOKUP($D348,'[2]product Table data'!$A$2:$G$12,M$1,FALSE)</f>
        <v>Afghanistan</v>
      </c>
      <c r="N348" t="str">
        <f>VLOOKUP($D348,'[2]product Table data'!$A$2:$G$12,N$1,FALSE)</f>
        <v>Middle East</v>
      </c>
      <c r="O348">
        <f>VLOOKUP($D348,'[2]product Table data'!$A$2:$G$12,O$1,FALSE)</f>
        <v>150</v>
      </c>
      <c r="P348">
        <f>VLOOKUP($D348,'[2]product Table data'!$A$2:$G$12,P$1,FALSE)</f>
        <v>75</v>
      </c>
      <c r="Q348">
        <f t="shared" si="25"/>
        <v>-75</v>
      </c>
      <c r="R348" t="str">
        <f t="shared" si="26"/>
        <v>Hub Risk</v>
      </c>
      <c r="S348" t="str">
        <f t="shared" si="27"/>
        <v>Style Risk</v>
      </c>
      <c r="T348" t="str">
        <f t="shared" si="28"/>
        <v>Risk</v>
      </c>
      <c r="U348" t="str">
        <f t="shared" si="29"/>
        <v>Low Value</v>
      </c>
    </row>
    <row r="349" spans="1:21" x14ac:dyDescent="0.2">
      <c r="A349" s="2">
        <v>413</v>
      </c>
      <c r="B349" s="2" t="s">
        <v>9</v>
      </c>
      <c r="C349" s="2" t="s">
        <v>999</v>
      </c>
      <c r="D349" s="2" t="s">
        <v>558</v>
      </c>
      <c r="E349" s="2">
        <v>90005</v>
      </c>
      <c r="F349" s="2" t="s">
        <v>1000</v>
      </c>
      <c r="G349" s="2" t="s">
        <v>13</v>
      </c>
      <c r="H349" s="2">
        <v>1</v>
      </c>
      <c r="I349" s="2" t="s">
        <v>14</v>
      </c>
      <c r="J349" s="2" t="str">
        <f>VLOOKUP(E349,[1]LL_Hub!$A$1:$B$13,2,FALSE)</f>
        <v>Los Angeles</v>
      </c>
      <c r="K349" t="str">
        <f>VLOOKUP(D349,'[2]product Table data'!$A$2:$B$12,2,FALSE)</f>
        <v>Female</v>
      </c>
      <c r="L349" t="str">
        <f>VLOOKUP($D349,'[2]product Table data'!$A$2:$G$12,L$1,FALSE)</f>
        <v>Fancy Sheek</v>
      </c>
      <c r="M349" t="str">
        <f>VLOOKUP($D349,'[2]product Table data'!$A$2:$G$12,M$1,FALSE)</f>
        <v>Afghanistan</v>
      </c>
      <c r="N349" t="str">
        <f>VLOOKUP($D349,'[2]product Table data'!$A$2:$G$12,N$1,FALSE)</f>
        <v>Middle East</v>
      </c>
      <c r="O349">
        <f>VLOOKUP($D349,'[2]product Table data'!$A$2:$G$12,O$1,FALSE)</f>
        <v>150</v>
      </c>
      <c r="P349">
        <f>VLOOKUP($D349,'[2]product Table data'!$A$2:$G$12,P$1,FALSE)</f>
        <v>75</v>
      </c>
      <c r="Q349">
        <f t="shared" si="25"/>
        <v>-75</v>
      </c>
      <c r="R349" t="str">
        <f t="shared" si="26"/>
        <v>Hub Risk</v>
      </c>
      <c r="S349" t="str">
        <f t="shared" si="27"/>
        <v>Style Risk</v>
      </c>
      <c r="T349" t="str">
        <f t="shared" si="28"/>
        <v>Risk</v>
      </c>
      <c r="U349" t="str">
        <f t="shared" si="29"/>
        <v>Low Value</v>
      </c>
    </row>
    <row r="350" spans="1:21" x14ac:dyDescent="0.2">
      <c r="A350" s="2">
        <v>414</v>
      </c>
      <c r="B350" s="2" t="s">
        <v>9</v>
      </c>
      <c r="C350" s="2" t="s">
        <v>1001</v>
      </c>
      <c r="D350" s="2" t="s">
        <v>558</v>
      </c>
      <c r="E350" s="2">
        <v>90005</v>
      </c>
      <c r="F350" s="2" t="s">
        <v>1002</v>
      </c>
      <c r="G350" s="2" t="s">
        <v>13</v>
      </c>
      <c r="H350" s="2">
        <v>1</v>
      </c>
      <c r="I350" s="2" t="s">
        <v>14</v>
      </c>
      <c r="J350" s="2" t="str">
        <f>VLOOKUP(E350,[1]LL_Hub!$A$1:$B$13,2,FALSE)</f>
        <v>Los Angeles</v>
      </c>
      <c r="K350" t="str">
        <f>VLOOKUP(D350,'[2]product Table data'!$A$2:$B$12,2,FALSE)</f>
        <v>Female</v>
      </c>
      <c r="L350" t="str">
        <f>VLOOKUP($D350,'[2]product Table data'!$A$2:$G$12,L$1,FALSE)</f>
        <v>Fancy Sheek</v>
      </c>
      <c r="M350" t="str">
        <f>VLOOKUP($D350,'[2]product Table data'!$A$2:$G$12,M$1,FALSE)</f>
        <v>Afghanistan</v>
      </c>
      <c r="N350" t="str">
        <f>VLOOKUP($D350,'[2]product Table data'!$A$2:$G$12,N$1,FALSE)</f>
        <v>Middle East</v>
      </c>
      <c r="O350">
        <f>VLOOKUP($D350,'[2]product Table data'!$A$2:$G$12,O$1,FALSE)</f>
        <v>150</v>
      </c>
      <c r="P350">
        <f>VLOOKUP($D350,'[2]product Table data'!$A$2:$G$12,P$1,FALSE)</f>
        <v>75</v>
      </c>
      <c r="Q350">
        <f t="shared" si="25"/>
        <v>-75</v>
      </c>
      <c r="R350" t="str">
        <f t="shared" si="26"/>
        <v>Hub Risk</v>
      </c>
      <c r="S350" t="str">
        <f t="shared" si="27"/>
        <v>Style Risk</v>
      </c>
      <c r="T350" t="str">
        <f t="shared" si="28"/>
        <v>Risk</v>
      </c>
      <c r="U350" t="str">
        <f t="shared" si="29"/>
        <v>Low Value</v>
      </c>
    </row>
    <row r="351" spans="1:21" x14ac:dyDescent="0.2">
      <c r="A351" s="2">
        <v>416</v>
      </c>
      <c r="B351" s="2" t="s">
        <v>9</v>
      </c>
      <c r="C351" s="2" t="s">
        <v>1003</v>
      </c>
      <c r="D351" s="2" t="s">
        <v>558</v>
      </c>
      <c r="E351" s="2">
        <v>90005</v>
      </c>
      <c r="F351" s="2" t="s">
        <v>1004</v>
      </c>
      <c r="G351" s="2" t="s">
        <v>13</v>
      </c>
      <c r="H351" s="2">
        <v>1</v>
      </c>
      <c r="I351" s="2" t="s">
        <v>14</v>
      </c>
      <c r="J351" s="2" t="str">
        <f>VLOOKUP(E351,[1]LL_Hub!$A$1:$B$13,2,FALSE)</f>
        <v>Los Angeles</v>
      </c>
      <c r="K351" t="str">
        <f>VLOOKUP(D351,'[2]product Table data'!$A$2:$B$12,2,FALSE)</f>
        <v>Female</v>
      </c>
      <c r="L351" t="str">
        <f>VLOOKUP($D351,'[2]product Table data'!$A$2:$G$12,L$1,FALSE)</f>
        <v>Fancy Sheek</v>
      </c>
      <c r="M351" t="str">
        <f>VLOOKUP($D351,'[2]product Table data'!$A$2:$G$12,M$1,FALSE)</f>
        <v>Afghanistan</v>
      </c>
      <c r="N351" t="str">
        <f>VLOOKUP($D351,'[2]product Table data'!$A$2:$G$12,N$1,FALSE)</f>
        <v>Middle East</v>
      </c>
      <c r="O351">
        <f>VLOOKUP($D351,'[2]product Table data'!$A$2:$G$12,O$1,FALSE)</f>
        <v>150</v>
      </c>
      <c r="P351">
        <f>VLOOKUP($D351,'[2]product Table data'!$A$2:$G$12,P$1,FALSE)</f>
        <v>75</v>
      </c>
      <c r="Q351">
        <f t="shared" si="25"/>
        <v>-75</v>
      </c>
      <c r="R351" t="str">
        <f t="shared" si="26"/>
        <v>Hub Risk</v>
      </c>
      <c r="S351" t="str">
        <f t="shared" si="27"/>
        <v>Style Risk</v>
      </c>
      <c r="T351" t="str">
        <f t="shared" si="28"/>
        <v>Risk</v>
      </c>
      <c r="U351" t="str">
        <f t="shared" si="29"/>
        <v>Low Value</v>
      </c>
    </row>
    <row r="352" spans="1:21" x14ac:dyDescent="0.2">
      <c r="A352" s="2">
        <v>417</v>
      </c>
      <c r="B352" s="2" t="s">
        <v>9</v>
      </c>
      <c r="C352" s="2" t="s">
        <v>1005</v>
      </c>
      <c r="D352" s="2" t="s">
        <v>558</v>
      </c>
      <c r="E352" s="2">
        <v>90005</v>
      </c>
      <c r="F352" s="2" t="s">
        <v>1006</v>
      </c>
      <c r="G352" s="2" t="s">
        <v>13</v>
      </c>
      <c r="H352" s="2">
        <v>1</v>
      </c>
      <c r="I352" s="2" t="s">
        <v>14</v>
      </c>
      <c r="J352" s="2" t="str">
        <f>VLOOKUP(E352,[1]LL_Hub!$A$1:$B$13,2,FALSE)</f>
        <v>Los Angeles</v>
      </c>
      <c r="K352" t="str">
        <f>VLOOKUP(D352,'[2]product Table data'!$A$2:$B$12,2,FALSE)</f>
        <v>Female</v>
      </c>
      <c r="L352" t="str">
        <f>VLOOKUP($D352,'[2]product Table data'!$A$2:$G$12,L$1,FALSE)</f>
        <v>Fancy Sheek</v>
      </c>
      <c r="M352" t="str">
        <f>VLOOKUP($D352,'[2]product Table data'!$A$2:$G$12,M$1,FALSE)</f>
        <v>Afghanistan</v>
      </c>
      <c r="N352" t="str">
        <f>VLOOKUP($D352,'[2]product Table data'!$A$2:$G$12,N$1,FALSE)</f>
        <v>Middle East</v>
      </c>
      <c r="O352">
        <f>VLOOKUP($D352,'[2]product Table data'!$A$2:$G$12,O$1,FALSE)</f>
        <v>150</v>
      </c>
      <c r="P352">
        <f>VLOOKUP($D352,'[2]product Table data'!$A$2:$G$12,P$1,FALSE)</f>
        <v>75</v>
      </c>
      <c r="Q352">
        <f t="shared" si="25"/>
        <v>-75</v>
      </c>
      <c r="R352" t="str">
        <f t="shared" si="26"/>
        <v>Hub Risk</v>
      </c>
      <c r="S352" t="str">
        <f t="shared" si="27"/>
        <v>Style Risk</v>
      </c>
      <c r="T352" t="str">
        <f t="shared" si="28"/>
        <v>Risk</v>
      </c>
      <c r="U352" t="str">
        <f t="shared" si="29"/>
        <v>Low Value</v>
      </c>
    </row>
    <row r="353" spans="1:21" x14ac:dyDescent="0.2">
      <c r="A353" s="2">
        <v>500</v>
      </c>
      <c r="B353" s="2" t="s">
        <v>9</v>
      </c>
      <c r="C353" s="2" t="s">
        <v>1099</v>
      </c>
      <c r="D353" s="2" t="s">
        <v>558</v>
      </c>
      <c r="E353" s="2">
        <v>90005</v>
      </c>
      <c r="F353" s="2" t="s">
        <v>1100</v>
      </c>
      <c r="G353" s="2" t="s">
        <v>13</v>
      </c>
      <c r="H353" s="2">
        <v>1</v>
      </c>
      <c r="I353" s="2" t="s">
        <v>14</v>
      </c>
      <c r="J353" s="2" t="str">
        <f>VLOOKUP(E353,[1]LL_Hub!$A$1:$B$13,2,FALSE)</f>
        <v>Los Angeles</v>
      </c>
      <c r="K353" t="str">
        <f>VLOOKUP(D353,'[2]product Table data'!$A$2:$B$12,2,FALSE)</f>
        <v>Female</v>
      </c>
      <c r="L353" t="str">
        <f>VLOOKUP($D353,'[2]product Table data'!$A$2:$G$12,L$1,FALSE)</f>
        <v>Fancy Sheek</v>
      </c>
      <c r="M353" t="str">
        <f>VLOOKUP($D353,'[2]product Table data'!$A$2:$G$12,M$1,FALSE)</f>
        <v>Afghanistan</v>
      </c>
      <c r="N353" t="str">
        <f>VLOOKUP($D353,'[2]product Table data'!$A$2:$G$12,N$1,FALSE)</f>
        <v>Middle East</v>
      </c>
      <c r="O353">
        <f>VLOOKUP($D353,'[2]product Table data'!$A$2:$G$12,O$1,FALSE)</f>
        <v>150</v>
      </c>
      <c r="P353">
        <f>VLOOKUP($D353,'[2]product Table data'!$A$2:$G$12,P$1,FALSE)</f>
        <v>75</v>
      </c>
      <c r="Q353">
        <f t="shared" si="25"/>
        <v>-75</v>
      </c>
      <c r="R353" t="str">
        <f t="shared" si="26"/>
        <v>Hub Risk</v>
      </c>
      <c r="S353" t="str">
        <f t="shared" si="27"/>
        <v>Style Risk</v>
      </c>
      <c r="T353" t="str">
        <f t="shared" si="28"/>
        <v>Risk</v>
      </c>
      <c r="U353" t="str">
        <f t="shared" si="29"/>
        <v>Low Value</v>
      </c>
    </row>
    <row r="354" spans="1:21" hidden="1" x14ac:dyDescent="0.2">
      <c r="A354" s="2">
        <v>72</v>
      </c>
      <c r="B354" s="2" t="s">
        <v>9</v>
      </c>
      <c r="C354" s="2" t="s">
        <v>565</v>
      </c>
      <c r="D354" s="2" t="s">
        <v>566</v>
      </c>
      <c r="E354" s="2">
        <v>10001</v>
      </c>
      <c r="F354" s="2" t="s">
        <v>567</v>
      </c>
      <c r="G354" s="2" t="s">
        <v>13</v>
      </c>
      <c r="H354" s="2">
        <v>1</v>
      </c>
      <c r="I354" s="2" t="s">
        <v>17</v>
      </c>
      <c r="J354" s="2" t="str">
        <f>VLOOKUP(E354,[1]LL_Hub!$A$1:$B$13,2,FALSE)</f>
        <v>New York</v>
      </c>
      <c r="K354" t="str">
        <f>VLOOKUP(D354,'[2]product Table data'!$A$2:$B$12,2,FALSE)</f>
        <v>Female</v>
      </c>
      <c r="L354" t="str">
        <f>VLOOKUP($D354,'[2]product Table data'!$A$2:$G$12,L$1,FALSE)</f>
        <v>Casual n Light</v>
      </c>
      <c r="M354" t="str">
        <f>VLOOKUP($D354,'[2]product Table data'!$A$2:$G$12,M$1,FALSE)</f>
        <v>Guatemala</v>
      </c>
      <c r="N354" t="str">
        <f>VLOOKUP($D354,'[2]product Table data'!$A$2:$G$12,N$1,FALSE)</f>
        <v>Central America</v>
      </c>
      <c r="O354">
        <f>VLOOKUP($D354,'[2]product Table data'!$A$2:$G$12,O$1,FALSE)</f>
        <v>25</v>
      </c>
      <c r="P354">
        <f>VLOOKUP($D354,'[2]product Table data'!$A$2:$G$12,P$1,FALSE)</f>
        <v>30</v>
      </c>
      <c r="Q354">
        <f t="shared" si="25"/>
        <v>5</v>
      </c>
      <c r="R354" t="str">
        <f t="shared" si="26"/>
        <v>-</v>
      </c>
      <c r="S354" t="str">
        <f t="shared" si="27"/>
        <v>Style Risk</v>
      </c>
      <c r="T354" t="str">
        <f t="shared" si="28"/>
        <v>-</v>
      </c>
      <c r="U354" t="str">
        <f t="shared" si="29"/>
        <v>Low Value</v>
      </c>
    </row>
    <row r="355" spans="1:21" x14ac:dyDescent="0.2">
      <c r="A355" s="2">
        <v>514</v>
      </c>
      <c r="B355" s="2" t="s">
        <v>9</v>
      </c>
      <c r="C355" s="2" t="s">
        <v>1113</v>
      </c>
      <c r="D355" s="2" t="s">
        <v>558</v>
      </c>
      <c r="E355" s="2">
        <v>90005</v>
      </c>
      <c r="F355" s="2" t="s">
        <v>1114</v>
      </c>
      <c r="G355" s="2" t="s">
        <v>13</v>
      </c>
      <c r="H355" s="2">
        <v>1</v>
      </c>
      <c r="I355" s="2" t="s">
        <v>14</v>
      </c>
      <c r="J355" s="2" t="str">
        <f>VLOOKUP(E355,[1]LL_Hub!$A$1:$B$13,2,FALSE)</f>
        <v>Los Angeles</v>
      </c>
      <c r="K355" t="str">
        <f>VLOOKUP(D355,'[2]product Table data'!$A$2:$B$12,2,FALSE)</f>
        <v>Female</v>
      </c>
      <c r="L355" t="str">
        <f>VLOOKUP($D355,'[2]product Table data'!$A$2:$G$12,L$1,FALSE)</f>
        <v>Fancy Sheek</v>
      </c>
      <c r="M355" t="str">
        <f>VLOOKUP($D355,'[2]product Table data'!$A$2:$G$12,M$1,FALSE)</f>
        <v>Afghanistan</v>
      </c>
      <c r="N355" t="str">
        <f>VLOOKUP($D355,'[2]product Table data'!$A$2:$G$12,N$1,FALSE)</f>
        <v>Middle East</v>
      </c>
      <c r="O355">
        <f>VLOOKUP($D355,'[2]product Table data'!$A$2:$G$12,O$1,FALSE)</f>
        <v>150</v>
      </c>
      <c r="P355">
        <f>VLOOKUP($D355,'[2]product Table data'!$A$2:$G$12,P$1,FALSE)</f>
        <v>75</v>
      </c>
      <c r="Q355">
        <f t="shared" si="25"/>
        <v>-75</v>
      </c>
      <c r="R355" t="str">
        <f t="shared" si="26"/>
        <v>Hub Risk</v>
      </c>
      <c r="S355" t="str">
        <f t="shared" si="27"/>
        <v>Style Risk</v>
      </c>
      <c r="T355" t="str">
        <f t="shared" si="28"/>
        <v>Risk</v>
      </c>
      <c r="U355" t="str">
        <f t="shared" si="29"/>
        <v>Low Value</v>
      </c>
    </row>
    <row r="356" spans="1:21" x14ac:dyDescent="0.2">
      <c r="A356" s="2">
        <v>516</v>
      </c>
      <c r="B356" s="2" t="s">
        <v>9</v>
      </c>
      <c r="C356" s="2" t="s">
        <v>1115</v>
      </c>
      <c r="D356" s="2" t="s">
        <v>558</v>
      </c>
      <c r="E356" s="2">
        <v>90005</v>
      </c>
      <c r="F356" s="2" t="s">
        <v>1116</v>
      </c>
      <c r="G356" s="2" t="s">
        <v>13</v>
      </c>
      <c r="H356" s="2">
        <v>1</v>
      </c>
      <c r="I356" s="2" t="s">
        <v>14</v>
      </c>
      <c r="J356" s="2" t="str">
        <f>VLOOKUP(E356,[1]LL_Hub!$A$1:$B$13,2,FALSE)</f>
        <v>Los Angeles</v>
      </c>
      <c r="K356" t="str">
        <f>VLOOKUP(D356,'[2]product Table data'!$A$2:$B$12,2,FALSE)</f>
        <v>Female</v>
      </c>
      <c r="L356" t="str">
        <f>VLOOKUP($D356,'[2]product Table data'!$A$2:$G$12,L$1,FALSE)</f>
        <v>Fancy Sheek</v>
      </c>
      <c r="M356" t="str">
        <f>VLOOKUP($D356,'[2]product Table data'!$A$2:$G$12,M$1,FALSE)</f>
        <v>Afghanistan</v>
      </c>
      <c r="N356" t="str">
        <f>VLOOKUP($D356,'[2]product Table data'!$A$2:$G$12,N$1,FALSE)</f>
        <v>Middle East</v>
      </c>
      <c r="O356">
        <f>VLOOKUP($D356,'[2]product Table data'!$A$2:$G$12,O$1,FALSE)</f>
        <v>150</v>
      </c>
      <c r="P356">
        <f>VLOOKUP($D356,'[2]product Table data'!$A$2:$G$12,P$1,FALSE)</f>
        <v>75</v>
      </c>
      <c r="Q356">
        <f t="shared" si="25"/>
        <v>-75</v>
      </c>
      <c r="R356" t="str">
        <f t="shared" si="26"/>
        <v>Hub Risk</v>
      </c>
      <c r="S356" t="str">
        <f t="shared" si="27"/>
        <v>Style Risk</v>
      </c>
      <c r="T356" t="str">
        <f t="shared" si="28"/>
        <v>Risk</v>
      </c>
      <c r="U356" t="str">
        <f t="shared" si="29"/>
        <v>Low Value</v>
      </c>
    </row>
    <row r="357" spans="1:21" x14ac:dyDescent="0.2">
      <c r="A357" s="2">
        <v>538</v>
      </c>
      <c r="B357" s="2" t="s">
        <v>9</v>
      </c>
      <c r="C357" s="2" t="s">
        <v>1140</v>
      </c>
      <c r="D357" s="2" t="s">
        <v>558</v>
      </c>
      <c r="E357" s="2">
        <v>90005</v>
      </c>
      <c r="F357" s="2" t="s">
        <v>1141</v>
      </c>
      <c r="G357" s="2" t="s">
        <v>13</v>
      </c>
      <c r="H357" s="2">
        <v>1</v>
      </c>
      <c r="I357" s="2" t="s">
        <v>14</v>
      </c>
      <c r="J357" s="2" t="str">
        <f>VLOOKUP(E357,[1]LL_Hub!$A$1:$B$13,2,FALSE)</f>
        <v>Los Angeles</v>
      </c>
      <c r="K357" t="str">
        <f>VLOOKUP(D357,'[2]product Table data'!$A$2:$B$12,2,FALSE)</f>
        <v>Female</v>
      </c>
      <c r="L357" t="str">
        <f>VLOOKUP($D357,'[2]product Table data'!$A$2:$G$12,L$1,FALSE)</f>
        <v>Fancy Sheek</v>
      </c>
      <c r="M357" t="str">
        <f>VLOOKUP($D357,'[2]product Table data'!$A$2:$G$12,M$1,FALSE)</f>
        <v>Afghanistan</v>
      </c>
      <c r="N357" t="str">
        <f>VLOOKUP($D357,'[2]product Table data'!$A$2:$G$12,N$1,FALSE)</f>
        <v>Middle East</v>
      </c>
      <c r="O357">
        <f>VLOOKUP($D357,'[2]product Table data'!$A$2:$G$12,O$1,FALSE)</f>
        <v>150</v>
      </c>
      <c r="P357">
        <f>VLOOKUP($D357,'[2]product Table data'!$A$2:$G$12,P$1,FALSE)</f>
        <v>75</v>
      </c>
      <c r="Q357">
        <f t="shared" si="25"/>
        <v>-75</v>
      </c>
      <c r="R357" t="str">
        <f t="shared" si="26"/>
        <v>Hub Risk</v>
      </c>
      <c r="S357" t="str">
        <f t="shared" si="27"/>
        <v>Style Risk</v>
      </c>
      <c r="T357" t="str">
        <f t="shared" si="28"/>
        <v>Risk</v>
      </c>
      <c r="U357" t="str">
        <f t="shared" si="29"/>
        <v>Low Value</v>
      </c>
    </row>
    <row r="358" spans="1:21" x14ac:dyDescent="0.2">
      <c r="A358" s="2">
        <v>540</v>
      </c>
      <c r="B358" s="2" t="s">
        <v>9</v>
      </c>
      <c r="C358" s="2" t="s">
        <v>1143</v>
      </c>
      <c r="D358" s="2" t="s">
        <v>558</v>
      </c>
      <c r="E358" s="2">
        <v>90005</v>
      </c>
      <c r="F358" s="2" t="s">
        <v>981</v>
      </c>
      <c r="G358" s="2" t="s">
        <v>36</v>
      </c>
      <c r="H358" s="2">
        <v>1</v>
      </c>
      <c r="I358" s="2" t="s">
        <v>14</v>
      </c>
      <c r="J358" s="2" t="str">
        <f>VLOOKUP(E358,[1]LL_Hub!$A$1:$B$13,2,FALSE)</f>
        <v>Los Angeles</v>
      </c>
      <c r="K358" t="str">
        <f>VLOOKUP(D358,'[2]product Table data'!$A$2:$B$12,2,FALSE)</f>
        <v>Female</v>
      </c>
      <c r="L358" t="str">
        <f>VLOOKUP($D358,'[2]product Table data'!$A$2:$G$12,L$1,FALSE)</f>
        <v>Fancy Sheek</v>
      </c>
      <c r="M358" t="str">
        <f>VLOOKUP($D358,'[2]product Table data'!$A$2:$G$12,M$1,FALSE)</f>
        <v>Afghanistan</v>
      </c>
      <c r="N358" t="str">
        <f>VLOOKUP($D358,'[2]product Table data'!$A$2:$G$12,N$1,FALSE)</f>
        <v>Middle East</v>
      </c>
      <c r="O358">
        <f>VLOOKUP($D358,'[2]product Table data'!$A$2:$G$12,O$1,FALSE)</f>
        <v>150</v>
      </c>
      <c r="P358">
        <f>VLOOKUP($D358,'[2]product Table data'!$A$2:$G$12,P$1,FALSE)</f>
        <v>75</v>
      </c>
      <c r="Q358">
        <f t="shared" si="25"/>
        <v>-75</v>
      </c>
      <c r="R358" t="str">
        <f t="shared" si="26"/>
        <v>Hub Risk</v>
      </c>
      <c r="S358" t="str">
        <f t="shared" si="27"/>
        <v>Style Risk</v>
      </c>
      <c r="T358" t="str">
        <f t="shared" si="28"/>
        <v>Risk</v>
      </c>
      <c r="U358" t="str">
        <f t="shared" si="29"/>
        <v>Low Value</v>
      </c>
    </row>
    <row r="359" spans="1:21" x14ac:dyDescent="0.2">
      <c r="A359" s="2">
        <v>542</v>
      </c>
      <c r="B359" s="2" t="s">
        <v>9</v>
      </c>
      <c r="C359" s="2" t="s">
        <v>1145</v>
      </c>
      <c r="D359" s="2" t="s">
        <v>558</v>
      </c>
      <c r="E359" s="2">
        <v>90005</v>
      </c>
      <c r="F359" s="2" t="s">
        <v>981</v>
      </c>
      <c r="G359" s="2" t="s">
        <v>36</v>
      </c>
      <c r="H359" s="2">
        <v>1</v>
      </c>
      <c r="I359" s="2" t="s">
        <v>14</v>
      </c>
      <c r="J359" s="2" t="str">
        <f>VLOOKUP(E359,[1]LL_Hub!$A$1:$B$13,2,FALSE)</f>
        <v>Los Angeles</v>
      </c>
      <c r="K359" t="str">
        <f>VLOOKUP(D359,'[2]product Table data'!$A$2:$B$12,2,FALSE)</f>
        <v>Female</v>
      </c>
      <c r="L359" t="str">
        <f>VLOOKUP($D359,'[2]product Table data'!$A$2:$G$12,L$1,FALSE)</f>
        <v>Fancy Sheek</v>
      </c>
      <c r="M359" t="str">
        <f>VLOOKUP($D359,'[2]product Table data'!$A$2:$G$12,M$1,FALSE)</f>
        <v>Afghanistan</v>
      </c>
      <c r="N359" t="str">
        <f>VLOOKUP($D359,'[2]product Table data'!$A$2:$G$12,N$1,FALSE)</f>
        <v>Middle East</v>
      </c>
      <c r="O359">
        <f>VLOOKUP($D359,'[2]product Table data'!$A$2:$G$12,O$1,FALSE)</f>
        <v>150</v>
      </c>
      <c r="P359">
        <f>VLOOKUP($D359,'[2]product Table data'!$A$2:$G$12,P$1,FALSE)</f>
        <v>75</v>
      </c>
      <c r="Q359">
        <f t="shared" si="25"/>
        <v>-75</v>
      </c>
      <c r="R359" t="str">
        <f t="shared" si="26"/>
        <v>Hub Risk</v>
      </c>
      <c r="S359" t="str">
        <f t="shared" si="27"/>
        <v>Style Risk</v>
      </c>
      <c r="T359" t="str">
        <f t="shared" si="28"/>
        <v>Risk</v>
      </c>
      <c r="U359" t="str">
        <f t="shared" si="29"/>
        <v>Low Value</v>
      </c>
    </row>
    <row r="360" spans="1:21" x14ac:dyDescent="0.2">
      <c r="A360" s="2">
        <v>549</v>
      </c>
      <c r="B360" s="2" t="s">
        <v>9</v>
      </c>
      <c r="C360" s="2" t="s">
        <v>1152</v>
      </c>
      <c r="D360" s="2" t="s">
        <v>558</v>
      </c>
      <c r="E360" s="2">
        <v>90005</v>
      </c>
      <c r="F360" s="2" t="s">
        <v>981</v>
      </c>
      <c r="G360" s="2" t="s">
        <v>36</v>
      </c>
      <c r="H360" s="2">
        <v>1</v>
      </c>
      <c r="I360" s="2" t="s">
        <v>14</v>
      </c>
      <c r="J360" s="2" t="str">
        <f>VLOOKUP(E360,[1]LL_Hub!$A$1:$B$13,2,FALSE)</f>
        <v>Los Angeles</v>
      </c>
      <c r="K360" t="str">
        <f>VLOOKUP(D360,'[2]product Table data'!$A$2:$B$12,2,FALSE)</f>
        <v>Female</v>
      </c>
      <c r="L360" t="str">
        <f>VLOOKUP($D360,'[2]product Table data'!$A$2:$G$12,L$1,FALSE)</f>
        <v>Fancy Sheek</v>
      </c>
      <c r="M360" t="str">
        <f>VLOOKUP($D360,'[2]product Table data'!$A$2:$G$12,M$1,FALSE)</f>
        <v>Afghanistan</v>
      </c>
      <c r="N360" t="str">
        <f>VLOOKUP($D360,'[2]product Table data'!$A$2:$G$12,N$1,FALSE)</f>
        <v>Middle East</v>
      </c>
      <c r="O360">
        <f>VLOOKUP($D360,'[2]product Table data'!$A$2:$G$12,O$1,FALSE)</f>
        <v>150</v>
      </c>
      <c r="P360">
        <f>VLOOKUP($D360,'[2]product Table data'!$A$2:$G$12,P$1,FALSE)</f>
        <v>75</v>
      </c>
      <c r="Q360">
        <f t="shared" si="25"/>
        <v>-75</v>
      </c>
      <c r="R360" t="str">
        <f t="shared" si="26"/>
        <v>Hub Risk</v>
      </c>
      <c r="S360" t="str">
        <f t="shared" si="27"/>
        <v>Style Risk</v>
      </c>
      <c r="T360" t="str">
        <f t="shared" si="28"/>
        <v>Risk</v>
      </c>
      <c r="U360" t="str">
        <f t="shared" si="29"/>
        <v>Low Value</v>
      </c>
    </row>
    <row r="361" spans="1:21" x14ac:dyDescent="0.2">
      <c r="A361" s="2">
        <v>550</v>
      </c>
      <c r="B361" s="2" t="s">
        <v>9</v>
      </c>
      <c r="C361" s="2" t="s">
        <v>1153</v>
      </c>
      <c r="D361" s="2" t="s">
        <v>558</v>
      </c>
      <c r="E361" s="2">
        <v>90005</v>
      </c>
      <c r="F361" s="2" t="s">
        <v>981</v>
      </c>
      <c r="G361" s="2" t="s">
        <v>36</v>
      </c>
      <c r="H361" s="2">
        <v>1</v>
      </c>
      <c r="I361" s="2" t="s">
        <v>14</v>
      </c>
      <c r="J361" s="2" t="str">
        <f>VLOOKUP(E361,[1]LL_Hub!$A$1:$B$13,2,FALSE)</f>
        <v>Los Angeles</v>
      </c>
      <c r="K361" t="str">
        <f>VLOOKUP(D361,'[2]product Table data'!$A$2:$B$12,2,FALSE)</f>
        <v>Female</v>
      </c>
      <c r="L361" t="str">
        <f>VLOOKUP($D361,'[2]product Table data'!$A$2:$G$12,L$1,FALSE)</f>
        <v>Fancy Sheek</v>
      </c>
      <c r="M361" t="str">
        <f>VLOOKUP($D361,'[2]product Table data'!$A$2:$G$12,M$1,FALSE)</f>
        <v>Afghanistan</v>
      </c>
      <c r="N361" t="str">
        <f>VLOOKUP($D361,'[2]product Table data'!$A$2:$G$12,N$1,FALSE)</f>
        <v>Middle East</v>
      </c>
      <c r="O361">
        <f>VLOOKUP($D361,'[2]product Table data'!$A$2:$G$12,O$1,FALSE)</f>
        <v>150</v>
      </c>
      <c r="P361">
        <f>VLOOKUP($D361,'[2]product Table data'!$A$2:$G$12,P$1,FALSE)</f>
        <v>75</v>
      </c>
      <c r="Q361">
        <f t="shared" si="25"/>
        <v>-75</v>
      </c>
      <c r="R361" t="str">
        <f t="shared" si="26"/>
        <v>Hub Risk</v>
      </c>
      <c r="S361" t="str">
        <f t="shared" si="27"/>
        <v>Style Risk</v>
      </c>
      <c r="T361" t="str">
        <f t="shared" si="28"/>
        <v>Risk</v>
      </c>
      <c r="U361" t="str">
        <f t="shared" si="29"/>
        <v>Low Value</v>
      </c>
    </row>
    <row r="362" spans="1:21" x14ac:dyDescent="0.2">
      <c r="A362" s="2">
        <v>551</v>
      </c>
      <c r="B362" s="2" t="s">
        <v>9</v>
      </c>
      <c r="C362" s="2" t="s">
        <v>1154</v>
      </c>
      <c r="D362" s="2" t="s">
        <v>558</v>
      </c>
      <c r="E362" s="2">
        <v>90005</v>
      </c>
      <c r="F362" s="2" t="s">
        <v>981</v>
      </c>
      <c r="G362" s="2" t="s">
        <v>36</v>
      </c>
      <c r="H362" s="2">
        <v>1</v>
      </c>
      <c r="I362" s="2" t="s">
        <v>14</v>
      </c>
      <c r="J362" s="2" t="str">
        <f>VLOOKUP(E362,[1]LL_Hub!$A$1:$B$13,2,FALSE)</f>
        <v>Los Angeles</v>
      </c>
      <c r="K362" t="str">
        <f>VLOOKUP(D362,'[2]product Table data'!$A$2:$B$12,2,FALSE)</f>
        <v>Female</v>
      </c>
      <c r="L362" t="str">
        <f>VLOOKUP($D362,'[2]product Table data'!$A$2:$G$12,L$1,FALSE)</f>
        <v>Fancy Sheek</v>
      </c>
      <c r="M362" t="str">
        <f>VLOOKUP($D362,'[2]product Table data'!$A$2:$G$12,M$1,FALSE)</f>
        <v>Afghanistan</v>
      </c>
      <c r="N362" t="str">
        <f>VLOOKUP($D362,'[2]product Table data'!$A$2:$G$12,N$1,FALSE)</f>
        <v>Middle East</v>
      </c>
      <c r="O362">
        <f>VLOOKUP($D362,'[2]product Table data'!$A$2:$G$12,O$1,FALSE)</f>
        <v>150</v>
      </c>
      <c r="P362">
        <f>VLOOKUP($D362,'[2]product Table data'!$A$2:$G$12,P$1,FALSE)</f>
        <v>75</v>
      </c>
      <c r="Q362">
        <f t="shared" si="25"/>
        <v>-75</v>
      </c>
      <c r="R362" t="str">
        <f t="shared" si="26"/>
        <v>Hub Risk</v>
      </c>
      <c r="S362" t="str">
        <f t="shared" si="27"/>
        <v>Style Risk</v>
      </c>
      <c r="T362" t="str">
        <f t="shared" si="28"/>
        <v>Risk</v>
      </c>
      <c r="U362" t="str">
        <f t="shared" si="29"/>
        <v>Low Value</v>
      </c>
    </row>
    <row r="363" spans="1:21" hidden="1" x14ac:dyDescent="0.2">
      <c r="A363" s="2">
        <v>81</v>
      </c>
      <c r="B363" s="2" t="s">
        <v>9</v>
      </c>
      <c r="C363" s="2" t="s">
        <v>584</v>
      </c>
      <c r="D363" s="2" t="s">
        <v>505</v>
      </c>
      <c r="E363" s="2">
        <v>10013</v>
      </c>
      <c r="F363" s="2" t="s">
        <v>585</v>
      </c>
      <c r="G363" s="2" t="s">
        <v>13</v>
      </c>
      <c r="H363" s="2">
        <v>1</v>
      </c>
      <c r="I363" s="2" t="s">
        <v>17</v>
      </c>
      <c r="J363" s="2" t="str">
        <f>VLOOKUP(E363,[1]LL_Hub!$A$1:$B$13,2,FALSE)</f>
        <v>New York</v>
      </c>
      <c r="K363" t="str">
        <f>VLOOKUP(D363,'[2]product Table data'!$A$2:$B$12,2,FALSE)</f>
        <v>Female</v>
      </c>
      <c r="L363" t="str">
        <f>VLOOKUP($D363,'[2]product Table data'!$A$2:$G$12,L$1,FALSE)</f>
        <v>Casual n Light</v>
      </c>
      <c r="M363" t="str">
        <f>VLOOKUP($D363,'[2]product Table data'!$A$2:$G$12,M$1,FALSE)</f>
        <v>Honduras</v>
      </c>
      <c r="N363" t="str">
        <f>VLOOKUP($D363,'[2]product Table data'!$A$2:$G$12,N$1,FALSE)</f>
        <v>Central America</v>
      </c>
      <c r="O363">
        <f>VLOOKUP($D363,'[2]product Table data'!$A$2:$G$12,O$1,FALSE)</f>
        <v>30</v>
      </c>
      <c r="P363">
        <f>VLOOKUP($D363,'[2]product Table data'!$A$2:$G$12,P$1,FALSE)</f>
        <v>45</v>
      </c>
      <c r="Q363">
        <f t="shared" si="25"/>
        <v>15</v>
      </c>
      <c r="R363" t="str">
        <f t="shared" si="26"/>
        <v>-</v>
      </c>
      <c r="S363" t="str">
        <f t="shared" si="27"/>
        <v>Style Risk</v>
      </c>
      <c r="T363" t="str">
        <f t="shared" si="28"/>
        <v>-</v>
      </c>
      <c r="U363" t="str">
        <f t="shared" si="29"/>
        <v>High Value</v>
      </c>
    </row>
    <row r="364" spans="1:21" hidden="1" x14ac:dyDescent="0.2">
      <c r="A364" s="2">
        <v>82</v>
      </c>
      <c r="B364" s="2" t="s">
        <v>9</v>
      </c>
      <c r="C364" s="2" t="s">
        <v>586</v>
      </c>
      <c r="D364" s="2" t="s">
        <v>505</v>
      </c>
      <c r="E364" s="2">
        <v>10013</v>
      </c>
      <c r="F364" s="2" t="s">
        <v>587</v>
      </c>
      <c r="G364" s="2" t="s">
        <v>13</v>
      </c>
      <c r="H364" s="2">
        <v>1</v>
      </c>
      <c r="I364" s="2" t="s">
        <v>17</v>
      </c>
      <c r="J364" s="2" t="str">
        <f>VLOOKUP(E364,[1]LL_Hub!$A$1:$B$13,2,FALSE)</f>
        <v>New York</v>
      </c>
      <c r="K364" t="str">
        <f>VLOOKUP(D364,'[2]product Table data'!$A$2:$B$12,2,FALSE)</f>
        <v>Female</v>
      </c>
      <c r="L364" t="str">
        <f>VLOOKUP($D364,'[2]product Table data'!$A$2:$G$12,L$1,FALSE)</f>
        <v>Casual n Light</v>
      </c>
      <c r="M364" t="str">
        <f>VLOOKUP($D364,'[2]product Table data'!$A$2:$G$12,M$1,FALSE)</f>
        <v>Honduras</v>
      </c>
      <c r="N364" t="str">
        <f>VLOOKUP($D364,'[2]product Table data'!$A$2:$G$12,N$1,FALSE)</f>
        <v>Central America</v>
      </c>
      <c r="O364">
        <f>VLOOKUP($D364,'[2]product Table data'!$A$2:$G$12,O$1,FALSE)</f>
        <v>30</v>
      </c>
      <c r="P364">
        <f>VLOOKUP($D364,'[2]product Table data'!$A$2:$G$12,P$1,FALSE)</f>
        <v>45</v>
      </c>
      <c r="Q364">
        <f t="shared" si="25"/>
        <v>15</v>
      </c>
      <c r="R364" t="str">
        <f t="shared" si="26"/>
        <v>-</v>
      </c>
      <c r="S364" t="str">
        <f t="shared" si="27"/>
        <v>Style Risk</v>
      </c>
      <c r="T364" t="str">
        <f t="shared" si="28"/>
        <v>-</v>
      </c>
      <c r="U364" t="str">
        <f t="shared" si="29"/>
        <v>High Value</v>
      </c>
    </row>
    <row r="365" spans="1:21" hidden="1" x14ac:dyDescent="0.2">
      <c r="A365" s="2">
        <v>83</v>
      </c>
      <c r="B365" s="2" t="s">
        <v>9</v>
      </c>
      <c r="C365" s="2" t="s">
        <v>588</v>
      </c>
      <c r="D365" s="2" t="s">
        <v>505</v>
      </c>
      <c r="E365" s="2">
        <v>10013</v>
      </c>
      <c r="F365" s="2" t="s">
        <v>589</v>
      </c>
      <c r="G365" s="2" t="s">
        <v>13</v>
      </c>
      <c r="H365" s="2">
        <v>1</v>
      </c>
      <c r="I365" s="2" t="s">
        <v>17</v>
      </c>
      <c r="J365" s="2" t="str">
        <f>VLOOKUP(E365,[1]LL_Hub!$A$1:$B$13,2,FALSE)</f>
        <v>New York</v>
      </c>
      <c r="K365" t="str">
        <f>VLOOKUP(D365,'[2]product Table data'!$A$2:$B$12,2,FALSE)</f>
        <v>Female</v>
      </c>
      <c r="L365" t="str">
        <f>VLOOKUP($D365,'[2]product Table data'!$A$2:$G$12,L$1,FALSE)</f>
        <v>Casual n Light</v>
      </c>
      <c r="M365" t="str">
        <f>VLOOKUP($D365,'[2]product Table data'!$A$2:$G$12,M$1,FALSE)</f>
        <v>Honduras</v>
      </c>
      <c r="N365" t="str">
        <f>VLOOKUP($D365,'[2]product Table data'!$A$2:$G$12,N$1,FALSE)</f>
        <v>Central America</v>
      </c>
      <c r="O365">
        <f>VLOOKUP($D365,'[2]product Table data'!$A$2:$G$12,O$1,FALSE)</f>
        <v>30</v>
      </c>
      <c r="P365">
        <f>VLOOKUP($D365,'[2]product Table data'!$A$2:$G$12,P$1,FALSE)</f>
        <v>45</v>
      </c>
      <c r="Q365">
        <f t="shared" si="25"/>
        <v>15</v>
      </c>
      <c r="R365" t="str">
        <f t="shared" si="26"/>
        <v>-</v>
      </c>
      <c r="S365" t="str">
        <f t="shared" si="27"/>
        <v>Style Risk</v>
      </c>
      <c r="T365" t="str">
        <f t="shared" si="28"/>
        <v>-</v>
      </c>
      <c r="U365" t="str">
        <f t="shared" si="29"/>
        <v>High Value</v>
      </c>
    </row>
    <row r="366" spans="1:21" hidden="1" x14ac:dyDescent="0.2">
      <c r="A366" s="2">
        <v>84</v>
      </c>
      <c r="B366" s="2" t="s">
        <v>9</v>
      </c>
      <c r="C366" s="2" t="s">
        <v>590</v>
      </c>
      <c r="D366" s="2" t="s">
        <v>505</v>
      </c>
      <c r="E366" s="2">
        <v>10013</v>
      </c>
      <c r="F366" s="2" t="s">
        <v>591</v>
      </c>
      <c r="G366" s="2" t="s">
        <v>13</v>
      </c>
      <c r="H366" s="2">
        <v>1</v>
      </c>
      <c r="I366" s="2" t="s">
        <v>17</v>
      </c>
      <c r="J366" s="2" t="str">
        <f>VLOOKUP(E366,[1]LL_Hub!$A$1:$B$13,2,FALSE)</f>
        <v>New York</v>
      </c>
      <c r="K366" t="str">
        <f>VLOOKUP(D366,'[2]product Table data'!$A$2:$B$12,2,FALSE)</f>
        <v>Female</v>
      </c>
      <c r="L366" t="str">
        <f>VLOOKUP($D366,'[2]product Table data'!$A$2:$G$12,L$1,FALSE)</f>
        <v>Casual n Light</v>
      </c>
      <c r="M366" t="str">
        <f>VLOOKUP($D366,'[2]product Table data'!$A$2:$G$12,M$1,FALSE)</f>
        <v>Honduras</v>
      </c>
      <c r="N366" t="str">
        <f>VLOOKUP($D366,'[2]product Table data'!$A$2:$G$12,N$1,FALSE)</f>
        <v>Central America</v>
      </c>
      <c r="O366">
        <f>VLOOKUP($D366,'[2]product Table data'!$A$2:$G$12,O$1,FALSE)</f>
        <v>30</v>
      </c>
      <c r="P366">
        <f>VLOOKUP($D366,'[2]product Table data'!$A$2:$G$12,P$1,FALSE)</f>
        <v>45</v>
      </c>
      <c r="Q366">
        <f t="shared" si="25"/>
        <v>15</v>
      </c>
      <c r="R366" t="str">
        <f t="shared" si="26"/>
        <v>-</v>
      </c>
      <c r="S366" t="str">
        <f t="shared" si="27"/>
        <v>Style Risk</v>
      </c>
      <c r="T366" t="str">
        <f t="shared" si="28"/>
        <v>-</v>
      </c>
      <c r="U366" t="str">
        <f t="shared" si="29"/>
        <v>High Value</v>
      </c>
    </row>
    <row r="367" spans="1:21" hidden="1" x14ac:dyDescent="0.2">
      <c r="A367" s="2">
        <v>85</v>
      </c>
      <c r="B367" s="2" t="s">
        <v>9</v>
      </c>
      <c r="C367" s="2" t="s">
        <v>592</v>
      </c>
      <c r="D367" s="2" t="s">
        <v>505</v>
      </c>
      <c r="E367" s="2">
        <v>10013</v>
      </c>
      <c r="F367" s="2" t="s">
        <v>593</v>
      </c>
      <c r="G367" s="2" t="s">
        <v>13</v>
      </c>
      <c r="H367" s="2">
        <v>1</v>
      </c>
      <c r="I367" s="2" t="s">
        <v>17</v>
      </c>
      <c r="J367" s="2" t="str">
        <f>VLOOKUP(E367,[1]LL_Hub!$A$1:$B$13,2,FALSE)</f>
        <v>New York</v>
      </c>
      <c r="K367" t="str">
        <f>VLOOKUP(D367,'[2]product Table data'!$A$2:$B$12,2,FALSE)</f>
        <v>Female</v>
      </c>
      <c r="L367" t="str">
        <f>VLOOKUP($D367,'[2]product Table data'!$A$2:$G$12,L$1,FALSE)</f>
        <v>Casual n Light</v>
      </c>
      <c r="M367" t="str">
        <f>VLOOKUP($D367,'[2]product Table data'!$A$2:$G$12,M$1,FALSE)</f>
        <v>Honduras</v>
      </c>
      <c r="N367" t="str">
        <f>VLOOKUP($D367,'[2]product Table data'!$A$2:$G$12,N$1,FALSE)</f>
        <v>Central America</v>
      </c>
      <c r="O367">
        <f>VLOOKUP($D367,'[2]product Table data'!$A$2:$G$12,O$1,FALSE)</f>
        <v>30</v>
      </c>
      <c r="P367">
        <f>VLOOKUP($D367,'[2]product Table data'!$A$2:$G$12,P$1,FALSE)</f>
        <v>45</v>
      </c>
      <c r="Q367">
        <f t="shared" si="25"/>
        <v>15</v>
      </c>
      <c r="R367" t="str">
        <f t="shared" si="26"/>
        <v>-</v>
      </c>
      <c r="S367" t="str">
        <f t="shared" si="27"/>
        <v>Style Risk</v>
      </c>
      <c r="T367" t="str">
        <f t="shared" si="28"/>
        <v>-</v>
      </c>
      <c r="U367" t="str">
        <f t="shared" si="29"/>
        <v>High Value</v>
      </c>
    </row>
    <row r="368" spans="1:21" hidden="1" x14ac:dyDescent="0.2">
      <c r="A368" s="2">
        <v>86</v>
      </c>
      <c r="B368" s="2" t="s">
        <v>9</v>
      </c>
      <c r="C368" s="2" t="s">
        <v>594</v>
      </c>
      <c r="D368" s="2" t="s">
        <v>505</v>
      </c>
      <c r="E368" s="2">
        <v>10013</v>
      </c>
      <c r="F368" s="2" t="s">
        <v>595</v>
      </c>
      <c r="G368" s="2" t="s">
        <v>13</v>
      </c>
      <c r="H368" s="2">
        <v>1</v>
      </c>
      <c r="I368" s="2" t="s">
        <v>17</v>
      </c>
      <c r="J368" s="2" t="str">
        <f>VLOOKUP(E368,[1]LL_Hub!$A$1:$B$13,2,FALSE)</f>
        <v>New York</v>
      </c>
      <c r="K368" t="str">
        <f>VLOOKUP(D368,'[2]product Table data'!$A$2:$B$12,2,FALSE)</f>
        <v>Female</v>
      </c>
      <c r="L368" t="str">
        <f>VLOOKUP($D368,'[2]product Table data'!$A$2:$G$12,L$1,FALSE)</f>
        <v>Casual n Light</v>
      </c>
      <c r="M368" t="str">
        <f>VLOOKUP($D368,'[2]product Table data'!$A$2:$G$12,M$1,FALSE)</f>
        <v>Honduras</v>
      </c>
      <c r="N368" t="str">
        <f>VLOOKUP($D368,'[2]product Table data'!$A$2:$G$12,N$1,FALSE)</f>
        <v>Central America</v>
      </c>
      <c r="O368">
        <f>VLOOKUP($D368,'[2]product Table data'!$A$2:$G$12,O$1,FALSE)</f>
        <v>30</v>
      </c>
      <c r="P368">
        <f>VLOOKUP($D368,'[2]product Table data'!$A$2:$G$12,P$1,FALSE)</f>
        <v>45</v>
      </c>
      <c r="Q368">
        <f t="shared" si="25"/>
        <v>15</v>
      </c>
      <c r="R368" t="str">
        <f t="shared" si="26"/>
        <v>-</v>
      </c>
      <c r="S368" t="str">
        <f t="shared" si="27"/>
        <v>Style Risk</v>
      </c>
      <c r="T368" t="str">
        <f t="shared" si="28"/>
        <v>-</v>
      </c>
      <c r="U368" t="str">
        <f t="shared" si="29"/>
        <v>High Value</v>
      </c>
    </row>
    <row r="369" spans="1:21" hidden="1" x14ac:dyDescent="0.2">
      <c r="A369" s="2">
        <v>87</v>
      </c>
      <c r="B369" s="2" t="s">
        <v>9</v>
      </c>
      <c r="C369" s="2" t="s">
        <v>596</v>
      </c>
      <c r="D369" s="2" t="s">
        <v>505</v>
      </c>
      <c r="E369" s="2">
        <v>10013</v>
      </c>
      <c r="F369" s="2" t="s">
        <v>597</v>
      </c>
      <c r="G369" s="2" t="s">
        <v>13</v>
      </c>
      <c r="H369" s="2">
        <v>1</v>
      </c>
      <c r="I369" s="2" t="s">
        <v>17</v>
      </c>
      <c r="J369" s="2" t="str">
        <f>VLOOKUP(E369,[1]LL_Hub!$A$1:$B$13,2,FALSE)</f>
        <v>New York</v>
      </c>
      <c r="K369" t="str">
        <f>VLOOKUP(D369,'[2]product Table data'!$A$2:$B$12,2,FALSE)</f>
        <v>Female</v>
      </c>
      <c r="L369" t="str">
        <f>VLOOKUP($D369,'[2]product Table data'!$A$2:$G$12,L$1,FALSE)</f>
        <v>Casual n Light</v>
      </c>
      <c r="M369" t="str">
        <f>VLOOKUP($D369,'[2]product Table data'!$A$2:$G$12,M$1,FALSE)</f>
        <v>Honduras</v>
      </c>
      <c r="N369" t="str">
        <f>VLOOKUP($D369,'[2]product Table data'!$A$2:$G$12,N$1,FALSE)</f>
        <v>Central America</v>
      </c>
      <c r="O369">
        <f>VLOOKUP($D369,'[2]product Table data'!$A$2:$G$12,O$1,FALSE)</f>
        <v>30</v>
      </c>
      <c r="P369">
        <f>VLOOKUP($D369,'[2]product Table data'!$A$2:$G$12,P$1,FALSE)</f>
        <v>45</v>
      </c>
      <c r="Q369">
        <f t="shared" si="25"/>
        <v>15</v>
      </c>
      <c r="R369" t="str">
        <f t="shared" si="26"/>
        <v>-</v>
      </c>
      <c r="S369" t="str">
        <f t="shared" si="27"/>
        <v>Style Risk</v>
      </c>
      <c r="T369" t="str">
        <f t="shared" si="28"/>
        <v>-</v>
      </c>
      <c r="U369" t="str">
        <f t="shared" si="29"/>
        <v>High Value</v>
      </c>
    </row>
    <row r="370" spans="1:21" hidden="1" x14ac:dyDescent="0.2">
      <c r="A370" s="2">
        <v>88</v>
      </c>
      <c r="B370" s="2" t="s">
        <v>9</v>
      </c>
      <c r="C370" s="2" t="s">
        <v>598</v>
      </c>
      <c r="D370" s="2" t="s">
        <v>505</v>
      </c>
      <c r="E370" s="2">
        <v>10013</v>
      </c>
      <c r="F370" s="2" t="s">
        <v>599</v>
      </c>
      <c r="G370" s="2" t="s">
        <v>13</v>
      </c>
      <c r="H370" s="2">
        <v>1</v>
      </c>
      <c r="I370" s="2" t="s">
        <v>17</v>
      </c>
      <c r="J370" s="2" t="str">
        <f>VLOOKUP(E370,[1]LL_Hub!$A$1:$B$13,2,FALSE)</f>
        <v>New York</v>
      </c>
      <c r="K370" t="str">
        <f>VLOOKUP(D370,'[2]product Table data'!$A$2:$B$12,2,FALSE)</f>
        <v>Female</v>
      </c>
      <c r="L370" t="str">
        <f>VLOOKUP($D370,'[2]product Table data'!$A$2:$G$12,L$1,FALSE)</f>
        <v>Casual n Light</v>
      </c>
      <c r="M370" t="str">
        <f>VLOOKUP($D370,'[2]product Table data'!$A$2:$G$12,M$1,FALSE)</f>
        <v>Honduras</v>
      </c>
      <c r="N370" t="str">
        <f>VLOOKUP($D370,'[2]product Table data'!$A$2:$G$12,N$1,FALSE)</f>
        <v>Central America</v>
      </c>
      <c r="O370">
        <f>VLOOKUP($D370,'[2]product Table data'!$A$2:$G$12,O$1,FALSE)</f>
        <v>30</v>
      </c>
      <c r="P370">
        <f>VLOOKUP($D370,'[2]product Table data'!$A$2:$G$12,P$1,FALSE)</f>
        <v>45</v>
      </c>
      <c r="Q370">
        <f t="shared" si="25"/>
        <v>15</v>
      </c>
      <c r="R370" t="str">
        <f t="shared" si="26"/>
        <v>-</v>
      </c>
      <c r="S370" t="str">
        <f t="shared" si="27"/>
        <v>Style Risk</v>
      </c>
      <c r="T370" t="str">
        <f t="shared" si="28"/>
        <v>-</v>
      </c>
      <c r="U370" t="str">
        <f t="shared" si="29"/>
        <v>High Value</v>
      </c>
    </row>
    <row r="371" spans="1:21" hidden="1" x14ac:dyDescent="0.2">
      <c r="A371" s="2">
        <v>89</v>
      </c>
      <c r="B371" s="2" t="s">
        <v>9</v>
      </c>
      <c r="C371" s="2" t="s">
        <v>600</v>
      </c>
      <c r="D371" s="2" t="s">
        <v>505</v>
      </c>
      <c r="E371" s="2">
        <v>10013</v>
      </c>
      <c r="F371" s="2" t="s">
        <v>35</v>
      </c>
      <c r="G371" s="2" t="s">
        <v>36</v>
      </c>
      <c r="H371" s="2">
        <v>1</v>
      </c>
      <c r="I371" s="2" t="s">
        <v>17</v>
      </c>
      <c r="J371" s="2" t="str">
        <f>VLOOKUP(E371,[1]LL_Hub!$A$1:$B$13,2,FALSE)</f>
        <v>New York</v>
      </c>
      <c r="K371" t="str">
        <f>VLOOKUP(D371,'[2]product Table data'!$A$2:$B$12,2,FALSE)</f>
        <v>Female</v>
      </c>
      <c r="L371" t="str">
        <f>VLOOKUP($D371,'[2]product Table data'!$A$2:$G$12,L$1,FALSE)</f>
        <v>Casual n Light</v>
      </c>
      <c r="M371" t="str">
        <f>VLOOKUP($D371,'[2]product Table data'!$A$2:$G$12,M$1,FALSE)</f>
        <v>Honduras</v>
      </c>
      <c r="N371" t="str">
        <f>VLOOKUP($D371,'[2]product Table data'!$A$2:$G$12,N$1,FALSE)</f>
        <v>Central America</v>
      </c>
      <c r="O371">
        <f>VLOOKUP($D371,'[2]product Table data'!$A$2:$G$12,O$1,FALSE)</f>
        <v>30</v>
      </c>
      <c r="P371">
        <f>VLOOKUP($D371,'[2]product Table data'!$A$2:$G$12,P$1,FALSE)</f>
        <v>45</v>
      </c>
      <c r="Q371">
        <f t="shared" si="25"/>
        <v>15</v>
      </c>
      <c r="R371" t="str">
        <f t="shared" si="26"/>
        <v>-</v>
      </c>
      <c r="S371" t="str">
        <f t="shared" si="27"/>
        <v>Style Risk</v>
      </c>
      <c r="T371" t="str">
        <f t="shared" si="28"/>
        <v>-</v>
      </c>
      <c r="U371" t="str">
        <f t="shared" si="29"/>
        <v>High Value</v>
      </c>
    </row>
    <row r="372" spans="1:21" hidden="1" x14ac:dyDescent="0.2">
      <c r="A372" s="2">
        <v>90</v>
      </c>
      <c r="B372" s="2" t="s">
        <v>9</v>
      </c>
      <c r="C372" s="2" t="s">
        <v>601</v>
      </c>
      <c r="D372" s="2" t="s">
        <v>505</v>
      </c>
      <c r="E372" s="2">
        <v>10013</v>
      </c>
      <c r="F372" s="2" t="s">
        <v>35</v>
      </c>
      <c r="G372" s="2" t="s">
        <v>36</v>
      </c>
      <c r="H372" s="2">
        <v>1</v>
      </c>
      <c r="I372" s="2" t="s">
        <v>17</v>
      </c>
      <c r="J372" s="2" t="str">
        <f>VLOOKUP(E372,[1]LL_Hub!$A$1:$B$13,2,FALSE)</f>
        <v>New York</v>
      </c>
      <c r="K372" t="str">
        <f>VLOOKUP(D372,'[2]product Table data'!$A$2:$B$12,2,FALSE)</f>
        <v>Female</v>
      </c>
      <c r="L372" t="str">
        <f>VLOOKUP($D372,'[2]product Table data'!$A$2:$G$12,L$1,FALSE)</f>
        <v>Casual n Light</v>
      </c>
      <c r="M372" t="str">
        <f>VLOOKUP($D372,'[2]product Table data'!$A$2:$G$12,M$1,FALSE)</f>
        <v>Honduras</v>
      </c>
      <c r="N372" t="str">
        <f>VLOOKUP($D372,'[2]product Table data'!$A$2:$G$12,N$1,FALSE)</f>
        <v>Central America</v>
      </c>
      <c r="O372">
        <f>VLOOKUP($D372,'[2]product Table data'!$A$2:$G$12,O$1,FALSE)</f>
        <v>30</v>
      </c>
      <c r="P372">
        <f>VLOOKUP($D372,'[2]product Table data'!$A$2:$G$12,P$1,FALSE)</f>
        <v>45</v>
      </c>
      <c r="Q372">
        <f t="shared" si="25"/>
        <v>15</v>
      </c>
      <c r="R372" t="str">
        <f t="shared" si="26"/>
        <v>-</v>
      </c>
      <c r="S372" t="str">
        <f t="shared" si="27"/>
        <v>Style Risk</v>
      </c>
      <c r="T372" t="str">
        <f t="shared" si="28"/>
        <v>-</v>
      </c>
      <c r="U372" t="str">
        <f t="shared" si="29"/>
        <v>High Value</v>
      </c>
    </row>
    <row r="373" spans="1:21" hidden="1" x14ac:dyDescent="0.2">
      <c r="A373" s="2">
        <v>91</v>
      </c>
      <c r="B373" s="2" t="s">
        <v>9</v>
      </c>
      <c r="C373" s="2" t="s">
        <v>602</v>
      </c>
      <c r="D373" s="2" t="s">
        <v>505</v>
      </c>
      <c r="E373" s="2">
        <v>10013</v>
      </c>
      <c r="F373" s="2" t="s">
        <v>35</v>
      </c>
      <c r="G373" s="2" t="s">
        <v>36</v>
      </c>
      <c r="H373" s="2">
        <v>1</v>
      </c>
      <c r="I373" s="2" t="s">
        <v>17</v>
      </c>
      <c r="J373" s="2" t="str">
        <f>VLOOKUP(E373,[1]LL_Hub!$A$1:$B$13,2,FALSE)</f>
        <v>New York</v>
      </c>
      <c r="K373" t="str">
        <f>VLOOKUP(D373,'[2]product Table data'!$A$2:$B$12,2,FALSE)</f>
        <v>Female</v>
      </c>
      <c r="L373" t="str">
        <f>VLOOKUP($D373,'[2]product Table data'!$A$2:$G$12,L$1,FALSE)</f>
        <v>Casual n Light</v>
      </c>
      <c r="M373" t="str">
        <f>VLOOKUP($D373,'[2]product Table data'!$A$2:$G$12,M$1,FALSE)</f>
        <v>Honduras</v>
      </c>
      <c r="N373" t="str">
        <f>VLOOKUP($D373,'[2]product Table data'!$A$2:$G$12,N$1,FALSE)</f>
        <v>Central America</v>
      </c>
      <c r="O373">
        <f>VLOOKUP($D373,'[2]product Table data'!$A$2:$G$12,O$1,FALSE)</f>
        <v>30</v>
      </c>
      <c r="P373">
        <f>VLOOKUP($D373,'[2]product Table data'!$A$2:$G$12,P$1,FALSE)</f>
        <v>45</v>
      </c>
      <c r="Q373">
        <f t="shared" si="25"/>
        <v>15</v>
      </c>
      <c r="R373" t="str">
        <f t="shared" si="26"/>
        <v>-</v>
      </c>
      <c r="S373" t="str">
        <f t="shared" si="27"/>
        <v>Style Risk</v>
      </c>
      <c r="T373" t="str">
        <f t="shared" si="28"/>
        <v>-</v>
      </c>
      <c r="U373" t="str">
        <f t="shared" si="29"/>
        <v>High Value</v>
      </c>
    </row>
    <row r="374" spans="1:21" hidden="1" x14ac:dyDescent="0.2">
      <c r="A374" s="2">
        <v>92</v>
      </c>
      <c r="B374" s="2" t="s">
        <v>9</v>
      </c>
      <c r="C374" s="2" t="s">
        <v>603</v>
      </c>
      <c r="D374" s="2" t="s">
        <v>604</v>
      </c>
      <c r="E374" s="2">
        <v>10013</v>
      </c>
      <c r="F374" s="2" t="s">
        <v>35</v>
      </c>
      <c r="G374" s="2" t="s">
        <v>36</v>
      </c>
      <c r="H374" s="2">
        <v>1</v>
      </c>
      <c r="I374" s="2" t="s">
        <v>17</v>
      </c>
      <c r="J374" s="2" t="str">
        <f>VLOOKUP(E374,[1]LL_Hub!$A$1:$B$13,2,FALSE)</f>
        <v>New York</v>
      </c>
      <c r="K374" t="str">
        <f>VLOOKUP(D374,'[2]product Table data'!$A$2:$B$12,2,FALSE)</f>
        <v>Female</v>
      </c>
      <c r="L374" t="str">
        <f>VLOOKUP($D374,'[2]product Table data'!$A$2:$G$12,L$1,FALSE)</f>
        <v>Fancy Sheek</v>
      </c>
      <c r="M374" t="str">
        <f>VLOOKUP($D374,'[2]product Table data'!$A$2:$G$12,M$1,FALSE)</f>
        <v>Iran</v>
      </c>
      <c r="N374" t="str">
        <f>VLOOKUP($D374,'[2]product Table data'!$A$2:$G$12,N$1,FALSE)</f>
        <v>Middle East</v>
      </c>
      <c r="O374">
        <f>VLOOKUP($D374,'[2]product Table data'!$A$2:$G$12,O$1,FALSE)</f>
        <v>75</v>
      </c>
      <c r="P374">
        <f>VLOOKUP($D374,'[2]product Table data'!$A$2:$G$12,P$1,FALSE)</f>
        <v>125</v>
      </c>
      <c r="Q374">
        <f t="shared" si="25"/>
        <v>50</v>
      </c>
      <c r="R374" t="str">
        <f t="shared" si="26"/>
        <v>-</v>
      </c>
      <c r="S374" t="str">
        <f t="shared" si="27"/>
        <v>Style Risk</v>
      </c>
      <c r="T374" t="str">
        <f t="shared" si="28"/>
        <v>-</v>
      </c>
      <c r="U374" t="str">
        <f t="shared" si="29"/>
        <v>High Value</v>
      </c>
    </row>
    <row r="375" spans="1:21" hidden="1" x14ac:dyDescent="0.2">
      <c r="A375" s="2">
        <v>93</v>
      </c>
      <c r="B375" s="2" t="s">
        <v>9</v>
      </c>
      <c r="C375" s="2" t="s">
        <v>605</v>
      </c>
      <c r="D375" s="2" t="s">
        <v>505</v>
      </c>
      <c r="E375" s="2">
        <v>10013</v>
      </c>
      <c r="F375" s="2" t="s">
        <v>35</v>
      </c>
      <c r="G375" s="2" t="s">
        <v>36</v>
      </c>
      <c r="H375" s="2">
        <v>1</v>
      </c>
      <c r="I375" s="2" t="s">
        <v>17</v>
      </c>
      <c r="J375" s="2" t="str">
        <f>VLOOKUP(E375,[1]LL_Hub!$A$1:$B$13,2,FALSE)</f>
        <v>New York</v>
      </c>
      <c r="K375" t="str">
        <f>VLOOKUP(D375,'[2]product Table data'!$A$2:$B$12,2,FALSE)</f>
        <v>Female</v>
      </c>
      <c r="L375" t="str">
        <f>VLOOKUP($D375,'[2]product Table data'!$A$2:$G$12,L$1,FALSE)</f>
        <v>Casual n Light</v>
      </c>
      <c r="M375" t="str">
        <f>VLOOKUP($D375,'[2]product Table data'!$A$2:$G$12,M$1,FALSE)</f>
        <v>Honduras</v>
      </c>
      <c r="N375" t="str">
        <f>VLOOKUP($D375,'[2]product Table data'!$A$2:$G$12,N$1,FALSE)</f>
        <v>Central America</v>
      </c>
      <c r="O375">
        <f>VLOOKUP($D375,'[2]product Table data'!$A$2:$G$12,O$1,FALSE)</f>
        <v>30</v>
      </c>
      <c r="P375">
        <f>VLOOKUP($D375,'[2]product Table data'!$A$2:$G$12,P$1,FALSE)</f>
        <v>45</v>
      </c>
      <c r="Q375">
        <f t="shared" si="25"/>
        <v>15</v>
      </c>
      <c r="R375" t="str">
        <f t="shared" si="26"/>
        <v>-</v>
      </c>
      <c r="S375" t="str">
        <f t="shared" si="27"/>
        <v>Style Risk</v>
      </c>
      <c r="T375" t="str">
        <f t="shared" si="28"/>
        <v>-</v>
      </c>
      <c r="U375" t="str">
        <f t="shared" si="29"/>
        <v>High Value</v>
      </c>
    </row>
    <row r="376" spans="1:21" hidden="1" x14ac:dyDescent="0.2">
      <c r="A376" s="2">
        <v>94</v>
      </c>
      <c r="B376" s="2" t="s">
        <v>9</v>
      </c>
      <c r="C376" s="2" t="s">
        <v>606</v>
      </c>
      <c r="D376" s="2" t="s">
        <v>558</v>
      </c>
      <c r="E376" s="2">
        <v>10013</v>
      </c>
      <c r="F376" s="2" t="s">
        <v>35</v>
      </c>
      <c r="G376" s="2" t="s">
        <v>36</v>
      </c>
      <c r="H376" s="2">
        <v>1</v>
      </c>
      <c r="I376" s="2" t="s">
        <v>17</v>
      </c>
      <c r="J376" s="2" t="str">
        <f>VLOOKUP(E376,[1]LL_Hub!$A$1:$B$13,2,FALSE)</f>
        <v>New York</v>
      </c>
      <c r="K376" t="str">
        <f>VLOOKUP(D376,'[2]product Table data'!$A$2:$B$12,2,FALSE)</f>
        <v>Female</v>
      </c>
      <c r="L376" t="str">
        <f>VLOOKUP($D376,'[2]product Table data'!$A$2:$G$12,L$1,FALSE)</f>
        <v>Fancy Sheek</v>
      </c>
      <c r="M376" t="str">
        <f>VLOOKUP($D376,'[2]product Table data'!$A$2:$G$12,M$1,FALSE)</f>
        <v>Afghanistan</v>
      </c>
      <c r="N376" t="str">
        <f>VLOOKUP($D376,'[2]product Table data'!$A$2:$G$12,N$1,FALSE)</f>
        <v>Middle East</v>
      </c>
      <c r="O376">
        <f>VLOOKUP($D376,'[2]product Table data'!$A$2:$G$12,O$1,FALSE)</f>
        <v>150</v>
      </c>
      <c r="P376">
        <f>VLOOKUP($D376,'[2]product Table data'!$A$2:$G$12,P$1,FALSE)</f>
        <v>75</v>
      </c>
      <c r="Q376">
        <f t="shared" si="25"/>
        <v>-75</v>
      </c>
      <c r="R376" t="str">
        <f t="shared" si="26"/>
        <v>-</v>
      </c>
      <c r="S376" t="str">
        <f t="shared" si="27"/>
        <v>Style Risk</v>
      </c>
      <c r="T376" t="str">
        <f t="shared" si="28"/>
        <v>-</v>
      </c>
      <c r="U376" t="str">
        <f t="shared" si="29"/>
        <v>Low Value</v>
      </c>
    </row>
    <row r="377" spans="1:21" hidden="1" x14ac:dyDescent="0.2">
      <c r="A377" s="2">
        <v>95</v>
      </c>
      <c r="B377" s="2" t="s">
        <v>9</v>
      </c>
      <c r="C377" s="2" t="s">
        <v>607</v>
      </c>
      <c r="D377" s="2" t="s">
        <v>505</v>
      </c>
      <c r="E377" s="2">
        <v>10013</v>
      </c>
      <c r="F377" s="2" t="s">
        <v>35</v>
      </c>
      <c r="G377" s="2" t="s">
        <v>36</v>
      </c>
      <c r="H377" s="2">
        <v>1</v>
      </c>
      <c r="I377" s="2" t="s">
        <v>17</v>
      </c>
      <c r="J377" s="2" t="str">
        <f>VLOOKUP(E377,[1]LL_Hub!$A$1:$B$13,2,FALSE)</f>
        <v>New York</v>
      </c>
      <c r="K377" t="str">
        <f>VLOOKUP(D377,'[2]product Table data'!$A$2:$B$12,2,FALSE)</f>
        <v>Female</v>
      </c>
      <c r="L377" t="str">
        <f>VLOOKUP($D377,'[2]product Table data'!$A$2:$G$12,L$1,FALSE)</f>
        <v>Casual n Light</v>
      </c>
      <c r="M377" t="str">
        <f>VLOOKUP($D377,'[2]product Table data'!$A$2:$G$12,M$1,FALSE)</f>
        <v>Honduras</v>
      </c>
      <c r="N377" t="str">
        <f>VLOOKUP($D377,'[2]product Table data'!$A$2:$G$12,N$1,FALSE)</f>
        <v>Central America</v>
      </c>
      <c r="O377">
        <f>VLOOKUP($D377,'[2]product Table data'!$A$2:$G$12,O$1,FALSE)</f>
        <v>30</v>
      </c>
      <c r="P377">
        <f>VLOOKUP($D377,'[2]product Table data'!$A$2:$G$12,P$1,FALSE)</f>
        <v>45</v>
      </c>
      <c r="Q377">
        <f t="shared" si="25"/>
        <v>15</v>
      </c>
      <c r="R377" t="str">
        <f t="shared" si="26"/>
        <v>-</v>
      </c>
      <c r="S377" t="str">
        <f t="shared" si="27"/>
        <v>Style Risk</v>
      </c>
      <c r="T377" t="str">
        <f t="shared" si="28"/>
        <v>-</v>
      </c>
      <c r="U377" t="str">
        <f t="shared" si="29"/>
        <v>High Value</v>
      </c>
    </row>
    <row r="378" spans="1:21" hidden="1" x14ac:dyDescent="0.2">
      <c r="A378" s="2">
        <v>96</v>
      </c>
      <c r="B378" s="2" t="s">
        <v>9</v>
      </c>
      <c r="C378" s="2" t="s">
        <v>608</v>
      </c>
      <c r="D378" s="2" t="s">
        <v>505</v>
      </c>
      <c r="E378" s="2">
        <v>10013</v>
      </c>
      <c r="F378" s="2" t="s">
        <v>35</v>
      </c>
      <c r="G378" s="2" t="s">
        <v>36</v>
      </c>
      <c r="H378" s="2">
        <v>1</v>
      </c>
      <c r="I378" s="2" t="s">
        <v>17</v>
      </c>
      <c r="J378" s="2" t="str">
        <f>VLOOKUP(E378,[1]LL_Hub!$A$1:$B$13,2,FALSE)</f>
        <v>New York</v>
      </c>
      <c r="K378" t="str">
        <f>VLOOKUP(D378,'[2]product Table data'!$A$2:$B$12,2,FALSE)</f>
        <v>Female</v>
      </c>
      <c r="L378" t="str">
        <f>VLOOKUP($D378,'[2]product Table data'!$A$2:$G$12,L$1,FALSE)</f>
        <v>Casual n Light</v>
      </c>
      <c r="M378" t="str">
        <f>VLOOKUP($D378,'[2]product Table data'!$A$2:$G$12,M$1,FALSE)</f>
        <v>Honduras</v>
      </c>
      <c r="N378" t="str">
        <f>VLOOKUP($D378,'[2]product Table data'!$A$2:$G$12,N$1,FALSE)</f>
        <v>Central America</v>
      </c>
      <c r="O378">
        <f>VLOOKUP($D378,'[2]product Table data'!$A$2:$G$12,O$1,FALSE)</f>
        <v>30</v>
      </c>
      <c r="P378">
        <f>VLOOKUP($D378,'[2]product Table data'!$A$2:$G$12,P$1,FALSE)</f>
        <v>45</v>
      </c>
      <c r="Q378">
        <f t="shared" si="25"/>
        <v>15</v>
      </c>
      <c r="R378" t="str">
        <f t="shared" si="26"/>
        <v>-</v>
      </c>
      <c r="S378" t="str">
        <f t="shared" si="27"/>
        <v>Style Risk</v>
      </c>
      <c r="T378" t="str">
        <f t="shared" si="28"/>
        <v>-</v>
      </c>
      <c r="U378" t="str">
        <f t="shared" si="29"/>
        <v>High Value</v>
      </c>
    </row>
    <row r="379" spans="1:21" hidden="1" x14ac:dyDescent="0.2">
      <c r="A379" s="2">
        <v>97</v>
      </c>
      <c r="B379" s="2" t="s">
        <v>9</v>
      </c>
      <c r="C379" s="2" t="s">
        <v>609</v>
      </c>
      <c r="D379" s="2" t="s">
        <v>505</v>
      </c>
      <c r="E379" s="2">
        <v>10013</v>
      </c>
      <c r="F379" s="2" t="s">
        <v>35</v>
      </c>
      <c r="G379" s="2" t="s">
        <v>36</v>
      </c>
      <c r="H379" s="2">
        <v>1</v>
      </c>
      <c r="I379" s="2" t="s">
        <v>17</v>
      </c>
      <c r="J379" s="2" t="str">
        <f>VLOOKUP(E379,[1]LL_Hub!$A$1:$B$13,2,FALSE)</f>
        <v>New York</v>
      </c>
      <c r="K379" t="str">
        <f>VLOOKUP(D379,'[2]product Table data'!$A$2:$B$12,2,FALSE)</f>
        <v>Female</v>
      </c>
      <c r="L379" t="str">
        <f>VLOOKUP($D379,'[2]product Table data'!$A$2:$G$12,L$1,FALSE)</f>
        <v>Casual n Light</v>
      </c>
      <c r="M379" t="str">
        <f>VLOOKUP($D379,'[2]product Table data'!$A$2:$G$12,M$1,FALSE)</f>
        <v>Honduras</v>
      </c>
      <c r="N379" t="str">
        <f>VLOOKUP($D379,'[2]product Table data'!$A$2:$G$12,N$1,FALSE)</f>
        <v>Central America</v>
      </c>
      <c r="O379">
        <f>VLOOKUP($D379,'[2]product Table data'!$A$2:$G$12,O$1,FALSE)</f>
        <v>30</v>
      </c>
      <c r="P379">
        <f>VLOOKUP($D379,'[2]product Table data'!$A$2:$G$12,P$1,FALSE)</f>
        <v>45</v>
      </c>
      <c r="Q379">
        <f t="shared" si="25"/>
        <v>15</v>
      </c>
      <c r="R379" t="str">
        <f t="shared" si="26"/>
        <v>-</v>
      </c>
      <c r="S379" t="str">
        <f t="shared" si="27"/>
        <v>Style Risk</v>
      </c>
      <c r="T379" t="str">
        <f t="shared" si="28"/>
        <v>-</v>
      </c>
      <c r="U379" t="str">
        <f t="shared" si="29"/>
        <v>High Value</v>
      </c>
    </row>
    <row r="380" spans="1:21" hidden="1" x14ac:dyDescent="0.2">
      <c r="A380" s="2">
        <v>98</v>
      </c>
      <c r="B380" s="2" t="s">
        <v>9</v>
      </c>
      <c r="C380" s="2" t="s">
        <v>610</v>
      </c>
      <c r="D380" s="2" t="s">
        <v>505</v>
      </c>
      <c r="E380" s="2">
        <v>10013</v>
      </c>
      <c r="F380" s="2" t="s">
        <v>35</v>
      </c>
      <c r="G380" s="2" t="s">
        <v>36</v>
      </c>
      <c r="H380" s="2">
        <v>1</v>
      </c>
      <c r="I380" s="2" t="s">
        <v>17</v>
      </c>
      <c r="J380" s="2" t="str">
        <f>VLOOKUP(E380,[1]LL_Hub!$A$1:$B$13,2,FALSE)</f>
        <v>New York</v>
      </c>
      <c r="K380" t="str">
        <f>VLOOKUP(D380,'[2]product Table data'!$A$2:$B$12,2,FALSE)</f>
        <v>Female</v>
      </c>
      <c r="L380" t="str">
        <f>VLOOKUP($D380,'[2]product Table data'!$A$2:$G$12,L$1,FALSE)</f>
        <v>Casual n Light</v>
      </c>
      <c r="M380" t="str">
        <f>VLOOKUP($D380,'[2]product Table data'!$A$2:$G$12,M$1,FALSE)</f>
        <v>Honduras</v>
      </c>
      <c r="N380" t="str">
        <f>VLOOKUP($D380,'[2]product Table data'!$A$2:$G$12,N$1,FALSE)</f>
        <v>Central America</v>
      </c>
      <c r="O380">
        <f>VLOOKUP($D380,'[2]product Table data'!$A$2:$G$12,O$1,FALSE)</f>
        <v>30</v>
      </c>
      <c r="P380">
        <f>VLOOKUP($D380,'[2]product Table data'!$A$2:$G$12,P$1,FALSE)</f>
        <v>45</v>
      </c>
      <c r="Q380">
        <f t="shared" si="25"/>
        <v>15</v>
      </c>
      <c r="R380" t="str">
        <f t="shared" si="26"/>
        <v>-</v>
      </c>
      <c r="S380" t="str">
        <f t="shared" si="27"/>
        <v>Style Risk</v>
      </c>
      <c r="T380" t="str">
        <f t="shared" si="28"/>
        <v>-</v>
      </c>
      <c r="U380" t="str">
        <f t="shared" si="29"/>
        <v>High Value</v>
      </c>
    </row>
    <row r="381" spans="1:21" hidden="1" x14ac:dyDescent="0.2">
      <c r="A381" s="2">
        <v>99</v>
      </c>
      <c r="B381" s="2" t="s">
        <v>9</v>
      </c>
      <c r="C381" s="2" t="s">
        <v>611</v>
      </c>
      <c r="D381" s="2" t="s">
        <v>505</v>
      </c>
      <c r="E381" s="2">
        <v>10013</v>
      </c>
      <c r="F381" s="2" t="s">
        <v>612</v>
      </c>
      <c r="G381" s="2" t="s">
        <v>13</v>
      </c>
      <c r="H381" s="2">
        <v>1</v>
      </c>
      <c r="I381" s="2" t="s">
        <v>17</v>
      </c>
      <c r="J381" s="2" t="str">
        <f>VLOOKUP(E381,[1]LL_Hub!$A$1:$B$13,2,FALSE)</f>
        <v>New York</v>
      </c>
      <c r="K381" t="str">
        <f>VLOOKUP(D381,'[2]product Table data'!$A$2:$B$12,2,FALSE)</f>
        <v>Female</v>
      </c>
      <c r="L381" t="str">
        <f>VLOOKUP($D381,'[2]product Table data'!$A$2:$G$12,L$1,FALSE)</f>
        <v>Casual n Light</v>
      </c>
      <c r="M381" t="str">
        <f>VLOOKUP($D381,'[2]product Table data'!$A$2:$G$12,M$1,FALSE)</f>
        <v>Honduras</v>
      </c>
      <c r="N381" t="str">
        <f>VLOOKUP($D381,'[2]product Table data'!$A$2:$G$12,N$1,FALSE)</f>
        <v>Central America</v>
      </c>
      <c r="O381">
        <f>VLOOKUP($D381,'[2]product Table data'!$A$2:$G$12,O$1,FALSE)</f>
        <v>30</v>
      </c>
      <c r="P381">
        <f>VLOOKUP($D381,'[2]product Table data'!$A$2:$G$12,P$1,FALSE)</f>
        <v>45</v>
      </c>
      <c r="Q381">
        <f t="shared" si="25"/>
        <v>15</v>
      </c>
      <c r="R381" t="str">
        <f t="shared" si="26"/>
        <v>-</v>
      </c>
      <c r="S381" t="str">
        <f t="shared" si="27"/>
        <v>Style Risk</v>
      </c>
      <c r="T381" t="str">
        <f t="shared" si="28"/>
        <v>-</v>
      </c>
      <c r="U381" t="str">
        <f t="shared" si="29"/>
        <v>High Value</v>
      </c>
    </row>
    <row r="382" spans="1:21" hidden="1" x14ac:dyDescent="0.2">
      <c r="A382" s="2">
        <v>100</v>
      </c>
      <c r="B382" s="2" t="s">
        <v>9</v>
      </c>
      <c r="C382" s="2" t="s">
        <v>613</v>
      </c>
      <c r="D382" s="2" t="s">
        <v>505</v>
      </c>
      <c r="E382" s="2">
        <v>10013</v>
      </c>
      <c r="F382" s="2" t="s">
        <v>614</v>
      </c>
      <c r="G382" s="2" t="s">
        <v>13</v>
      </c>
      <c r="H382" s="2">
        <v>1</v>
      </c>
      <c r="I382" s="2" t="s">
        <v>17</v>
      </c>
      <c r="J382" s="2" t="str">
        <f>VLOOKUP(E382,[1]LL_Hub!$A$1:$B$13,2,FALSE)</f>
        <v>New York</v>
      </c>
      <c r="K382" t="str">
        <f>VLOOKUP(D382,'[2]product Table data'!$A$2:$B$12,2,FALSE)</f>
        <v>Female</v>
      </c>
      <c r="L382" t="str">
        <f>VLOOKUP($D382,'[2]product Table data'!$A$2:$G$12,L$1,FALSE)</f>
        <v>Casual n Light</v>
      </c>
      <c r="M382" t="str">
        <f>VLOOKUP($D382,'[2]product Table data'!$A$2:$G$12,M$1,FALSE)</f>
        <v>Honduras</v>
      </c>
      <c r="N382" t="str">
        <f>VLOOKUP($D382,'[2]product Table data'!$A$2:$G$12,N$1,FALSE)</f>
        <v>Central America</v>
      </c>
      <c r="O382">
        <f>VLOOKUP($D382,'[2]product Table data'!$A$2:$G$12,O$1,FALSE)</f>
        <v>30</v>
      </c>
      <c r="P382">
        <f>VLOOKUP($D382,'[2]product Table data'!$A$2:$G$12,P$1,FALSE)</f>
        <v>45</v>
      </c>
      <c r="Q382">
        <f t="shared" si="25"/>
        <v>15</v>
      </c>
      <c r="R382" t="str">
        <f t="shared" si="26"/>
        <v>-</v>
      </c>
      <c r="S382" t="str">
        <f t="shared" si="27"/>
        <v>Style Risk</v>
      </c>
      <c r="T382" t="str">
        <f t="shared" si="28"/>
        <v>-</v>
      </c>
      <c r="U382" t="str">
        <f t="shared" si="29"/>
        <v>High Value</v>
      </c>
    </row>
    <row r="383" spans="1:21" hidden="1" x14ac:dyDescent="0.2">
      <c r="A383" s="2">
        <v>102</v>
      </c>
      <c r="B383" s="2" t="s">
        <v>9</v>
      </c>
      <c r="C383" s="2" t="s">
        <v>615</v>
      </c>
      <c r="D383" s="2" t="s">
        <v>604</v>
      </c>
      <c r="E383" s="2">
        <v>10013</v>
      </c>
      <c r="F383" s="2" t="s">
        <v>616</v>
      </c>
      <c r="G383" s="2" t="s">
        <v>13</v>
      </c>
      <c r="H383" s="2">
        <v>1</v>
      </c>
      <c r="I383" s="2" t="s">
        <v>17</v>
      </c>
      <c r="J383" s="2" t="str">
        <f>VLOOKUP(E383,[1]LL_Hub!$A$1:$B$13,2,FALSE)</f>
        <v>New York</v>
      </c>
      <c r="K383" t="str">
        <f>VLOOKUP(D383,'[2]product Table data'!$A$2:$B$12,2,FALSE)</f>
        <v>Female</v>
      </c>
      <c r="L383" t="str">
        <f>VLOOKUP($D383,'[2]product Table data'!$A$2:$G$12,L$1,FALSE)</f>
        <v>Fancy Sheek</v>
      </c>
      <c r="M383" t="str">
        <f>VLOOKUP($D383,'[2]product Table data'!$A$2:$G$12,M$1,FALSE)</f>
        <v>Iran</v>
      </c>
      <c r="N383" t="str">
        <f>VLOOKUP($D383,'[2]product Table data'!$A$2:$G$12,N$1,FALSE)</f>
        <v>Middle East</v>
      </c>
      <c r="O383">
        <f>VLOOKUP($D383,'[2]product Table data'!$A$2:$G$12,O$1,FALSE)</f>
        <v>75</v>
      </c>
      <c r="P383">
        <f>VLOOKUP($D383,'[2]product Table data'!$A$2:$G$12,P$1,FALSE)</f>
        <v>125</v>
      </c>
      <c r="Q383">
        <f t="shared" si="25"/>
        <v>50</v>
      </c>
      <c r="R383" t="str">
        <f t="shared" si="26"/>
        <v>-</v>
      </c>
      <c r="S383" t="str">
        <f t="shared" si="27"/>
        <v>Style Risk</v>
      </c>
      <c r="T383" t="str">
        <f t="shared" si="28"/>
        <v>-</v>
      </c>
      <c r="U383" t="str">
        <f t="shared" si="29"/>
        <v>High Value</v>
      </c>
    </row>
    <row r="384" spans="1:21" hidden="1" x14ac:dyDescent="0.2">
      <c r="A384" s="2">
        <v>103</v>
      </c>
      <c r="B384" s="2" t="s">
        <v>9</v>
      </c>
      <c r="C384" s="2" t="s">
        <v>617</v>
      </c>
      <c r="D384" s="2" t="s">
        <v>505</v>
      </c>
      <c r="E384" s="2">
        <v>10013</v>
      </c>
      <c r="F384" s="2" t="s">
        <v>618</v>
      </c>
      <c r="G384" s="2" t="s">
        <v>13</v>
      </c>
      <c r="H384" s="2">
        <v>1</v>
      </c>
      <c r="I384" s="2" t="s">
        <v>17</v>
      </c>
      <c r="J384" s="2" t="str">
        <f>VLOOKUP(E384,[1]LL_Hub!$A$1:$B$13,2,FALSE)</f>
        <v>New York</v>
      </c>
      <c r="K384" t="str">
        <f>VLOOKUP(D384,'[2]product Table data'!$A$2:$B$12,2,FALSE)</f>
        <v>Female</v>
      </c>
      <c r="L384" t="str">
        <f>VLOOKUP($D384,'[2]product Table data'!$A$2:$G$12,L$1,FALSE)</f>
        <v>Casual n Light</v>
      </c>
      <c r="M384" t="str">
        <f>VLOOKUP($D384,'[2]product Table data'!$A$2:$G$12,M$1,FALSE)</f>
        <v>Honduras</v>
      </c>
      <c r="N384" t="str">
        <f>VLOOKUP($D384,'[2]product Table data'!$A$2:$G$12,N$1,FALSE)</f>
        <v>Central America</v>
      </c>
      <c r="O384">
        <f>VLOOKUP($D384,'[2]product Table data'!$A$2:$G$12,O$1,FALSE)</f>
        <v>30</v>
      </c>
      <c r="P384">
        <f>VLOOKUP($D384,'[2]product Table data'!$A$2:$G$12,P$1,FALSE)</f>
        <v>45</v>
      </c>
      <c r="Q384">
        <f t="shared" si="25"/>
        <v>15</v>
      </c>
      <c r="R384" t="str">
        <f t="shared" si="26"/>
        <v>-</v>
      </c>
      <c r="S384" t="str">
        <f t="shared" si="27"/>
        <v>Style Risk</v>
      </c>
      <c r="T384" t="str">
        <f t="shared" si="28"/>
        <v>-</v>
      </c>
      <c r="U384" t="str">
        <f t="shared" si="29"/>
        <v>High Value</v>
      </c>
    </row>
    <row r="385" spans="1:21" hidden="1" x14ac:dyDescent="0.2">
      <c r="A385" s="2">
        <v>104</v>
      </c>
      <c r="B385" s="2" t="s">
        <v>9</v>
      </c>
      <c r="C385" s="2" t="s">
        <v>619</v>
      </c>
      <c r="D385" s="2" t="s">
        <v>505</v>
      </c>
      <c r="E385" s="2">
        <v>10013</v>
      </c>
      <c r="F385" s="2" t="s">
        <v>620</v>
      </c>
      <c r="G385" s="2" t="s">
        <v>13</v>
      </c>
      <c r="H385" s="2">
        <v>1</v>
      </c>
      <c r="I385" s="2" t="s">
        <v>17</v>
      </c>
      <c r="J385" s="2" t="str">
        <f>VLOOKUP(E385,[1]LL_Hub!$A$1:$B$13,2,FALSE)</f>
        <v>New York</v>
      </c>
      <c r="K385" t="str">
        <f>VLOOKUP(D385,'[2]product Table data'!$A$2:$B$12,2,FALSE)</f>
        <v>Female</v>
      </c>
      <c r="L385" t="str">
        <f>VLOOKUP($D385,'[2]product Table data'!$A$2:$G$12,L$1,FALSE)</f>
        <v>Casual n Light</v>
      </c>
      <c r="M385" t="str">
        <f>VLOOKUP($D385,'[2]product Table data'!$A$2:$G$12,M$1,FALSE)</f>
        <v>Honduras</v>
      </c>
      <c r="N385" t="str">
        <f>VLOOKUP($D385,'[2]product Table data'!$A$2:$G$12,N$1,FALSE)</f>
        <v>Central America</v>
      </c>
      <c r="O385">
        <f>VLOOKUP($D385,'[2]product Table data'!$A$2:$G$12,O$1,FALSE)</f>
        <v>30</v>
      </c>
      <c r="P385">
        <f>VLOOKUP($D385,'[2]product Table data'!$A$2:$G$12,P$1,FALSE)</f>
        <v>45</v>
      </c>
      <c r="Q385">
        <f t="shared" si="25"/>
        <v>15</v>
      </c>
      <c r="R385" t="str">
        <f t="shared" si="26"/>
        <v>-</v>
      </c>
      <c r="S385" t="str">
        <f t="shared" si="27"/>
        <v>Style Risk</v>
      </c>
      <c r="T385" t="str">
        <f t="shared" si="28"/>
        <v>-</v>
      </c>
      <c r="U385" t="str">
        <f t="shared" si="29"/>
        <v>High Value</v>
      </c>
    </row>
    <row r="386" spans="1:21" hidden="1" x14ac:dyDescent="0.2">
      <c r="A386" s="2">
        <v>105</v>
      </c>
      <c r="B386" s="2" t="s">
        <v>9</v>
      </c>
      <c r="C386" s="2" t="s">
        <v>621</v>
      </c>
      <c r="D386" s="2" t="s">
        <v>505</v>
      </c>
      <c r="E386" s="2">
        <v>10013</v>
      </c>
      <c r="F386" s="2" t="s">
        <v>622</v>
      </c>
      <c r="G386" s="2" t="s">
        <v>13</v>
      </c>
      <c r="H386" s="2">
        <v>1</v>
      </c>
      <c r="I386" s="2" t="s">
        <v>17</v>
      </c>
      <c r="J386" s="2" t="str">
        <f>VLOOKUP(E386,[1]LL_Hub!$A$1:$B$13,2,FALSE)</f>
        <v>New York</v>
      </c>
      <c r="K386" t="str">
        <f>VLOOKUP(D386,'[2]product Table data'!$A$2:$B$12,2,FALSE)</f>
        <v>Female</v>
      </c>
      <c r="L386" t="str">
        <f>VLOOKUP($D386,'[2]product Table data'!$A$2:$G$12,L$1,FALSE)</f>
        <v>Casual n Light</v>
      </c>
      <c r="M386" t="str">
        <f>VLOOKUP($D386,'[2]product Table data'!$A$2:$G$12,M$1,FALSE)</f>
        <v>Honduras</v>
      </c>
      <c r="N386" t="str">
        <f>VLOOKUP($D386,'[2]product Table data'!$A$2:$G$12,N$1,FALSE)</f>
        <v>Central America</v>
      </c>
      <c r="O386">
        <f>VLOOKUP($D386,'[2]product Table data'!$A$2:$G$12,O$1,FALSE)</f>
        <v>30</v>
      </c>
      <c r="P386">
        <f>VLOOKUP($D386,'[2]product Table data'!$A$2:$G$12,P$1,FALSE)</f>
        <v>45</v>
      </c>
      <c r="Q386">
        <f t="shared" si="25"/>
        <v>15</v>
      </c>
      <c r="R386" t="str">
        <f t="shared" si="26"/>
        <v>-</v>
      </c>
      <c r="S386" t="str">
        <f t="shared" si="27"/>
        <v>Style Risk</v>
      </c>
      <c r="T386" t="str">
        <f t="shared" si="28"/>
        <v>-</v>
      </c>
      <c r="U386" t="str">
        <f t="shared" si="29"/>
        <v>High Value</v>
      </c>
    </row>
    <row r="387" spans="1:21" hidden="1" x14ac:dyDescent="0.2">
      <c r="A387" s="2">
        <v>106</v>
      </c>
      <c r="B387" s="2" t="s">
        <v>9</v>
      </c>
      <c r="C387" s="2" t="s">
        <v>623</v>
      </c>
      <c r="D387" s="2" t="s">
        <v>505</v>
      </c>
      <c r="E387" s="2">
        <v>10013</v>
      </c>
      <c r="F387" s="2" t="s">
        <v>624</v>
      </c>
      <c r="G387" s="2" t="s">
        <v>13</v>
      </c>
      <c r="H387" s="2">
        <v>1</v>
      </c>
      <c r="I387" s="2" t="s">
        <v>17</v>
      </c>
      <c r="J387" s="2" t="str">
        <f>VLOOKUP(E387,[1]LL_Hub!$A$1:$B$13,2,FALSE)</f>
        <v>New York</v>
      </c>
      <c r="K387" t="str">
        <f>VLOOKUP(D387,'[2]product Table data'!$A$2:$B$12,2,FALSE)</f>
        <v>Female</v>
      </c>
      <c r="L387" t="str">
        <f>VLOOKUP($D387,'[2]product Table data'!$A$2:$G$12,L$1,FALSE)</f>
        <v>Casual n Light</v>
      </c>
      <c r="M387" t="str">
        <f>VLOOKUP($D387,'[2]product Table data'!$A$2:$G$12,M$1,FALSE)</f>
        <v>Honduras</v>
      </c>
      <c r="N387" t="str">
        <f>VLOOKUP($D387,'[2]product Table data'!$A$2:$G$12,N$1,FALSE)</f>
        <v>Central America</v>
      </c>
      <c r="O387">
        <f>VLOOKUP($D387,'[2]product Table data'!$A$2:$G$12,O$1,FALSE)</f>
        <v>30</v>
      </c>
      <c r="P387">
        <f>VLOOKUP($D387,'[2]product Table data'!$A$2:$G$12,P$1,FALSE)</f>
        <v>45</v>
      </c>
      <c r="Q387">
        <f t="shared" ref="Q387:Q450" si="30">P387-O387</f>
        <v>15</v>
      </c>
      <c r="R387" t="str">
        <f t="shared" ref="R387:R450" si="31">IF(OR(J387="Los Angeles",J387="Denver"),"Hub Risk","-")</f>
        <v>-</v>
      </c>
      <c r="S387" t="str">
        <f t="shared" ref="S387:S450" si="32">IF(OR(L387="Casual n Light",L387="Fancy Sheek"),"Style Risk","-")</f>
        <v>Style Risk</v>
      </c>
      <c r="T387" t="str">
        <f t="shared" ref="T387:T450" si="33">IF(AND(R387="Hub Risk", S387="Style Risk"), "Risk", "-")</f>
        <v>-</v>
      </c>
      <c r="U387" t="str">
        <f t="shared" ref="U387:U450" si="34">IF(Q387&lt;=5, "Low Value", "High Value")</f>
        <v>High Value</v>
      </c>
    </row>
    <row r="388" spans="1:21" hidden="1" x14ac:dyDescent="0.2">
      <c r="A388" s="2">
        <v>107</v>
      </c>
      <c r="B388" s="2" t="s">
        <v>9</v>
      </c>
      <c r="C388" s="2" t="s">
        <v>625</v>
      </c>
      <c r="D388" s="2" t="s">
        <v>505</v>
      </c>
      <c r="E388" s="2">
        <v>10013</v>
      </c>
      <c r="F388" s="2" t="s">
        <v>626</v>
      </c>
      <c r="G388" s="2" t="s">
        <v>13</v>
      </c>
      <c r="H388" s="2">
        <v>1</v>
      </c>
      <c r="I388" s="2" t="s">
        <v>17</v>
      </c>
      <c r="J388" s="2" t="str">
        <f>VLOOKUP(E388,[1]LL_Hub!$A$1:$B$13,2,FALSE)</f>
        <v>New York</v>
      </c>
      <c r="K388" t="str">
        <f>VLOOKUP(D388,'[2]product Table data'!$A$2:$B$12,2,FALSE)</f>
        <v>Female</v>
      </c>
      <c r="L388" t="str">
        <f>VLOOKUP($D388,'[2]product Table data'!$A$2:$G$12,L$1,FALSE)</f>
        <v>Casual n Light</v>
      </c>
      <c r="M388" t="str">
        <f>VLOOKUP($D388,'[2]product Table data'!$A$2:$G$12,M$1,FALSE)</f>
        <v>Honduras</v>
      </c>
      <c r="N388" t="str">
        <f>VLOOKUP($D388,'[2]product Table data'!$A$2:$G$12,N$1,FALSE)</f>
        <v>Central America</v>
      </c>
      <c r="O388">
        <f>VLOOKUP($D388,'[2]product Table data'!$A$2:$G$12,O$1,FALSE)</f>
        <v>30</v>
      </c>
      <c r="P388">
        <f>VLOOKUP($D388,'[2]product Table data'!$A$2:$G$12,P$1,FALSE)</f>
        <v>45</v>
      </c>
      <c r="Q388">
        <f t="shared" si="30"/>
        <v>15</v>
      </c>
      <c r="R388" t="str">
        <f t="shared" si="31"/>
        <v>-</v>
      </c>
      <c r="S388" t="str">
        <f t="shared" si="32"/>
        <v>Style Risk</v>
      </c>
      <c r="T388" t="str">
        <f t="shared" si="33"/>
        <v>-</v>
      </c>
      <c r="U388" t="str">
        <f t="shared" si="34"/>
        <v>High Value</v>
      </c>
    </row>
    <row r="389" spans="1:21" hidden="1" x14ac:dyDescent="0.2">
      <c r="A389" s="2">
        <v>108</v>
      </c>
      <c r="B389" s="2" t="s">
        <v>9</v>
      </c>
      <c r="C389" s="2" t="s">
        <v>627</v>
      </c>
      <c r="D389" s="2" t="s">
        <v>505</v>
      </c>
      <c r="E389" s="2">
        <v>10013</v>
      </c>
      <c r="F389" s="2" t="s">
        <v>628</v>
      </c>
      <c r="G389" s="2" t="s">
        <v>13</v>
      </c>
      <c r="H389" s="2">
        <v>1</v>
      </c>
      <c r="I389" s="2" t="s">
        <v>17</v>
      </c>
      <c r="J389" s="2" t="str">
        <f>VLOOKUP(E389,[1]LL_Hub!$A$1:$B$13,2,FALSE)</f>
        <v>New York</v>
      </c>
      <c r="K389" t="str">
        <f>VLOOKUP(D389,'[2]product Table data'!$A$2:$B$12,2,FALSE)</f>
        <v>Female</v>
      </c>
      <c r="L389" t="str">
        <f>VLOOKUP($D389,'[2]product Table data'!$A$2:$G$12,L$1,FALSE)</f>
        <v>Casual n Light</v>
      </c>
      <c r="M389" t="str">
        <f>VLOOKUP($D389,'[2]product Table data'!$A$2:$G$12,M$1,FALSE)</f>
        <v>Honduras</v>
      </c>
      <c r="N389" t="str">
        <f>VLOOKUP($D389,'[2]product Table data'!$A$2:$G$12,N$1,FALSE)</f>
        <v>Central America</v>
      </c>
      <c r="O389">
        <f>VLOOKUP($D389,'[2]product Table data'!$A$2:$G$12,O$1,FALSE)</f>
        <v>30</v>
      </c>
      <c r="P389">
        <f>VLOOKUP($D389,'[2]product Table data'!$A$2:$G$12,P$1,FALSE)</f>
        <v>45</v>
      </c>
      <c r="Q389">
        <f t="shared" si="30"/>
        <v>15</v>
      </c>
      <c r="R389" t="str">
        <f t="shared" si="31"/>
        <v>-</v>
      </c>
      <c r="S389" t="str">
        <f t="shared" si="32"/>
        <v>Style Risk</v>
      </c>
      <c r="T389" t="str">
        <f t="shared" si="33"/>
        <v>-</v>
      </c>
      <c r="U389" t="str">
        <f t="shared" si="34"/>
        <v>High Value</v>
      </c>
    </row>
    <row r="390" spans="1:21" hidden="1" x14ac:dyDescent="0.2">
      <c r="A390" s="2">
        <v>109</v>
      </c>
      <c r="B390" s="2" t="s">
        <v>9</v>
      </c>
      <c r="C390" s="2" t="s">
        <v>629</v>
      </c>
      <c r="D390" s="2" t="s">
        <v>505</v>
      </c>
      <c r="E390" s="2">
        <v>10013</v>
      </c>
      <c r="F390" s="2" t="s">
        <v>630</v>
      </c>
      <c r="G390" s="2" t="s">
        <v>13</v>
      </c>
      <c r="H390" s="2">
        <v>1</v>
      </c>
      <c r="I390" s="2" t="s">
        <v>17</v>
      </c>
      <c r="J390" s="2" t="str">
        <f>VLOOKUP(E390,[1]LL_Hub!$A$1:$B$13,2,FALSE)</f>
        <v>New York</v>
      </c>
      <c r="K390" t="str">
        <f>VLOOKUP(D390,'[2]product Table data'!$A$2:$B$12,2,FALSE)</f>
        <v>Female</v>
      </c>
      <c r="L390" t="str">
        <f>VLOOKUP($D390,'[2]product Table data'!$A$2:$G$12,L$1,FALSE)</f>
        <v>Casual n Light</v>
      </c>
      <c r="M390" t="str">
        <f>VLOOKUP($D390,'[2]product Table data'!$A$2:$G$12,M$1,FALSE)</f>
        <v>Honduras</v>
      </c>
      <c r="N390" t="str">
        <f>VLOOKUP($D390,'[2]product Table data'!$A$2:$G$12,N$1,FALSE)</f>
        <v>Central America</v>
      </c>
      <c r="O390">
        <f>VLOOKUP($D390,'[2]product Table data'!$A$2:$G$12,O$1,FALSE)</f>
        <v>30</v>
      </c>
      <c r="P390">
        <f>VLOOKUP($D390,'[2]product Table data'!$A$2:$G$12,P$1,FALSE)</f>
        <v>45</v>
      </c>
      <c r="Q390">
        <f t="shared" si="30"/>
        <v>15</v>
      </c>
      <c r="R390" t="str">
        <f t="shared" si="31"/>
        <v>-</v>
      </c>
      <c r="S390" t="str">
        <f t="shared" si="32"/>
        <v>Style Risk</v>
      </c>
      <c r="T390" t="str">
        <f t="shared" si="33"/>
        <v>-</v>
      </c>
      <c r="U390" t="str">
        <f t="shared" si="34"/>
        <v>High Value</v>
      </c>
    </row>
    <row r="391" spans="1:21" hidden="1" x14ac:dyDescent="0.2">
      <c r="A391" s="2">
        <v>110</v>
      </c>
      <c r="B391" s="2" t="s">
        <v>9</v>
      </c>
      <c r="C391" s="2" t="s">
        <v>631</v>
      </c>
      <c r="D391" s="2" t="s">
        <v>505</v>
      </c>
      <c r="E391" s="2">
        <v>10013</v>
      </c>
      <c r="F391" s="2" t="s">
        <v>35</v>
      </c>
      <c r="G391" s="2" t="s">
        <v>36</v>
      </c>
      <c r="H391" s="2">
        <v>1</v>
      </c>
      <c r="I391" s="2" t="s">
        <v>17</v>
      </c>
      <c r="J391" s="2" t="str">
        <f>VLOOKUP(E391,[1]LL_Hub!$A$1:$B$13,2,FALSE)</f>
        <v>New York</v>
      </c>
      <c r="K391" t="str">
        <f>VLOOKUP(D391,'[2]product Table data'!$A$2:$B$12,2,FALSE)</f>
        <v>Female</v>
      </c>
      <c r="L391" t="str">
        <f>VLOOKUP($D391,'[2]product Table data'!$A$2:$G$12,L$1,FALSE)</f>
        <v>Casual n Light</v>
      </c>
      <c r="M391" t="str">
        <f>VLOOKUP($D391,'[2]product Table data'!$A$2:$G$12,M$1,FALSE)</f>
        <v>Honduras</v>
      </c>
      <c r="N391" t="str">
        <f>VLOOKUP($D391,'[2]product Table data'!$A$2:$G$12,N$1,FALSE)</f>
        <v>Central America</v>
      </c>
      <c r="O391">
        <f>VLOOKUP($D391,'[2]product Table data'!$A$2:$G$12,O$1,FALSE)</f>
        <v>30</v>
      </c>
      <c r="P391">
        <f>VLOOKUP($D391,'[2]product Table data'!$A$2:$G$12,P$1,FALSE)</f>
        <v>45</v>
      </c>
      <c r="Q391">
        <f t="shared" si="30"/>
        <v>15</v>
      </c>
      <c r="R391" t="str">
        <f t="shared" si="31"/>
        <v>-</v>
      </c>
      <c r="S391" t="str">
        <f t="shared" si="32"/>
        <v>Style Risk</v>
      </c>
      <c r="T391" t="str">
        <f t="shared" si="33"/>
        <v>-</v>
      </c>
      <c r="U391" t="str">
        <f t="shared" si="34"/>
        <v>High Value</v>
      </c>
    </row>
    <row r="392" spans="1:21" hidden="1" x14ac:dyDescent="0.2">
      <c r="A392" s="2">
        <v>111</v>
      </c>
      <c r="B392" s="2" t="s">
        <v>9</v>
      </c>
      <c r="C392" s="2" t="s">
        <v>632</v>
      </c>
      <c r="D392" s="2" t="s">
        <v>558</v>
      </c>
      <c r="E392" s="2">
        <v>10013</v>
      </c>
      <c r="F392" s="2" t="s">
        <v>35</v>
      </c>
      <c r="G392" s="2" t="s">
        <v>36</v>
      </c>
      <c r="H392" s="2">
        <v>1</v>
      </c>
      <c r="I392" s="2" t="s">
        <v>17</v>
      </c>
      <c r="J392" s="2" t="str">
        <f>VLOOKUP(E392,[1]LL_Hub!$A$1:$B$13,2,FALSE)</f>
        <v>New York</v>
      </c>
      <c r="K392" t="str">
        <f>VLOOKUP(D392,'[2]product Table data'!$A$2:$B$12,2,FALSE)</f>
        <v>Female</v>
      </c>
      <c r="L392" t="str">
        <f>VLOOKUP($D392,'[2]product Table data'!$A$2:$G$12,L$1,FALSE)</f>
        <v>Fancy Sheek</v>
      </c>
      <c r="M392" t="str">
        <f>VLOOKUP($D392,'[2]product Table data'!$A$2:$G$12,M$1,FALSE)</f>
        <v>Afghanistan</v>
      </c>
      <c r="N392" t="str">
        <f>VLOOKUP($D392,'[2]product Table data'!$A$2:$G$12,N$1,FALSE)</f>
        <v>Middle East</v>
      </c>
      <c r="O392">
        <f>VLOOKUP($D392,'[2]product Table data'!$A$2:$G$12,O$1,FALSE)</f>
        <v>150</v>
      </c>
      <c r="P392">
        <f>VLOOKUP($D392,'[2]product Table data'!$A$2:$G$12,P$1,FALSE)</f>
        <v>75</v>
      </c>
      <c r="Q392">
        <f t="shared" si="30"/>
        <v>-75</v>
      </c>
      <c r="R392" t="str">
        <f t="shared" si="31"/>
        <v>-</v>
      </c>
      <c r="S392" t="str">
        <f t="shared" si="32"/>
        <v>Style Risk</v>
      </c>
      <c r="T392" t="str">
        <f t="shared" si="33"/>
        <v>-</v>
      </c>
      <c r="U392" t="str">
        <f t="shared" si="34"/>
        <v>Low Value</v>
      </c>
    </row>
    <row r="393" spans="1:21" hidden="1" x14ac:dyDescent="0.2">
      <c r="A393" s="2">
        <v>112</v>
      </c>
      <c r="B393" s="2" t="s">
        <v>9</v>
      </c>
      <c r="C393" s="2" t="s">
        <v>633</v>
      </c>
      <c r="D393" s="2" t="s">
        <v>505</v>
      </c>
      <c r="E393" s="2">
        <v>10013</v>
      </c>
      <c r="F393" s="2" t="s">
        <v>35</v>
      </c>
      <c r="G393" s="2" t="s">
        <v>36</v>
      </c>
      <c r="H393" s="2">
        <v>1</v>
      </c>
      <c r="I393" s="2" t="s">
        <v>17</v>
      </c>
      <c r="J393" s="2" t="str">
        <f>VLOOKUP(E393,[1]LL_Hub!$A$1:$B$13,2,FALSE)</f>
        <v>New York</v>
      </c>
      <c r="K393" t="str">
        <f>VLOOKUP(D393,'[2]product Table data'!$A$2:$B$12,2,FALSE)</f>
        <v>Female</v>
      </c>
      <c r="L393" t="str">
        <f>VLOOKUP($D393,'[2]product Table data'!$A$2:$G$12,L$1,FALSE)</f>
        <v>Casual n Light</v>
      </c>
      <c r="M393" t="str">
        <f>VLOOKUP($D393,'[2]product Table data'!$A$2:$G$12,M$1,FALSE)</f>
        <v>Honduras</v>
      </c>
      <c r="N393" t="str">
        <f>VLOOKUP($D393,'[2]product Table data'!$A$2:$G$12,N$1,FALSE)</f>
        <v>Central America</v>
      </c>
      <c r="O393">
        <f>VLOOKUP($D393,'[2]product Table data'!$A$2:$G$12,O$1,FALSE)</f>
        <v>30</v>
      </c>
      <c r="P393">
        <f>VLOOKUP($D393,'[2]product Table data'!$A$2:$G$12,P$1,FALSE)</f>
        <v>45</v>
      </c>
      <c r="Q393">
        <f t="shared" si="30"/>
        <v>15</v>
      </c>
      <c r="R393" t="str">
        <f t="shared" si="31"/>
        <v>-</v>
      </c>
      <c r="S393" t="str">
        <f t="shared" si="32"/>
        <v>Style Risk</v>
      </c>
      <c r="T393" t="str">
        <f t="shared" si="33"/>
        <v>-</v>
      </c>
      <c r="U393" t="str">
        <f t="shared" si="34"/>
        <v>High Value</v>
      </c>
    </row>
    <row r="394" spans="1:21" hidden="1" x14ac:dyDescent="0.2">
      <c r="A394" s="2">
        <v>113</v>
      </c>
      <c r="B394" s="2" t="s">
        <v>9</v>
      </c>
      <c r="C394" s="2" t="s">
        <v>634</v>
      </c>
      <c r="D394" s="2" t="s">
        <v>505</v>
      </c>
      <c r="E394" s="2">
        <v>10013</v>
      </c>
      <c r="F394" s="2" t="s">
        <v>35</v>
      </c>
      <c r="G394" s="2" t="s">
        <v>36</v>
      </c>
      <c r="H394" s="2">
        <v>1</v>
      </c>
      <c r="I394" s="2" t="s">
        <v>17</v>
      </c>
      <c r="J394" s="2" t="str">
        <f>VLOOKUP(E394,[1]LL_Hub!$A$1:$B$13,2,FALSE)</f>
        <v>New York</v>
      </c>
      <c r="K394" t="str">
        <f>VLOOKUP(D394,'[2]product Table data'!$A$2:$B$12,2,FALSE)</f>
        <v>Female</v>
      </c>
      <c r="L394" t="str">
        <f>VLOOKUP($D394,'[2]product Table data'!$A$2:$G$12,L$1,FALSE)</f>
        <v>Casual n Light</v>
      </c>
      <c r="M394" t="str">
        <f>VLOOKUP($D394,'[2]product Table data'!$A$2:$G$12,M$1,FALSE)</f>
        <v>Honduras</v>
      </c>
      <c r="N394" t="str">
        <f>VLOOKUP($D394,'[2]product Table data'!$A$2:$G$12,N$1,FALSE)</f>
        <v>Central America</v>
      </c>
      <c r="O394">
        <f>VLOOKUP($D394,'[2]product Table data'!$A$2:$G$12,O$1,FALSE)</f>
        <v>30</v>
      </c>
      <c r="P394">
        <f>VLOOKUP($D394,'[2]product Table data'!$A$2:$G$12,P$1,FALSE)</f>
        <v>45</v>
      </c>
      <c r="Q394">
        <f t="shared" si="30"/>
        <v>15</v>
      </c>
      <c r="R394" t="str">
        <f t="shared" si="31"/>
        <v>-</v>
      </c>
      <c r="S394" t="str">
        <f t="shared" si="32"/>
        <v>Style Risk</v>
      </c>
      <c r="T394" t="str">
        <f t="shared" si="33"/>
        <v>-</v>
      </c>
      <c r="U394" t="str">
        <f t="shared" si="34"/>
        <v>High Value</v>
      </c>
    </row>
    <row r="395" spans="1:21" hidden="1" x14ac:dyDescent="0.2">
      <c r="A395" s="2">
        <v>114</v>
      </c>
      <c r="B395" s="2" t="s">
        <v>9</v>
      </c>
      <c r="C395" s="2" t="s">
        <v>635</v>
      </c>
      <c r="D395" s="2" t="s">
        <v>505</v>
      </c>
      <c r="E395" s="2">
        <v>10013</v>
      </c>
      <c r="F395" s="2" t="s">
        <v>35</v>
      </c>
      <c r="G395" s="2" t="s">
        <v>36</v>
      </c>
      <c r="H395" s="2">
        <v>1</v>
      </c>
      <c r="I395" s="2" t="s">
        <v>17</v>
      </c>
      <c r="J395" s="2" t="str">
        <f>VLOOKUP(E395,[1]LL_Hub!$A$1:$B$13,2,FALSE)</f>
        <v>New York</v>
      </c>
      <c r="K395" t="str">
        <f>VLOOKUP(D395,'[2]product Table data'!$A$2:$B$12,2,FALSE)</f>
        <v>Female</v>
      </c>
      <c r="L395" t="str">
        <f>VLOOKUP($D395,'[2]product Table data'!$A$2:$G$12,L$1,FALSE)</f>
        <v>Casual n Light</v>
      </c>
      <c r="M395" t="str">
        <f>VLOOKUP($D395,'[2]product Table data'!$A$2:$G$12,M$1,FALSE)</f>
        <v>Honduras</v>
      </c>
      <c r="N395" t="str">
        <f>VLOOKUP($D395,'[2]product Table data'!$A$2:$G$12,N$1,FALSE)</f>
        <v>Central America</v>
      </c>
      <c r="O395">
        <f>VLOOKUP($D395,'[2]product Table data'!$A$2:$G$12,O$1,FALSE)</f>
        <v>30</v>
      </c>
      <c r="P395">
        <f>VLOOKUP($D395,'[2]product Table data'!$A$2:$G$12,P$1,FALSE)</f>
        <v>45</v>
      </c>
      <c r="Q395">
        <f t="shared" si="30"/>
        <v>15</v>
      </c>
      <c r="R395" t="str">
        <f t="shared" si="31"/>
        <v>-</v>
      </c>
      <c r="S395" t="str">
        <f t="shared" si="32"/>
        <v>Style Risk</v>
      </c>
      <c r="T395" t="str">
        <f t="shared" si="33"/>
        <v>-</v>
      </c>
      <c r="U395" t="str">
        <f t="shared" si="34"/>
        <v>High Value</v>
      </c>
    </row>
    <row r="396" spans="1:21" hidden="1" x14ac:dyDescent="0.2">
      <c r="A396" s="2">
        <v>115</v>
      </c>
      <c r="B396" s="2" t="s">
        <v>9</v>
      </c>
      <c r="C396" s="2" t="s">
        <v>636</v>
      </c>
      <c r="D396" s="2" t="s">
        <v>505</v>
      </c>
      <c r="E396" s="2">
        <v>10013</v>
      </c>
      <c r="F396" s="2" t="s">
        <v>35</v>
      </c>
      <c r="G396" s="2" t="s">
        <v>36</v>
      </c>
      <c r="H396" s="2">
        <v>1</v>
      </c>
      <c r="I396" s="2" t="s">
        <v>17</v>
      </c>
      <c r="J396" s="2" t="str">
        <f>VLOOKUP(E396,[1]LL_Hub!$A$1:$B$13,2,FALSE)</f>
        <v>New York</v>
      </c>
      <c r="K396" t="str">
        <f>VLOOKUP(D396,'[2]product Table data'!$A$2:$B$12,2,FALSE)</f>
        <v>Female</v>
      </c>
      <c r="L396" t="str">
        <f>VLOOKUP($D396,'[2]product Table data'!$A$2:$G$12,L$1,FALSE)</f>
        <v>Casual n Light</v>
      </c>
      <c r="M396" t="str">
        <f>VLOOKUP($D396,'[2]product Table data'!$A$2:$G$12,M$1,FALSE)</f>
        <v>Honduras</v>
      </c>
      <c r="N396" t="str">
        <f>VLOOKUP($D396,'[2]product Table data'!$A$2:$G$12,N$1,FALSE)</f>
        <v>Central America</v>
      </c>
      <c r="O396">
        <f>VLOOKUP($D396,'[2]product Table data'!$A$2:$G$12,O$1,FALSE)</f>
        <v>30</v>
      </c>
      <c r="P396">
        <f>VLOOKUP($D396,'[2]product Table data'!$A$2:$G$12,P$1,FALSE)</f>
        <v>45</v>
      </c>
      <c r="Q396">
        <f t="shared" si="30"/>
        <v>15</v>
      </c>
      <c r="R396" t="str">
        <f t="shared" si="31"/>
        <v>-</v>
      </c>
      <c r="S396" t="str">
        <f t="shared" si="32"/>
        <v>Style Risk</v>
      </c>
      <c r="T396" t="str">
        <f t="shared" si="33"/>
        <v>-</v>
      </c>
      <c r="U396" t="str">
        <f t="shared" si="34"/>
        <v>High Value</v>
      </c>
    </row>
    <row r="397" spans="1:21" hidden="1" x14ac:dyDescent="0.2">
      <c r="A397" s="2">
        <v>119</v>
      </c>
      <c r="B397" s="2" t="s">
        <v>9</v>
      </c>
      <c r="C397" s="2" t="s">
        <v>637</v>
      </c>
      <c r="D397" s="2" t="s">
        <v>505</v>
      </c>
      <c r="E397" s="2">
        <v>10022</v>
      </c>
      <c r="F397" s="2" t="s">
        <v>35</v>
      </c>
      <c r="G397" s="2" t="s">
        <v>36</v>
      </c>
      <c r="H397" s="2">
        <v>1</v>
      </c>
      <c r="I397" s="2" t="s">
        <v>17</v>
      </c>
      <c r="J397" s="2" t="str">
        <f>VLOOKUP(E397,[1]LL_Hub!$A$1:$B$13,2,FALSE)</f>
        <v>New York</v>
      </c>
      <c r="K397" t="str">
        <f>VLOOKUP(D397,'[2]product Table data'!$A$2:$B$12,2,FALSE)</f>
        <v>Female</v>
      </c>
      <c r="L397" t="str">
        <f>VLOOKUP($D397,'[2]product Table data'!$A$2:$G$12,L$1,FALSE)</f>
        <v>Casual n Light</v>
      </c>
      <c r="M397" t="str">
        <f>VLOOKUP($D397,'[2]product Table data'!$A$2:$G$12,M$1,FALSE)</f>
        <v>Honduras</v>
      </c>
      <c r="N397" t="str">
        <f>VLOOKUP($D397,'[2]product Table data'!$A$2:$G$12,N$1,FALSE)</f>
        <v>Central America</v>
      </c>
      <c r="O397">
        <f>VLOOKUP($D397,'[2]product Table data'!$A$2:$G$12,O$1,FALSE)</f>
        <v>30</v>
      </c>
      <c r="P397">
        <f>VLOOKUP($D397,'[2]product Table data'!$A$2:$G$12,P$1,FALSE)</f>
        <v>45</v>
      </c>
      <c r="Q397">
        <f t="shared" si="30"/>
        <v>15</v>
      </c>
      <c r="R397" t="str">
        <f t="shared" si="31"/>
        <v>-</v>
      </c>
      <c r="S397" t="str">
        <f t="shared" si="32"/>
        <v>Style Risk</v>
      </c>
      <c r="T397" t="str">
        <f t="shared" si="33"/>
        <v>-</v>
      </c>
      <c r="U397" t="str">
        <f t="shared" si="34"/>
        <v>High Value</v>
      </c>
    </row>
    <row r="398" spans="1:21" hidden="1" x14ac:dyDescent="0.2">
      <c r="A398" s="2">
        <v>120</v>
      </c>
      <c r="B398" s="2" t="s">
        <v>9</v>
      </c>
      <c r="C398" s="2" t="s">
        <v>638</v>
      </c>
      <c r="D398" s="2" t="s">
        <v>505</v>
      </c>
      <c r="E398" s="2">
        <v>10022</v>
      </c>
      <c r="F398" s="2" t="s">
        <v>35</v>
      </c>
      <c r="G398" s="2" t="s">
        <v>36</v>
      </c>
      <c r="H398" s="2">
        <v>1</v>
      </c>
      <c r="I398" s="2" t="s">
        <v>17</v>
      </c>
      <c r="J398" s="2" t="str">
        <f>VLOOKUP(E398,[1]LL_Hub!$A$1:$B$13,2,FALSE)</f>
        <v>New York</v>
      </c>
      <c r="K398" t="str">
        <f>VLOOKUP(D398,'[2]product Table data'!$A$2:$B$12,2,FALSE)</f>
        <v>Female</v>
      </c>
      <c r="L398" t="str">
        <f>VLOOKUP($D398,'[2]product Table data'!$A$2:$G$12,L$1,FALSE)</f>
        <v>Casual n Light</v>
      </c>
      <c r="M398" t="str">
        <f>VLOOKUP($D398,'[2]product Table data'!$A$2:$G$12,M$1,FALSE)</f>
        <v>Honduras</v>
      </c>
      <c r="N398" t="str">
        <f>VLOOKUP($D398,'[2]product Table data'!$A$2:$G$12,N$1,FALSE)</f>
        <v>Central America</v>
      </c>
      <c r="O398">
        <f>VLOOKUP($D398,'[2]product Table data'!$A$2:$G$12,O$1,FALSE)</f>
        <v>30</v>
      </c>
      <c r="P398">
        <f>VLOOKUP($D398,'[2]product Table data'!$A$2:$G$12,P$1,FALSE)</f>
        <v>45</v>
      </c>
      <c r="Q398">
        <f t="shared" si="30"/>
        <v>15</v>
      </c>
      <c r="R398" t="str">
        <f t="shared" si="31"/>
        <v>-</v>
      </c>
      <c r="S398" t="str">
        <f t="shared" si="32"/>
        <v>Style Risk</v>
      </c>
      <c r="T398" t="str">
        <f t="shared" si="33"/>
        <v>-</v>
      </c>
      <c r="U398" t="str">
        <f t="shared" si="34"/>
        <v>High Value</v>
      </c>
    </row>
    <row r="399" spans="1:21" hidden="1" x14ac:dyDescent="0.2">
      <c r="A399" s="2">
        <v>121</v>
      </c>
      <c r="B399" s="2" t="s">
        <v>9</v>
      </c>
      <c r="C399" s="2" t="s">
        <v>639</v>
      </c>
      <c r="D399" s="2" t="s">
        <v>505</v>
      </c>
      <c r="E399" s="2">
        <v>10022</v>
      </c>
      <c r="F399" s="2" t="s">
        <v>35</v>
      </c>
      <c r="G399" s="2" t="s">
        <v>36</v>
      </c>
      <c r="H399" s="2">
        <v>1</v>
      </c>
      <c r="I399" s="2" t="s">
        <v>17</v>
      </c>
      <c r="J399" s="2" t="str">
        <f>VLOOKUP(E399,[1]LL_Hub!$A$1:$B$13,2,FALSE)</f>
        <v>New York</v>
      </c>
      <c r="K399" t="str">
        <f>VLOOKUP(D399,'[2]product Table data'!$A$2:$B$12,2,FALSE)</f>
        <v>Female</v>
      </c>
      <c r="L399" t="str">
        <f>VLOOKUP($D399,'[2]product Table data'!$A$2:$G$12,L$1,FALSE)</f>
        <v>Casual n Light</v>
      </c>
      <c r="M399" t="str">
        <f>VLOOKUP($D399,'[2]product Table data'!$A$2:$G$12,M$1,FALSE)</f>
        <v>Honduras</v>
      </c>
      <c r="N399" t="str">
        <f>VLOOKUP($D399,'[2]product Table data'!$A$2:$G$12,N$1,FALSE)</f>
        <v>Central America</v>
      </c>
      <c r="O399">
        <f>VLOOKUP($D399,'[2]product Table data'!$A$2:$G$12,O$1,FALSE)</f>
        <v>30</v>
      </c>
      <c r="P399">
        <f>VLOOKUP($D399,'[2]product Table data'!$A$2:$G$12,P$1,FALSE)</f>
        <v>45</v>
      </c>
      <c r="Q399">
        <f t="shared" si="30"/>
        <v>15</v>
      </c>
      <c r="R399" t="str">
        <f t="shared" si="31"/>
        <v>-</v>
      </c>
      <c r="S399" t="str">
        <f t="shared" si="32"/>
        <v>Style Risk</v>
      </c>
      <c r="T399" t="str">
        <f t="shared" si="33"/>
        <v>-</v>
      </c>
      <c r="U399" t="str">
        <f t="shared" si="34"/>
        <v>High Value</v>
      </c>
    </row>
    <row r="400" spans="1:21" hidden="1" x14ac:dyDescent="0.2">
      <c r="A400" s="2">
        <v>135</v>
      </c>
      <c r="B400" s="2" t="s">
        <v>9</v>
      </c>
      <c r="C400" s="2" t="s">
        <v>640</v>
      </c>
      <c r="D400" s="2" t="s">
        <v>45</v>
      </c>
      <c r="E400" s="2">
        <v>10022</v>
      </c>
      <c r="F400" s="2" t="s">
        <v>42</v>
      </c>
      <c r="G400" s="2" t="s">
        <v>36</v>
      </c>
      <c r="H400" s="2">
        <v>1</v>
      </c>
      <c r="I400" s="2" t="s">
        <v>39</v>
      </c>
      <c r="J400" s="2" t="str">
        <f>VLOOKUP(E400,[1]LL_Hub!$A$1:$B$13,2,FALSE)</f>
        <v>New York</v>
      </c>
      <c r="K400" t="str">
        <f>VLOOKUP(D400,'[2]product Table data'!$A$2:$B$12,2,FALSE)</f>
        <v>Female</v>
      </c>
      <c r="L400" t="str">
        <f>VLOOKUP($D400,'[2]product Table data'!$A$2:$G$12,L$1,FALSE)</f>
        <v>Winter Warmth</v>
      </c>
      <c r="M400" t="str">
        <f>VLOOKUP($D400,'[2]product Table data'!$A$2:$G$12,M$1,FALSE)</f>
        <v>Romania</v>
      </c>
      <c r="N400" t="str">
        <f>VLOOKUP($D400,'[2]product Table data'!$A$2:$G$12,N$1,FALSE)</f>
        <v>Eastern Europe</v>
      </c>
      <c r="O400">
        <f>VLOOKUP($D400,'[2]product Table data'!$A$2:$G$12,O$1,FALSE)</f>
        <v>350</v>
      </c>
      <c r="P400">
        <f>VLOOKUP($D400,'[2]product Table data'!$A$2:$G$12,P$1,FALSE)</f>
        <v>450</v>
      </c>
      <c r="Q400">
        <f t="shared" si="30"/>
        <v>100</v>
      </c>
      <c r="R400" t="str">
        <f t="shared" si="31"/>
        <v>-</v>
      </c>
      <c r="S400" t="str">
        <f t="shared" si="32"/>
        <v>-</v>
      </c>
      <c r="T400" t="str">
        <f t="shared" si="33"/>
        <v>-</v>
      </c>
      <c r="U400" t="str">
        <f t="shared" si="34"/>
        <v>High Value</v>
      </c>
    </row>
    <row r="401" spans="1:21" hidden="1" x14ac:dyDescent="0.2">
      <c r="A401" s="2">
        <v>136</v>
      </c>
      <c r="B401" s="2" t="s">
        <v>9</v>
      </c>
      <c r="C401" s="2" t="s">
        <v>641</v>
      </c>
      <c r="D401" s="2" t="s">
        <v>45</v>
      </c>
      <c r="E401" s="2">
        <v>10022</v>
      </c>
      <c r="F401" s="2" t="s">
        <v>42</v>
      </c>
      <c r="G401" s="2" t="s">
        <v>36</v>
      </c>
      <c r="H401" s="2">
        <v>1</v>
      </c>
      <c r="I401" s="2" t="s">
        <v>39</v>
      </c>
      <c r="J401" s="2" t="str">
        <f>VLOOKUP(E401,[1]LL_Hub!$A$1:$B$13,2,FALSE)</f>
        <v>New York</v>
      </c>
      <c r="K401" t="str">
        <f>VLOOKUP(D401,'[2]product Table data'!$A$2:$B$12,2,FALSE)</f>
        <v>Female</v>
      </c>
      <c r="L401" t="str">
        <f>VLOOKUP($D401,'[2]product Table data'!$A$2:$G$12,L$1,FALSE)</f>
        <v>Winter Warmth</v>
      </c>
      <c r="M401" t="str">
        <f>VLOOKUP($D401,'[2]product Table data'!$A$2:$G$12,M$1,FALSE)</f>
        <v>Romania</v>
      </c>
      <c r="N401" t="str">
        <f>VLOOKUP($D401,'[2]product Table data'!$A$2:$G$12,N$1,FALSE)</f>
        <v>Eastern Europe</v>
      </c>
      <c r="O401">
        <f>VLOOKUP($D401,'[2]product Table data'!$A$2:$G$12,O$1,FALSE)</f>
        <v>350</v>
      </c>
      <c r="P401">
        <f>VLOOKUP($D401,'[2]product Table data'!$A$2:$G$12,P$1,FALSE)</f>
        <v>450</v>
      </c>
      <c r="Q401">
        <f t="shared" si="30"/>
        <v>100</v>
      </c>
      <c r="R401" t="str">
        <f t="shared" si="31"/>
        <v>-</v>
      </c>
      <c r="S401" t="str">
        <f t="shared" si="32"/>
        <v>-</v>
      </c>
      <c r="T401" t="str">
        <f t="shared" si="33"/>
        <v>-</v>
      </c>
      <c r="U401" t="str">
        <f t="shared" si="34"/>
        <v>High Value</v>
      </c>
    </row>
    <row r="402" spans="1:21" hidden="1" x14ac:dyDescent="0.2">
      <c r="A402" s="2">
        <v>137</v>
      </c>
      <c r="B402" s="2" t="s">
        <v>9</v>
      </c>
      <c r="C402" s="2" t="s">
        <v>642</v>
      </c>
      <c r="D402" s="2" t="s">
        <v>505</v>
      </c>
      <c r="E402" s="2">
        <v>10022</v>
      </c>
      <c r="F402" s="2" t="s">
        <v>35</v>
      </c>
      <c r="G402" s="2" t="s">
        <v>36</v>
      </c>
      <c r="H402" s="2">
        <v>1</v>
      </c>
      <c r="I402" s="2" t="s">
        <v>17</v>
      </c>
      <c r="J402" s="2" t="str">
        <f>VLOOKUP(E402,[1]LL_Hub!$A$1:$B$13,2,FALSE)</f>
        <v>New York</v>
      </c>
      <c r="K402" t="str">
        <f>VLOOKUP(D402,'[2]product Table data'!$A$2:$B$12,2,FALSE)</f>
        <v>Female</v>
      </c>
      <c r="L402" t="str">
        <f>VLOOKUP($D402,'[2]product Table data'!$A$2:$G$12,L$1,FALSE)</f>
        <v>Casual n Light</v>
      </c>
      <c r="M402" t="str">
        <f>VLOOKUP($D402,'[2]product Table data'!$A$2:$G$12,M$1,FALSE)</f>
        <v>Honduras</v>
      </c>
      <c r="N402" t="str">
        <f>VLOOKUP($D402,'[2]product Table data'!$A$2:$G$12,N$1,FALSE)</f>
        <v>Central America</v>
      </c>
      <c r="O402">
        <f>VLOOKUP($D402,'[2]product Table data'!$A$2:$G$12,O$1,FALSE)</f>
        <v>30</v>
      </c>
      <c r="P402">
        <f>VLOOKUP($D402,'[2]product Table data'!$A$2:$G$12,P$1,FALSE)</f>
        <v>45</v>
      </c>
      <c r="Q402">
        <f t="shared" si="30"/>
        <v>15</v>
      </c>
      <c r="R402" t="str">
        <f t="shared" si="31"/>
        <v>-</v>
      </c>
      <c r="S402" t="str">
        <f t="shared" si="32"/>
        <v>Style Risk</v>
      </c>
      <c r="T402" t="str">
        <f t="shared" si="33"/>
        <v>-</v>
      </c>
      <c r="U402" t="str">
        <f t="shared" si="34"/>
        <v>High Value</v>
      </c>
    </row>
    <row r="403" spans="1:21" hidden="1" x14ac:dyDescent="0.2">
      <c r="A403" s="2">
        <v>138</v>
      </c>
      <c r="B403" s="2" t="s">
        <v>9</v>
      </c>
      <c r="C403" s="2" t="s">
        <v>643</v>
      </c>
      <c r="D403" s="2" t="s">
        <v>505</v>
      </c>
      <c r="E403" s="2">
        <v>10022</v>
      </c>
      <c r="F403" s="2" t="s">
        <v>35</v>
      </c>
      <c r="G403" s="2" t="s">
        <v>36</v>
      </c>
      <c r="H403" s="2">
        <v>1</v>
      </c>
      <c r="I403" s="2" t="s">
        <v>17</v>
      </c>
      <c r="J403" s="2" t="str">
        <f>VLOOKUP(E403,[1]LL_Hub!$A$1:$B$13,2,FALSE)</f>
        <v>New York</v>
      </c>
      <c r="K403" t="str">
        <f>VLOOKUP(D403,'[2]product Table data'!$A$2:$B$12,2,FALSE)</f>
        <v>Female</v>
      </c>
      <c r="L403" t="str">
        <f>VLOOKUP($D403,'[2]product Table data'!$A$2:$G$12,L$1,FALSE)</f>
        <v>Casual n Light</v>
      </c>
      <c r="M403" t="str">
        <f>VLOOKUP($D403,'[2]product Table data'!$A$2:$G$12,M$1,FALSE)</f>
        <v>Honduras</v>
      </c>
      <c r="N403" t="str">
        <f>VLOOKUP($D403,'[2]product Table data'!$A$2:$G$12,N$1,FALSE)</f>
        <v>Central America</v>
      </c>
      <c r="O403">
        <f>VLOOKUP($D403,'[2]product Table data'!$A$2:$G$12,O$1,FALSE)</f>
        <v>30</v>
      </c>
      <c r="P403">
        <f>VLOOKUP($D403,'[2]product Table data'!$A$2:$G$12,P$1,FALSE)</f>
        <v>45</v>
      </c>
      <c r="Q403">
        <f t="shared" si="30"/>
        <v>15</v>
      </c>
      <c r="R403" t="str">
        <f t="shared" si="31"/>
        <v>-</v>
      </c>
      <c r="S403" t="str">
        <f t="shared" si="32"/>
        <v>Style Risk</v>
      </c>
      <c r="T403" t="str">
        <f t="shared" si="33"/>
        <v>-</v>
      </c>
      <c r="U403" t="str">
        <f t="shared" si="34"/>
        <v>High Value</v>
      </c>
    </row>
    <row r="404" spans="1:21" hidden="1" x14ac:dyDescent="0.2">
      <c r="A404" s="2">
        <v>139</v>
      </c>
      <c r="B404" s="2" t="s">
        <v>9</v>
      </c>
      <c r="C404" s="2" t="s">
        <v>644</v>
      </c>
      <c r="D404" s="2" t="s">
        <v>505</v>
      </c>
      <c r="E404" s="2">
        <v>10022</v>
      </c>
      <c r="F404" s="2" t="s">
        <v>35</v>
      </c>
      <c r="G404" s="2" t="s">
        <v>36</v>
      </c>
      <c r="H404" s="2">
        <v>1</v>
      </c>
      <c r="I404" s="2" t="s">
        <v>17</v>
      </c>
      <c r="J404" s="2" t="str">
        <f>VLOOKUP(E404,[1]LL_Hub!$A$1:$B$13,2,FALSE)</f>
        <v>New York</v>
      </c>
      <c r="K404" t="str">
        <f>VLOOKUP(D404,'[2]product Table data'!$A$2:$B$12,2,FALSE)</f>
        <v>Female</v>
      </c>
      <c r="L404" t="str">
        <f>VLOOKUP($D404,'[2]product Table data'!$A$2:$G$12,L$1,FALSE)</f>
        <v>Casual n Light</v>
      </c>
      <c r="M404" t="str">
        <f>VLOOKUP($D404,'[2]product Table data'!$A$2:$G$12,M$1,FALSE)</f>
        <v>Honduras</v>
      </c>
      <c r="N404" t="str">
        <f>VLOOKUP($D404,'[2]product Table data'!$A$2:$G$12,N$1,FALSE)</f>
        <v>Central America</v>
      </c>
      <c r="O404">
        <f>VLOOKUP($D404,'[2]product Table data'!$A$2:$G$12,O$1,FALSE)</f>
        <v>30</v>
      </c>
      <c r="P404">
        <f>VLOOKUP($D404,'[2]product Table data'!$A$2:$G$12,P$1,FALSE)</f>
        <v>45</v>
      </c>
      <c r="Q404">
        <f t="shared" si="30"/>
        <v>15</v>
      </c>
      <c r="R404" t="str">
        <f t="shared" si="31"/>
        <v>-</v>
      </c>
      <c r="S404" t="str">
        <f t="shared" si="32"/>
        <v>Style Risk</v>
      </c>
      <c r="T404" t="str">
        <f t="shared" si="33"/>
        <v>-</v>
      </c>
      <c r="U404" t="str">
        <f t="shared" si="34"/>
        <v>High Value</v>
      </c>
    </row>
    <row r="405" spans="1:21" hidden="1" x14ac:dyDescent="0.2">
      <c r="A405" s="2">
        <v>140</v>
      </c>
      <c r="B405" s="2" t="s">
        <v>9</v>
      </c>
      <c r="C405" s="2" t="s">
        <v>645</v>
      </c>
      <c r="D405" s="2" t="s">
        <v>505</v>
      </c>
      <c r="E405" s="2">
        <v>10022</v>
      </c>
      <c r="F405" s="2" t="s">
        <v>35</v>
      </c>
      <c r="G405" s="2" t="s">
        <v>36</v>
      </c>
      <c r="H405" s="2">
        <v>1</v>
      </c>
      <c r="I405" s="2" t="s">
        <v>17</v>
      </c>
      <c r="J405" s="2" t="str">
        <f>VLOOKUP(E405,[1]LL_Hub!$A$1:$B$13,2,FALSE)</f>
        <v>New York</v>
      </c>
      <c r="K405" t="str">
        <f>VLOOKUP(D405,'[2]product Table data'!$A$2:$B$12,2,FALSE)</f>
        <v>Female</v>
      </c>
      <c r="L405" t="str">
        <f>VLOOKUP($D405,'[2]product Table data'!$A$2:$G$12,L$1,FALSE)</f>
        <v>Casual n Light</v>
      </c>
      <c r="M405" t="str">
        <f>VLOOKUP($D405,'[2]product Table data'!$A$2:$G$12,M$1,FALSE)</f>
        <v>Honduras</v>
      </c>
      <c r="N405" t="str">
        <f>VLOOKUP($D405,'[2]product Table data'!$A$2:$G$12,N$1,FALSE)</f>
        <v>Central America</v>
      </c>
      <c r="O405">
        <f>VLOOKUP($D405,'[2]product Table data'!$A$2:$G$12,O$1,FALSE)</f>
        <v>30</v>
      </c>
      <c r="P405">
        <f>VLOOKUP($D405,'[2]product Table data'!$A$2:$G$12,P$1,FALSE)</f>
        <v>45</v>
      </c>
      <c r="Q405">
        <f t="shared" si="30"/>
        <v>15</v>
      </c>
      <c r="R405" t="str">
        <f t="shared" si="31"/>
        <v>-</v>
      </c>
      <c r="S405" t="str">
        <f t="shared" si="32"/>
        <v>Style Risk</v>
      </c>
      <c r="T405" t="str">
        <f t="shared" si="33"/>
        <v>-</v>
      </c>
      <c r="U405" t="str">
        <f t="shared" si="34"/>
        <v>High Value</v>
      </c>
    </row>
    <row r="406" spans="1:21" hidden="1" x14ac:dyDescent="0.2">
      <c r="A406" s="2">
        <v>141</v>
      </c>
      <c r="B406" s="2" t="s">
        <v>9</v>
      </c>
      <c r="C406" s="2" t="s">
        <v>646</v>
      </c>
      <c r="D406" s="2" t="s">
        <v>505</v>
      </c>
      <c r="E406" s="2">
        <v>10022</v>
      </c>
      <c r="F406" s="2" t="s">
        <v>35</v>
      </c>
      <c r="G406" s="2" t="s">
        <v>36</v>
      </c>
      <c r="H406" s="2">
        <v>1</v>
      </c>
      <c r="I406" s="2" t="s">
        <v>17</v>
      </c>
      <c r="J406" s="2" t="str">
        <f>VLOOKUP(E406,[1]LL_Hub!$A$1:$B$13,2,FALSE)</f>
        <v>New York</v>
      </c>
      <c r="K406" t="str">
        <f>VLOOKUP(D406,'[2]product Table data'!$A$2:$B$12,2,FALSE)</f>
        <v>Female</v>
      </c>
      <c r="L406" t="str">
        <f>VLOOKUP($D406,'[2]product Table data'!$A$2:$G$12,L$1,FALSE)</f>
        <v>Casual n Light</v>
      </c>
      <c r="M406" t="str">
        <f>VLOOKUP($D406,'[2]product Table data'!$A$2:$G$12,M$1,FALSE)</f>
        <v>Honduras</v>
      </c>
      <c r="N406" t="str">
        <f>VLOOKUP($D406,'[2]product Table data'!$A$2:$G$12,N$1,FALSE)</f>
        <v>Central America</v>
      </c>
      <c r="O406">
        <f>VLOOKUP($D406,'[2]product Table data'!$A$2:$G$12,O$1,FALSE)</f>
        <v>30</v>
      </c>
      <c r="P406">
        <f>VLOOKUP($D406,'[2]product Table data'!$A$2:$G$12,P$1,FALSE)</f>
        <v>45</v>
      </c>
      <c r="Q406">
        <f t="shared" si="30"/>
        <v>15</v>
      </c>
      <c r="R406" t="str">
        <f t="shared" si="31"/>
        <v>-</v>
      </c>
      <c r="S406" t="str">
        <f t="shared" si="32"/>
        <v>Style Risk</v>
      </c>
      <c r="T406" t="str">
        <f t="shared" si="33"/>
        <v>-</v>
      </c>
      <c r="U406" t="str">
        <f t="shared" si="34"/>
        <v>High Value</v>
      </c>
    </row>
    <row r="407" spans="1:21" hidden="1" x14ac:dyDescent="0.2">
      <c r="A407" s="2">
        <v>142</v>
      </c>
      <c r="B407" s="2" t="s">
        <v>9</v>
      </c>
      <c r="C407" s="2" t="s">
        <v>647</v>
      </c>
      <c r="D407" s="2" t="s">
        <v>505</v>
      </c>
      <c r="E407" s="2">
        <v>10022</v>
      </c>
      <c r="F407" s="2" t="s">
        <v>35</v>
      </c>
      <c r="G407" s="2" t="s">
        <v>36</v>
      </c>
      <c r="H407" s="2">
        <v>1</v>
      </c>
      <c r="I407" s="2" t="s">
        <v>17</v>
      </c>
      <c r="J407" s="2" t="str">
        <f>VLOOKUP(E407,[1]LL_Hub!$A$1:$B$13,2,FALSE)</f>
        <v>New York</v>
      </c>
      <c r="K407" t="str">
        <f>VLOOKUP(D407,'[2]product Table data'!$A$2:$B$12,2,FALSE)</f>
        <v>Female</v>
      </c>
      <c r="L407" t="str">
        <f>VLOOKUP($D407,'[2]product Table data'!$A$2:$G$12,L$1,FALSE)</f>
        <v>Casual n Light</v>
      </c>
      <c r="M407" t="str">
        <f>VLOOKUP($D407,'[2]product Table data'!$A$2:$G$12,M$1,FALSE)</f>
        <v>Honduras</v>
      </c>
      <c r="N407" t="str">
        <f>VLOOKUP($D407,'[2]product Table data'!$A$2:$G$12,N$1,FALSE)</f>
        <v>Central America</v>
      </c>
      <c r="O407">
        <f>VLOOKUP($D407,'[2]product Table data'!$A$2:$G$12,O$1,FALSE)</f>
        <v>30</v>
      </c>
      <c r="P407">
        <f>VLOOKUP($D407,'[2]product Table data'!$A$2:$G$12,P$1,FALSE)</f>
        <v>45</v>
      </c>
      <c r="Q407">
        <f t="shared" si="30"/>
        <v>15</v>
      </c>
      <c r="R407" t="str">
        <f t="shared" si="31"/>
        <v>-</v>
      </c>
      <c r="S407" t="str">
        <f t="shared" si="32"/>
        <v>Style Risk</v>
      </c>
      <c r="T407" t="str">
        <f t="shared" si="33"/>
        <v>-</v>
      </c>
      <c r="U407" t="str">
        <f t="shared" si="34"/>
        <v>High Value</v>
      </c>
    </row>
    <row r="408" spans="1:21" hidden="1" x14ac:dyDescent="0.2">
      <c r="A408" s="2">
        <v>143</v>
      </c>
      <c r="B408" s="2" t="s">
        <v>9</v>
      </c>
      <c r="C408" s="2" t="s">
        <v>648</v>
      </c>
      <c r="D408" s="2" t="s">
        <v>505</v>
      </c>
      <c r="E408" s="2">
        <v>10022</v>
      </c>
      <c r="F408" s="2" t="s">
        <v>35</v>
      </c>
      <c r="G408" s="2" t="s">
        <v>36</v>
      </c>
      <c r="H408" s="2">
        <v>1</v>
      </c>
      <c r="I408" s="2" t="s">
        <v>17</v>
      </c>
      <c r="J408" s="2" t="str">
        <f>VLOOKUP(E408,[1]LL_Hub!$A$1:$B$13,2,FALSE)</f>
        <v>New York</v>
      </c>
      <c r="K408" t="str">
        <f>VLOOKUP(D408,'[2]product Table data'!$A$2:$B$12,2,FALSE)</f>
        <v>Female</v>
      </c>
      <c r="L408" t="str">
        <f>VLOOKUP($D408,'[2]product Table data'!$A$2:$G$12,L$1,FALSE)</f>
        <v>Casual n Light</v>
      </c>
      <c r="M408" t="str">
        <f>VLOOKUP($D408,'[2]product Table data'!$A$2:$G$12,M$1,FALSE)</f>
        <v>Honduras</v>
      </c>
      <c r="N408" t="str">
        <f>VLOOKUP($D408,'[2]product Table data'!$A$2:$G$12,N$1,FALSE)</f>
        <v>Central America</v>
      </c>
      <c r="O408">
        <f>VLOOKUP($D408,'[2]product Table data'!$A$2:$G$12,O$1,FALSE)</f>
        <v>30</v>
      </c>
      <c r="P408">
        <f>VLOOKUP($D408,'[2]product Table data'!$A$2:$G$12,P$1,FALSE)</f>
        <v>45</v>
      </c>
      <c r="Q408">
        <f t="shared" si="30"/>
        <v>15</v>
      </c>
      <c r="R408" t="str">
        <f t="shared" si="31"/>
        <v>-</v>
      </c>
      <c r="S408" t="str">
        <f t="shared" si="32"/>
        <v>Style Risk</v>
      </c>
      <c r="T408" t="str">
        <f t="shared" si="33"/>
        <v>-</v>
      </c>
      <c r="U408" t="str">
        <f t="shared" si="34"/>
        <v>High Value</v>
      </c>
    </row>
    <row r="409" spans="1:21" hidden="1" x14ac:dyDescent="0.2">
      <c r="A409" s="2">
        <v>144</v>
      </c>
      <c r="B409" s="2" t="s">
        <v>9</v>
      </c>
      <c r="C409" s="2" t="s">
        <v>649</v>
      </c>
      <c r="D409" s="2" t="s">
        <v>505</v>
      </c>
      <c r="E409" s="2">
        <v>10022</v>
      </c>
      <c r="F409" s="2" t="s">
        <v>35</v>
      </c>
      <c r="G409" s="2" t="s">
        <v>36</v>
      </c>
      <c r="H409" s="2">
        <v>1</v>
      </c>
      <c r="I409" s="2" t="s">
        <v>17</v>
      </c>
      <c r="J409" s="2" t="str">
        <f>VLOOKUP(E409,[1]LL_Hub!$A$1:$B$13,2,FALSE)</f>
        <v>New York</v>
      </c>
      <c r="K409" t="str">
        <f>VLOOKUP(D409,'[2]product Table data'!$A$2:$B$12,2,FALSE)</f>
        <v>Female</v>
      </c>
      <c r="L409" t="str">
        <f>VLOOKUP($D409,'[2]product Table data'!$A$2:$G$12,L$1,FALSE)</f>
        <v>Casual n Light</v>
      </c>
      <c r="M409" t="str">
        <f>VLOOKUP($D409,'[2]product Table data'!$A$2:$G$12,M$1,FALSE)</f>
        <v>Honduras</v>
      </c>
      <c r="N409" t="str">
        <f>VLOOKUP($D409,'[2]product Table data'!$A$2:$G$12,N$1,FALSE)</f>
        <v>Central America</v>
      </c>
      <c r="O409">
        <f>VLOOKUP($D409,'[2]product Table data'!$A$2:$G$12,O$1,FALSE)</f>
        <v>30</v>
      </c>
      <c r="P409">
        <f>VLOOKUP($D409,'[2]product Table data'!$A$2:$G$12,P$1,FALSE)</f>
        <v>45</v>
      </c>
      <c r="Q409">
        <f t="shared" si="30"/>
        <v>15</v>
      </c>
      <c r="R409" t="str">
        <f t="shared" si="31"/>
        <v>-</v>
      </c>
      <c r="S409" t="str">
        <f t="shared" si="32"/>
        <v>Style Risk</v>
      </c>
      <c r="T409" t="str">
        <f t="shared" si="33"/>
        <v>-</v>
      </c>
      <c r="U409" t="str">
        <f t="shared" si="34"/>
        <v>High Value</v>
      </c>
    </row>
    <row r="410" spans="1:21" hidden="1" x14ac:dyDescent="0.2">
      <c r="A410" s="2">
        <v>145</v>
      </c>
      <c r="B410" s="2" t="s">
        <v>9</v>
      </c>
      <c r="C410" s="2" t="s">
        <v>650</v>
      </c>
      <c r="D410" s="2" t="s">
        <v>505</v>
      </c>
      <c r="E410" s="2">
        <v>10022</v>
      </c>
      <c r="F410" s="2" t="s">
        <v>35</v>
      </c>
      <c r="G410" s="2" t="s">
        <v>36</v>
      </c>
      <c r="H410" s="2">
        <v>1</v>
      </c>
      <c r="I410" s="2" t="s">
        <v>17</v>
      </c>
      <c r="J410" s="2" t="str">
        <f>VLOOKUP(E410,[1]LL_Hub!$A$1:$B$13,2,FALSE)</f>
        <v>New York</v>
      </c>
      <c r="K410" t="str">
        <f>VLOOKUP(D410,'[2]product Table data'!$A$2:$B$12,2,FALSE)</f>
        <v>Female</v>
      </c>
      <c r="L410" t="str">
        <f>VLOOKUP($D410,'[2]product Table data'!$A$2:$G$12,L$1,FALSE)</f>
        <v>Casual n Light</v>
      </c>
      <c r="M410" t="str">
        <f>VLOOKUP($D410,'[2]product Table data'!$A$2:$G$12,M$1,FALSE)</f>
        <v>Honduras</v>
      </c>
      <c r="N410" t="str">
        <f>VLOOKUP($D410,'[2]product Table data'!$A$2:$G$12,N$1,FALSE)</f>
        <v>Central America</v>
      </c>
      <c r="O410">
        <f>VLOOKUP($D410,'[2]product Table data'!$A$2:$G$12,O$1,FALSE)</f>
        <v>30</v>
      </c>
      <c r="P410">
        <f>VLOOKUP($D410,'[2]product Table data'!$A$2:$G$12,P$1,FALSE)</f>
        <v>45</v>
      </c>
      <c r="Q410">
        <f t="shared" si="30"/>
        <v>15</v>
      </c>
      <c r="R410" t="str">
        <f t="shared" si="31"/>
        <v>-</v>
      </c>
      <c r="S410" t="str">
        <f t="shared" si="32"/>
        <v>Style Risk</v>
      </c>
      <c r="T410" t="str">
        <f t="shared" si="33"/>
        <v>-</v>
      </c>
      <c r="U410" t="str">
        <f t="shared" si="34"/>
        <v>High Value</v>
      </c>
    </row>
    <row r="411" spans="1:21" hidden="1" x14ac:dyDescent="0.2">
      <c r="A411" s="2">
        <v>146</v>
      </c>
      <c r="B411" s="2" t="s">
        <v>9</v>
      </c>
      <c r="C411" s="2" t="s">
        <v>651</v>
      </c>
      <c r="D411" s="2" t="s">
        <v>505</v>
      </c>
      <c r="E411" s="2">
        <v>10022</v>
      </c>
      <c r="F411" s="2" t="s">
        <v>35</v>
      </c>
      <c r="G411" s="2" t="s">
        <v>36</v>
      </c>
      <c r="H411" s="2">
        <v>1</v>
      </c>
      <c r="I411" s="2" t="s">
        <v>17</v>
      </c>
      <c r="J411" s="2" t="str">
        <f>VLOOKUP(E411,[1]LL_Hub!$A$1:$B$13,2,FALSE)</f>
        <v>New York</v>
      </c>
      <c r="K411" t="str">
        <f>VLOOKUP(D411,'[2]product Table data'!$A$2:$B$12,2,FALSE)</f>
        <v>Female</v>
      </c>
      <c r="L411" t="str">
        <f>VLOOKUP($D411,'[2]product Table data'!$A$2:$G$12,L$1,FALSE)</f>
        <v>Casual n Light</v>
      </c>
      <c r="M411" t="str">
        <f>VLOOKUP($D411,'[2]product Table data'!$A$2:$G$12,M$1,FALSE)</f>
        <v>Honduras</v>
      </c>
      <c r="N411" t="str">
        <f>VLOOKUP($D411,'[2]product Table data'!$A$2:$G$12,N$1,FALSE)</f>
        <v>Central America</v>
      </c>
      <c r="O411">
        <f>VLOOKUP($D411,'[2]product Table data'!$A$2:$G$12,O$1,FALSE)</f>
        <v>30</v>
      </c>
      <c r="P411">
        <f>VLOOKUP($D411,'[2]product Table data'!$A$2:$G$12,P$1,FALSE)</f>
        <v>45</v>
      </c>
      <c r="Q411">
        <f t="shared" si="30"/>
        <v>15</v>
      </c>
      <c r="R411" t="str">
        <f t="shared" si="31"/>
        <v>-</v>
      </c>
      <c r="S411" t="str">
        <f t="shared" si="32"/>
        <v>Style Risk</v>
      </c>
      <c r="T411" t="str">
        <f t="shared" si="33"/>
        <v>-</v>
      </c>
      <c r="U411" t="str">
        <f t="shared" si="34"/>
        <v>High Value</v>
      </c>
    </row>
    <row r="412" spans="1:21" hidden="1" x14ac:dyDescent="0.2">
      <c r="A412" s="2">
        <v>147</v>
      </c>
      <c r="B412" s="2" t="s">
        <v>9</v>
      </c>
      <c r="C412" s="2" t="s">
        <v>652</v>
      </c>
      <c r="D412" s="2" t="s">
        <v>505</v>
      </c>
      <c r="E412" s="2">
        <v>10022</v>
      </c>
      <c r="F412" s="2" t="s">
        <v>35</v>
      </c>
      <c r="G412" s="2" t="s">
        <v>36</v>
      </c>
      <c r="H412" s="2">
        <v>1</v>
      </c>
      <c r="I412" s="2" t="s">
        <v>17</v>
      </c>
      <c r="J412" s="2" t="str">
        <f>VLOOKUP(E412,[1]LL_Hub!$A$1:$B$13,2,FALSE)</f>
        <v>New York</v>
      </c>
      <c r="K412" t="str">
        <f>VLOOKUP(D412,'[2]product Table data'!$A$2:$B$12,2,FALSE)</f>
        <v>Female</v>
      </c>
      <c r="L412" t="str">
        <f>VLOOKUP($D412,'[2]product Table data'!$A$2:$G$12,L$1,FALSE)</f>
        <v>Casual n Light</v>
      </c>
      <c r="M412" t="str">
        <f>VLOOKUP($D412,'[2]product Table data'!$A$2:$G$12,M$1,FALSE)</f>
        <v>Honduras</v>
      </c>
      <c r="N412" t="str">
        <f>VLOOKUP($D412,'[2]product Table data'!$A$2:$G$12,N$1,FALSE)</f>
        <v>Central America</v>
      </c>
      <c r="O412">
        <f>VLOOKUP($D412,'[2]product Table data'!$A$2:$G$12,O$1,FALSE)</f>
        <v>30</v>
      </c>
      <c r="P412">
        <f>VLOOKUP($D412,'[2]product Table data'!$A$2:$G$12,P$1,FALSE)</f>
        <v>45</v>
      </c>
      <c r="Q412">
        <f t="shared" si="30"/>
        <v>15</v>
      </c>
      <c r="R412" t="str">
        <f t="shared" si="31"/>
        <v>-</v>
      </c>
      <c r="S412" t="str">
        <f t="shared" si="32"/>
        <v>Style Risk</v>
      </c>
      <c r="T412" t="str">
        <f t="shared" si="33"/>
        <v>-</v>
      </c>
      <c r="U412" t="str">
        <f t="shared" si="34"/>
        <v>High Value</v>
      </c>
    </row>
    <row r="413" spans="1:21" hidden="1" x14ac:dyDescent="0.2">
      <c r="A413" s="2">
        <v>148</v>
      </c>
      <c r="B413" s="2" t="s">
        <v>9</v>
      </c>
      <c r="C413" s="2" t="s">
        <v>653</v>
      </c>
      <c r="D413" s="2" t="s">
        <v>45</v>
      </c>
      <c r="E413" s="2">
        <v>10022</v>
      </c>
      <c r="F413" s="2" t="s">
        <v>42</v>
      </c>
      <c r="G413" s="2" t="s">
        <v>36</v>
      </c>
      <c r="H413" s="2">
        <v>1</v>
      </c>
      <c r="I413" s="2" t="s">
        <v>39</v>
      </c>
      <c r="J413" s="2" t="str">
        <f>VLOOKUP(E413,[1]LL_Hub!$A$1:$B$13,2,FALSE)</f>
        <v>New York</v>
      </c>
      <c r="K413" t="str">
        <f>VLOOKUP(D413,'[2]product Table data'!$A$2:$B$12,2,FALSE)</f>
        <v>Female</v>
      </c>
      <c r="L413" t="str">
        <f>VLOOKUP($D413,'[2]product Table data'!$A$2:$G$12,L$1,FALSE)</f>
        <v>Winter Warmth</v>
      </c>
      <c r="M413" t="str">
        <f>VLOOKUP($D413,'[2]product Table data'!$A$2:$G$12,M$1,FALSE)</f>
        <v>Romania</v>
      </c>
      <c r="N413" t="str">
        <f>VLOOKUP($D413,'[2]product Table data'!$A$2:$G$12,N$1,FALSE)</f>
        <v>Eastern Europe</v>
      </c>
      <c r="O413">
        <f>VLOOKUP($D413,'[2]product Table data'!$A$2:$G$12,O$1,FALSE)</f>
        <v>350</v>
      </c>
      <c r="P413">
        <f>VLOOKUP($D413,'[2]product Table data'!$A$2:$G$12,P$1,FALSE)</f>
        <v>450</v>
      </c>
      <c r="Q413">
        <f t="shared" si="30"/>
        <v>100</v>
      </c>
      <c r="R413" t="str">
        <f t="shared" si="31"/>
        <v>-</v>
      </c>
      <c r="S413" t="str">
        <f t="shared" si="32"/>
        <v>-</v>
      </c>
      <c r="T413" t="str">
        <f t="shared" si="33"/>
        <v>-</v>
      </c>
      <c r="U413" t="str">
        <f t="shared" si="34"/>
        <v>High Value</v>
      </c>
    </row>
    <row r="414" spans="1:21" hidden="1" x14ac:dyDescent="0.2">
      <c r="A414" s="2">
        <v>149</v>
      </c>
      <c r="B414" s="2" t="s">
        <v>9</v>
      </c>
      <c r="C414" s="2" t="s">
        <v>654</v>
      </c>
      <c r="D414" s="2" t="s">
        <v>45</v>
      </c>
      <c r="E414" s="2">
        <v>10022</v>
      </c>
      <c r="F414" s="2" t="s">
        <v>42</v>
      </c>
      <c r="G414" s="2" t="s">
        <v>36</v>
      </c>
      <c r="H414" s="2">
        <v>1</v>
      </c>
      <c r="I414" s="2" t="s">
        <v>39</v>
      </c>
      <c r="J414" s="2" t="str">
        <f>VLOOKUP(E414,[1]LL_Hub!$A$1:$B$13,2,FALSE)</f>
        <v>New York</v>
      </c>
      <c r="K414" t="str">
        <f>VLOOKUP(D414,'[2]product Table data'!$A$2:$B$12,2,FALSE)</f>
        <v>Female</v>
      </c>
      <c r="L414" t="str">
        <f>VLOOKUP($D414,'[2]product Table data'!$A$2:$G$12,L$1,FALSE)</f>
        <v>Winter Warmth</v>
      </c>
      <c r="M414" t="str">
        <f>VLOOKUP($D414,'[2]product Table data'!$A$2:$G$12,M$1,FALSE)</f>
        <v>Romania</v>
      </c>
      <c r="N414" t="str">
        <f>VLOOKUP($D414,'[2]product Table data'!$A$2:$G$12,N$1,FALSE)</f>
        <v>Eastern Europe</v>
      </c>
      <c r="O414">
        <f>VLOOKUP($D414,'[2]product Table data'!$A$2:$G$12,O$1,FALSE)</f>
        <v>350</v>
      </c>
      <c r="P414">
        <f>VLOOKUP($D414,'[2]product Table data'!$A$2:$G$12,P$1,FALSE)</f>
        <v>450</v>
      </c>
      <c r="Q414">
        <f t="shared" si="30"/>
        <v>100</v>
      </c>
      <c r="R414" t="str">
        <f t="shared" si="31"/>
        <v>-</v>
      </c>
      <c r="S414" t="str">
        <f t="shared" si="32"/>
        <v>-</v>
      </c>
      <c r="T414" t="str">
        <f t="shared" si="33"/>
        <v>-</v>
      </c>
      <c r="U414" t="str">
        <f t="shared" si="34"/>
        <v>High Value</v>
      </c>
    </row>
    <row r="415" spans="1:21" hidden="1" x14ac:dyDescent="0.2">
      <c r="A415" s="2">
        <v>150</v>
      </c>
      <c r="B415" s="2" t="s">
        <v>9</v>
      </c>
      <c r="C415" s="2" t="s">
        <v>655</v>
      </c>
      <c r="D415" s="2" t="s">
        <v>505</v>
      </c>
      <c r="E415" s="2">
        <v>10022</v>
      </c>
      <c r="F415" s="2" t="s">
        <v>35</v>
      </c>
      <c r="G415" s="2" t="s">
        <v>36</v>
      </c>
      <c r="H415" s="2">
        <v>1</v>
      </c>
      <c r="I415" s="2" t="s">
        <v>17</v>
      </c>
      <c r="J415" s="2" t="str">
        <f>VLOOKUP(E415,[1]LL_Hub!$A$1:$B$13,2,FALSE)</f>
        <v>New York</v>
      </c>
      <c r="K415" t="str">
        <f>VLOOKUP(D415,'[2]product Table data'!$A$2:$B$12,2,FALSE)</f>
        <v>Female</v>
      </c>
      <c r="L415" t="str">
        <f>VLOOKUP($D415,'[2]product Table data'!$A$2:$G$12,L$1,FALSE)</f>
        <v>Casual n Light</v>
      </c>
      <c r="M415" t="str">
        <f>VLOOKUP($D415,'[2]product Table data'!$A$2:$G$12,M$1,FALSE)</f>
        <v>Honduras</v>
      </c>
      <c r="N415" t="str">
        <f>VLOOKUP($D415,'[2]product Table data'!$A$2:$G$12,N$1,FALSE)</f>
        <v>Central America</v>
      </c>
      <c r="O415">
        <f>VLOOKUP($D415,'[2]product Table data'!$A$2:$G$12,O$1,FALSE)</f>
        <v>30</v>
      </c>
      <c r="P415">
        <f>VLOOKUP($D415,'[2]product Table data'!$A$2:$G$12,P$1,FALSE)</f>
        <v>45</v>
      </c>
      <c r="Q415">
        <f t="shared" si="30"/>
        <v>15</v>
      </c>
      <c r="R415" t="str">
        <f t="shared" si="31"/>
        <v>-</v>
      </c>
      <c r="S415" t="str">
        <f t="shared" si="32"/>
        <v>Style Risk</v>
      </c>
      <c r="T415" t="str">
        <f t="shared" si="33"/>
        <v>-</v>
      </c>
      <c r="U415" t="str">
        <f t="shared" si="34"/>
        <v>High Value</v>
      </c>
    </row>
    <row r="416" spans="1:21" hidden="1" x14ac:dyDescent="0.2">
      <c r="A416" s="2">
        <v>151</v>
      </c>
      <c r="B416" s="2" t="s">
        <v>9</v>
      </c>
      <c r="C416" s="2" t="s">
        <v>656</v>
      </c>
      <c r="D416" s="2" t="s">
        <v>505</v>
      </c>
      <c r="E416" s="2">
        <v>10022</v>
      </c>
      <c r="F416" s="2" t="s">
        <v>657</v>
      </c>
      <c r="G416" s="2" t="s">
        <v>13</v>
      </c>
      <c r="H416" s="2">
        <v>1</v>
      </c>
      <c r="I416" s="2" t="s">
        <v>17</v>
      </c>
      <c r="J416" s="2" t="str">
        <f>VLOOKUP(E416,[1]LL_Hub!$A$1:$B$13,2,FALSE)</f>
        <v>New York</v>
      </c>
      <c r="K416" t="str">
        <f>VLOOKUP(D416,'[2]product Table data'!$A$2:$B$12,2,FALSE)</f>
        <v>Female</v>
      </c>
      <c r="L416" t="str">
        <f>VLOOKUP($D416,'[2]product Table data'!$A$2:$G$12,L$1,FALSE)</f>
        <v>Casual n Light</v>
      </c>
      <c r="M416" t="str">
        <f>VLOOKUP($D416,'[2]product Table data'!$A$2:$G$12,M$1,FALSE)</f>
        <v>Honduras</v>
      </c>
      <c r="N416" t="str">
        <f>VLOOKUP($D416,'[2]product Table data'!$A$2:$G$12,N$1,FALSE)</f>
        <v>Central America</v>
      </c>
      <c r="O416">
        <f>VLOOKUP($D416,'[2]product Table data'!$A$2:$G$12,O$1,FALSE)</f>
        <v>30</v>
      </c>
      <c r="P416">
        <f>VLOOKUP($D416,'[2]product Table data'!$A$2:$G$12,P$1,FALSE)</f>
        <v>45</v>
      </c>
      <c r="Q416">
        <f t="shared" si="30"/>
        <v>15</v>
      </c>
      <c r="R416" t="str">
        <f t="shared" si="31"/>
        <v>-</v>
      </c>
      <c r="S416" t="str">
        <f t="shared" si="32"/>
        <v>Style Risk</v>
      </c>
      <c r="T416" t="str">
        <f t="shared" si="33"/>
        <v>-</v>
      </c>
      <c r="U416" t="str">
        <f t="shared" si="34"/>
        <v>High Value</v>
      </c>
    </row>
    <row r="417" spans="1:21" hidden="1" x14ac:dyDescent="0.2">
      <c r="A417" s="2">
        <v>152</v>
      </c>
      <c r="B417" s="2" t="s">
        <v>9</v>
      </c>
      <c r="C417" s="2" t="s">
        <v>658</v>
      </c>
      <c r="D417" s="2" t="s">
        <v>505</v>
      </c>
      <c r="E417" s="2">
        <v>10022</v>
      </c>
      <c r="F417" s="2" t="s">
        <v>659</v>
      </c>
      <c r="G417" s="2" t="s">
        <v>13</v>
      </c>
      <c r="H417" s="2">
        <v>1</v>
      </c>
      <c r="I417" s="2" t="s">
        <v>17</v>
      </c>
      <c r="J417" s="2" t="str">
        <f>VLOOKUP(E417,[1]LL_Hub!$A$1:$B$13,2,FALSE)</f>
        <v>New York</v>
      </c>
      <c r="K417" t="str">
        <f>VLOOKUP(D417,'[2]product Table data'!$A$2:$B$12,2,FALSE)</f>
        <v>Female</v>
      </c>
      <c r="L417" t="str">
        <f>VLOOKUP($D417,'[2]product Table data'!$A$2:$G$12,L$1,FALSE)</f>
        <v>Casual n Light</v>
      </c>
      <c r="M417" t="str">
        <f>VLOOKUP($D417,'[2]product Table data'!$A$2:$G$12,M$1,FALSE)</f>
        <v>Honduras</v>
      </c>
      <c r="N417" t="str">
        <f>VLOOKUP($D417,'[2]product Table data'!$A$2:$G$12,N$1,FALSE)</f>
        <v>Central America</v>
      </c>
      <c r="O417">
        <f>VLOOKUP($D417,'[2]product Table data'!$A$2:$G$12,O$1,FALSE)</f>
        <v>30</v>
      </c>
      <c r="P417">
        <f>VLOOKUP($D417,'[2]product Table data'!$A$2:$G$12,P$1,FALSE)</f>
        <v>45</v>
      </c>
      <c r="Q417">
        <f t="shared" si="30"/>
        <v>15</v>
      </c>
      <c r="R417" t="str">
        <f t="shared" si="31"/>
        <v>-</v>
      </c>
      <c r="S417" t="str">
        <f t="shared" si="32"/>
        <v>Style Risk</v>
      </c>
      <c r="T417" t="str">
        <f t="shared" si="33"/>
        <v>-</v>
      </c>
      <c r="U417" t="str">
        <f t="shared" si="34"/>
        <v>High Value</v>
      </c>
    </row>
    <row r="418" spans="1:21" hidden="1" x14ac:dyDescent="0.2">
      <c r="A418" s="2">
        <v>155</v>
      </c>
      <c r="B418" s="2" t="s">
        <v>9</v>
      </c>
      <c r="C418" s="2" t="s">
        <v>660</v>
      </c>
      <c r="D418" s="2" t="s">
        <v>505</v>
      </c>
      <c r="E418" s="2">
        <v>10022</v>
      </c>
      <c r="F418" s="2" t="s">
        <v>661</v>
      </c>
      <c r="G418" s="2" t="s">
        <v>13</v>
      </c>
      <c r="H418" s="2">
        <v>1</v>
      </c>
      <c r="I418" s="2" t="s">
        <v>17</v>
      </c>
      <c r="J418" s="2" t="str">
        <f>VLOOKUP(E418,[1]LL_Hub!$A$1:$B$13,2,FALSE)</f>
        <v>New York</v>
      </c>
      <c r="K418" t="str">
        <f>VLOOKUP(D418,'[2]product Table data'!$A$2:$B$12,2,FALSE)</f>
        <v>Female</v>
      </c>
      <c r="L418" t="str">
        <f>VLOOKUP($D418,'[2]product Table data'!$A$2:$G$12,L$1,FALSE)</f>
        <v>Casual n Light</v>
      </c>
      <c r="M418" t="str">
        <f>VLOOKUP($D418,'[2]product Table data'!$A$2:$G$12,M$1,FALSE)</f>
        <v>Honduras</v>
      </c>
      <c r="N418" t="str">
        <f>VLOOKUP($D418,'[2]product Table data'!$A$2:$G$12,N$1,FALSE)</f>
        <v>Central America</v>
      </c>
      <c r="O418">
        <f>VLOOKUP($D418,'[2]product Table data'!$A$2:$G$12,O$1,FALSE)</f>
        <v>30</v>
      </c>
      <c r="P418">
        <f>VLOOKUP($D418,'[2]product Table data'!$A$2:$G$12,P$1,FALSE)</f>
        <v>45</v>
      </c>
      <c r="Q418">
        <f t="shared" si="30"/>
        <v>15</v>
      </c>
      <c r="R418" t="str">
        <f t="shared" si="31"/>
        <v>-</v>
      </c>
      <c r="S418" t="str">
        <f t="shared" si="32"/>
        <v>Style Risk</v>
      </c>
      <c r="T418" t="str">
        <f t="shared" si="33"/>
        <v>-</v>
      </c>
      <c r="U418" t="str">
        <f t="shared" si="34"/>
        <v>High Value</v>
      </c>
    </row>
    <row r="419" spans="1:21" hidden="1" x14ac:dyDescent="0.2">
      <c r="A419" s="2">
        <v>156</v>
      </c>
      <c r="B419" s="2" t="s">
        <v>9</v>
      </c>
      <c r="C419" s="2" t="s">
        <v>662</v>
      </c>
      <c r="D419" s="2" t="s">
        <v>505</v>
      </c>
      <c r="E419" s="2">
        <v>10022</v>
      </c>
      <c r="F419" s="2" t="s">
        <v>663</v>
      </c>
      <c r="G419" s="2" t="s">
        <v>13</v>
      </c>
      <c r="H419" s="2">
        <v>1</v>
      </c>
      <c r="I419" s="2" t="s">
        <v>17</v>
      </c>
      <c r="J419" s="2" t="str">
        <f>VLOOKUP(E419,[1]LL_Hub!$A$1:$B$13,2,FALSE)</f>
        <v>New York</v>
      </c>
      <c r="K419" t="str">
        <f>VLOOKUP(D419,'[2]product Table data'!$A$2:$B$12,2,FALSE)</f>
        <v>Female</v>
      </c>
      <c r="L419" t="str">
        <f>VLOOKUP($D419,'[2]product Table data'!$A$2:$G$12,L$1,FALSE)</f>
        <v>Casual n Light</v>
      </c>
      <c r="M419" t="str">
        <f>VLOOKUP($D419,'[2]product Table data'!$A$2:$G$12,M$1,FALSE)</f>
        <v>Honduras</v>
      </c>
      <c r="N419" t="str">
        <f>VLOOKUP($D419,'[2]product Table data'!$A$2:$G$12,N$1,FALSE)</f>
        <v>Central America</v>
      </c>
      <c r="O419">
        <f>VLOOKUP($D419,'[2]product Table data'!$A$2:$G$12,O$1,FALSE)</f>
        <v>30</v>
      </c>
      <c r="P419">
        <f>VLOOKUP($D419,'[2]product Table data'!$A$2:$G$12,P$1,FALSE)</f>
        <v>45</v>
      </c>
      <c r="Q419">
        <f t="shared" si="30"/>
        <v>15</v>
      </c>
      <c r="R419" t="str">
        <f t="shared" si="31"/>
        <v>-</v>
      </c>
      <c r="S419" t="str">
        <f t="shared" si="32"/>
        <v>Style Risk</v>
      </c>
      <c r="T419" t="str">
        <f t="shared" si="33"/>
        <v>-</v>
      </c>
      <c r="U419" t="str">
        <f t="shared" si="34"/>
        <v>High Value</v>
      </c>
    </row>
    <row r="420" spans="1:21" hidden="1" x14ac:dyDescent="0.2">
      <c r="A420" s="2">
        <v>157</v>
      </c>
      <c r="B420" s="2" t="s">
        <v>9</v>
      </c>
      <c r="C420" s="2" t="s">
        <v>664</v>
      </c>
      <c r="D420" s="2" t="s">
        <v>505</v>
      </c>
      <c r="E420" s="2">
        <v>10022</v>
      </c>
      <c r="F420" s="2" t="s">
        <v>665</v>
      </c>
      <c r="G420" s="2" t="s">
        <v>13</v>
      </c>
      <c r="H420" s="2">
        <v>1</v>
      </c>
      <c r="I420" s="2" t="s">
        <v>17</v>
      </c>
      <c r="J420" s="2" t="str">
        <f>VLOOKUP(E420,[1]LL_Hub!$A$1:$B$13,2,FALSE)</f>
        <v>New York</v>
      </c>
      <c r="K420" t="str">
        <f>VLOOKUP(D420,'[2]product Table data'!$A$2:$B$12,2,FALSE)</f>
        <v>Female</v>
      </c>
      <c r="L420" t="str">
        <f>VLOOKUP($D420,'[2]product Table data'!$A$2:$G$12,L$1,FALSE)</f>
        <v>Casual n Light</v>
      </c>
      <c r="M420" t="str">
        <f>VLOOKUP($D420,'[2]product Table data'!$A$2:$G$12,M$1,FALSE)</f>
        <v>Honduras</v>
      </c>
      <c r="N420" t="str">
        <f>VLOOKUP($D420,'[2]product Table data'!$A$2:$G$12,N$1,FALSE)</f>
        <v>Central America</v>
      </c>
      <c r="O420">
        <f>VLOOKUP($D420,'[2]product Table data'!$A$2:$G$12,O$1,FALSE)</f>
        <v>30</v>
      </c>
      <c r="P420">
        <f>VLOOKUP($D420,'[2]product Table data'!$A$2:$G$12,P$1,FALSE)</f>
        <v>45</v>
      </c>
      <c r="Q420">
        <f t="shared" si="30"/>
        <v>15</v>
      </c>
      <c r="R420" t="str">
        <f t="shared" si="31"/>
        <v>-</v>
      </c>
      <c r="S420" t="str">
        <f t="shared" si="32"/>
        <v>Style Risk</v>
      </c>
      <c r="T420" t="str">
        <f t="shared" si="33"/>
        <v>-</v>
      </c>
      <c r="U420" t="str">
        <f t="shared" si="34"/>
        <v>High Value</v>
      </c>
    </row>
    <row r="421" spans="1:21" hidden="1" x14ac:dyDescent="0.2">
      <c r="A421" s="2">
        <v>158</v>
      </c>
      <c r="B421" s="2" t="s">
        <v>9</v>
      </c>
      <c r="C421" s="2" t="s">
        <v>666</v>
      </c>
      <c r="D421" s="2" t="s">
        <v>505</v>
      </c>
      <c r="E421" s="2">
        <v>10022</v>
      </c>
      <c r="F421" s="2" t="s">
        <v>667</v>
      </c>
      <c r="G421" s="2" t="s">
        <v>13</v>
      </c>
      <c r="H421" s="2">
        <v>1</v>
      </c>
      <c r="I421" s="2" t="s">
        <v>17</v>
      </c>
      <c r="J421" s="2" t="str">
        <f>VLOOKUP(E421,[1]LL_Hub!$A$1:$B$13,2,FALSE)</f>
        <v>New York</v>
      </c>
      <c r="K421" t="str">
        <f>VLOOKUP(D421,'[2]product Table data'!$A$2:$B$12,2,FALSE)</f>
        <v>Female</v>
      </c>
      <c r="L421" t="str">
        <f>VLOOKUP($D421,'[2]product Table data'!$A$2:$G$12,L$1,FALSE)</f>
        <v>Casual n Light</v>
      </c>
      <c r="M421" t="str">
        <f>VLOOKUP($D421,'[2]product Table data'!$A$2:$G$12,M$1,FALSE)</f>
        <v>Honduras</v>
      </c>
      <c r="N421" t="str">
        <f>VLOOKUP($D421,'[2]product Table data'!$A$2:$G$12,N$1,FALSE)</f>
        <v>Central America</v>
      </c>
      <c r="O421">
        <f>VLOOKUP($D421,'[2]product Table data'!$A$2:$G$12,O$1,FALSE)</f>
        <v>30</v>
      </c>
      <c r="P421">
        <f>VLOOKUP($D421,'[2]product Table data'!$A$2:$G$12,P$1,FALSE)</f>
        <v>45</v>
      </c>
      <c r="Q421">
        <f t="shared" si="30"/>
        <v>15</v>
      </c>
      <c r="R421" t="str">
        <f t="shared" si="31"/>
        <v>-</v>
      </c>
      <c r="S421" t="str">
        <f t="shared" si="32"/>
        <v>Style Risk</v>
      </c>
      <c r="T421" t="str">
        <f t="shared" si="33"/>
        <v>-</v>
      </c>
      <c r="U421" t="str">
        <f t="shared" si="34"/>
        <v>High Value</v>
      </c>
    </row>
    <row r="422" spans="1:21" hidden="1" x14ac:dyDescent="0.2">
      <c r="A422" s="2">
        <v>159</v>
      </c>
      <c r="B422" s="2" t="s">
        <v>9</v>
      </c>
      <c r="C422" s="2" t="s">
        <v>668</v>
      </c>
      <c r="D422" s="2" t="s">
        <v>505</v>
      </c>
      <c r="E422" s="2">
        <v>10022</v>
      </c>
      <c r="F422" s="2" t="s">
        <v>669</v>
      </c>
      <c r="G422" s="2" t="s">
        <v>13</v>
      </c>
      <c r="H422" s="2">
        <v>1</v>
      </c>
      <c r="I422" s="2" t="s">
        <v>17</v>
      </c>
      <c r="J422" s="2" t="str">
        <f>VLOOKUP(E422,[1]LL_Hub!$A$1:$B$13,2,FALSE)</f>
        <v>New York</v>
      </c>
      <c r="K422" t="str">
        <f>VLOOKUP(D422,'[2]product Table data'!$A$2:$B$12,2,FALSE)</f>
        <v>Female</v>
      </c>
      <c r="L422" t="str">
        <f>VLOOKUP($D422,'[2]product Table data'!$A$2:$G$12,L$1,FALSE)</f>
        <v>Casual n Light</v>
      </c>
      <c r="M422" t="str">
        <f>VLOOKUP($D422,'[2]product Table data'!$A$2:$G$12,M$1,FALSE)</f>
        <v>Honduras</v>
      </c>
      <c r="N422" t="str">
        <f>VLOOKUP($D422,'[2]product Table data'!$A$2:$G$12,N$1,FALSE)</f>
        <v>Central America</v>
      </c>
      <c r="O422">
        <f>VLOOKUP($D422,'[2]product Table data'!$A$2:$G$12,O$1,FALSE)</f>
        <v>30</v>
      </c>
      <c r="P422">
        <f>VLOOKUP($D422,'[2]product Table data'!$A$2:$G$12,P$1,FALSE)</f>
        <v>45</v>
      </c>
      <c r="Q422">
        <f t="shared" si="30"/>
        <v>15</v>
      </c>
      <c r="R422" t="str">
        <f t="shared" si="31"/>
        <v>-</v>
      </c>
      <c r="S422" t="str">
        <f t="shared" si="32"/>
        <v>Style Risk</v>
      </c>
      <c r="T422" t="str">
        <f t="shared" si="33"/>
        <v>-</v>
      </c>
      <c r="U422" t="str">
        <f t="shared" si="34"/>
        <v>High Value</v>
      </c>
    </row>
    <row r="423" spans="1:21" hidden="1" x14ac:dyDescent="0.2">
      <c r="A423" s="2">
        <v>160</v>
      </c>
      <c r="B423" s="2" t="s">
        <v>9</v>
      </c>
      <c r="C423" s="2" t="s">
        <v>670</v>
      </c>
      <c r="D423" s="2" t="s">
        <v>505</v>
      </c>
      <c r="E423" s="2">
        <v>10022</v>
      </c>
      <c r="F423" s="2" t="s">
        <v>671</v>
      </c>
      <c r="G423" s="2" t="s">
        <v>13</v>
      </c>
      <c r="H423" s="2">
        <v>1</v>
      </c>
      <c r="I423" s="2" t="s">
        <v>17</v>
      </c>
      <c r="J423" s="2" t="str">
        <f>VLOOKUP(E423,[1]LL_Hub!$A$1:$B$13,2,FALSE)</f>
        <v>New York</v>
      </c>
      <c r="K423" t="str">
        <f>VLOOKUP(D423,'[2]product Table data'!$A$2:$B$12,2,FALSE)</f>
        <v>Female</v>
      </c>
      <c r="L423" t="str">
        <f>VLOOKUP($D423,'[2]product Table data'!$A$2:$G$12,L$1,FALSE)</f>
        <v>Casual n Light</v>
      </c>
      <c r="M423" t="str">
        <f>VLOOKUP($D423,'[2]product Table data'!$A$2:$G$12,M$1,FALSE)</f>
        <v>Honduras</v>
      </c>
      <c r="N423" t="str">
        <f>VLOOKUP($D423,'[2]product Table data'!$A$2:$G$12,N$1,FALSE)</f>
        <v>Central America</v>
      </c>
      <c r="O423">
        <f>VLOOKUP($D423,'[2]product Table data'!$A$2:$G$12,O$1,FALSE)</f>
        <v>30</v>
      </c>
      <c r="P423">
        <f>VLOOKUP($D423,'[2]product Table data'!$A$2:$G$12,P$1,FALSE)</f>
        <v>45</v>
      </c>
      <c r="Q423">
        <f t="shared" si="30"/>
        <v>15</v>
      </c>
      <c r="R423" t="str">
        <f t="shared" si="31"/>
        <v>-</v>
      </c>
      <c r="S423" t="str">
        <f t="shared" si="32"/>
        <v>Style Risk</v>
      </c>
      <c r="T423" t="str">
        <f t="shared" si="33"/>
        <v>-</v>
      </c>
      <c r="U423" t="str">
        <f t="shared" si="34"/>
        <v>High Value</v>
      </c>
    </row>
    <row r="424" spans="1:21" hidden="1" x14ac:dyDescent="0.2">
      <c r="A424" s="2">
        <v>161</v>
      </c>
      <c r="B424" s="2" t="s">
        <v>9</v>
      </c>
      <c r="C424" s="2" t="s">
        <v>672</v>
      </c>
      <c r="D424" s="2" t="s">
        <v>505</v>
      </c>
      <c r="E424" s="2">
        <v>10022</v>
      </c>
      <c r="F424" s="2" t="s">
        <v>673</v>
      </c>
      <c r="G424" s="2" t="s">
        <v>13</v>
      </c>
      <c r="H424" s="2">
        <v>1</v>
      </c>
      <c r="I424" s="2" t="s">
        <v>17</v>
      </c>
      <c r="J424" s="2" t="str">
        <f>VLOOKUP(E424,[1]LL_Hub!$A$1:$B$13,2,FALSE)</f>
        <v>New York</v>
      </c>
      <c r="K424" t="str">
        <f>VLOOKUP(D424,'[2]product Table data'!$A$2:$B$12,2,FALSE)</f>
        <v>Female</v>
      </c>
      <c r="L424" t="str">
        <f>VLOOKUP($D424,'[2]product Table data'!$A$2:$G$12,L$1,FALSE)</f>
        <v>Casual n Light</v>
      </c>
      <c r="M424" t="str">
        <f>VLOOKUP($D424,'[2]product Table data'!$A$2:$G$12,M$1,FALSE)</f>
        <v>Honduras</v>
      </c>
      <c r="N424" t="str">
        <f>VLOOKUP($D424,'[2]product Table data'!$A$2:$G$12,N$1,FALSE)</f>
        <v>Central America</v>
      </c>
      <c r="O424">
        <f>VLOOKUP($D424,'[2]product Table data'!$A$2:$G$12,O$1,FALSE)</f>
        <v>30</v>
      </c>
      <c r="P424">
        <f>VLOOKUP($D424,'[2]product Table data'!$A$2:$G$12,P$1,FALSE)</f>
        <v>45</v>
      </c>
      <c r="Q424">
        <f t="shared" si="30"/>
        <v>15</v>
      </c>
      <c r="R424" t="str">
        <f t="shared" si="31"/>
        <v>-</v>
      </c>
      <c r="S424" t="str">
        <f t="shared" si="32"/>
        <v>Style Risk</v>
      </c>
      <c r="T424" t="str">
        <f t="shared" si="33"/>
        <v>-</v>
      </c>
      <c r="U424" t="str">
        <f t="shared" si="34"/>
        <v>High Value</v>
      </c>
    </row>
    <row r="425" spans="1:21" hidden="1" x14ac:dyDescent="0.2">
      <c r="A425" s="2">
        <v>162</v>
      </c>
      <c r="B425" s="2" t="s">
        <v>9</v>
      </c>
      <c r="C425" s="2" t="s">
        <v>674</v>
      </c>
      <c r="D425" s="2" t="s">
        <v>505</v>
      </c>
      <c r="E425" s="2">
        <v>10022</v>
      </c>
      <c r="F425" s="2" t="s">
        <v>35</v>
      </c>
      <c r="G425" s="2" t="s">
        <v>36</v>
      </c>
      <c r="H425" s="2">
        <v>1</v>
      </c>
      <c r="I425" s="2" t="s">
        <v>17</v>
      </c>
      <c r="J425" s="2" t="str">
        <f>VLOOKUP(E425,[1]LL_Hub!$A$1:$B$13,2,FALSE)</f>
        <v>New York</v>
      </c>
      <c r="K425" t="str">
        <f>VLOOKUP(D425,'[2]product Table data'!$A$2:$B$12,2,FALSE)</f>
        <v>Female</v>
      </c>
      <c r="L425" t="str">
        <f>VLOOKUP($D425,'[2]product Table data'!$A$2:$G$12,L$1,FALSE)</f>
        <v>Casual n Light</v>
      </c>
      <c r="M425" t="str">
        <f>VLOOKUP($D425,'[2]product Table data'!$A$2:$G$12,M$1,FALSE)</f>
        <v>Honduras</v>
      </c>
      <c r="N425" t="str">
        <f>VLOOKUP($D425,'[2]product Table data'!$A$2:$G$12,N$1,FALSE)</f>
        <v>Central America</v>
      </c>
      <c r="O425">
        <f>VLOOKUP($D425,'[2]product Table data'!$A$2:$G$12,O$1,FALSE)</f>
        <v>30</v>
      </c>
      <c r="P425">
        <f>VLOOKUP($D425,'[2]product Table data'!$A$2:$G$12,P$1,FALSE)</f>
        <v>45</v>
      </c>
      <c r="Q425">
        <f t="shared" si="30"/>
        <v>15</v>
      </c>
      <c r="R425" t="str">
        <f t="shared" si="31"/>
        <v>-</v>
      </c>
      <c r="S425" t="str">
        <f t="shared" si="32"/>
        <v>Style Risk</v>
      </c>
      <c r="T425" t="str">
        <f t="shared" si="33"/>
        <v>-</v>
      </c>
      <c r="U425" t="str">
        <f t="shared" si="34"/>
        <v>High Value</v>
      </c>
    </row>
    <row r="426" spans="1:21" hidden="1" x14ac:dyDescent="0.2">
      <c r="A426" s="2">
        <v>163</v>
      </c>
      <c r="B426" s="2" t="s">
        <v>9</v>
      </c>
      <c r="C426" s="2" t="s">
        <v>675</v>
      </c>
      <c r="D426" s="2" t="s">
        <v>505</v>
      </c>
      <c r="E426" s="2">
        <v>10022</v>
      </c>
      <c r="F426" s="2" t="s">
        <v>35</v>
      </c>
      <c r="G426" s="2" t="s">
        <v>36</v>
      </c>
      <c r="H426" s="2">
        <v>1</v>
      </c>
      <c r="I426" s="2" t="s">
        <v>17</v>
      </c>
      <c r="J426" s="2" t="str">
        <f>VLOOKUP(E426,[1]LL_Hub!$A$1:$B$13,2,FALSE)</f>
        <v>New York</v>
      </c>
      <c r="K426" t="str">
        <f>VLOOKUP(D426,'[2]product Table data'!$A$2:$B$12,2,FALSE)</f>
        <v>Female</v>
      </c>
      <c r="L426" t="str">
        <f>VLOOKUP($D426,'[2]product Table data'!$A$2:$G$12,L$1,FALSE)</f>
        <v>Casual n Light</v>
      </c>
      <c r="M426" t="str">
        <f>VLOOKUP($D426,'[2]product Table data'!$A$2:$G$12,M$1,FALSE)</f>
        <v>Honduras</v>
      </c>
      <c r="N426" t="str">
        <f>VLOOKUP($D426,'[2]product Table data'!$A$2:$G$12,N$1,FALSE)</f>
        <v>Central America</v>
      </c>
      <c r="O426">
        <f>VLOOKUP($D426,'[2]product Table data'!$A$2:$G$12,O$1,FALSE)</f>
        <v>30</v>
      </c>
      <c r="P426">
        <f>VLOOKUP($D426,'[2]product Table data'!$A$2:$G$12,P$1,FALSE)</f>
        <v>45</v>
      </c>
      <c r="Q426">
        <f t="shared" si="30"/>
        <v>15</v>
      </c>
      <c r="R426" t="str">
        <f t="shared" si="31"/>
        <v>-</v>
      </c>
      <c r="S426" t="str">
        <f t="shared" si="32"/>
        <v>Style Risk</v>
      </c>
      <c r="T426" t="str">
        <f t="shared" si="33"/>
        <v>-</v>
      </c>
      <c r="U426" t="str">
        <f t="shared" si="34"/>
        <v>High Value</v>
      </c>
    </row>
    <row r="427" spans="1:21" hidden="1" x14ac:dyDescent="0.2">
      <c r="A427" s="2">
        <v>164</v>
      </c>
      <c r="B427" s="2" t="s">
        <v>9</v>
      </c>
      <c r="C427" s="2" t="s">
        <v>676</v>
      </c>
      <c r="D427" s="2" t="s">
        <v>505</v>
      </c>
      <c r="E427" s="2">
        <v>10022</v>
      </c>
      <c r="F427" s="2" t="s">
        <v>35</v>
      </c>
      <c r="G427" s="2" t="s">
        <v>36</v>
      </c>
      <c r="H427" s="2">
        <v>1</v>
      </c>
      <c r="I427" s="2" t="s">
        <v>17</v>
      </c>
      <c r="J427" s="2" t="str">
        <f>VLOOKUP(E427,[1]LL_Hub!$A$1:$B$13,2,FALSE)</f>
        <v>New York</v>
      </c>
      <c r="K427" t="str">
        <f>VLOOKUP(D427,'[2]product Table data'!$A$2:$B$12,2,FALSE)</f>
        <v>Female</v>
      </c>
      <c r="L427" t="str">
        <f>VLOOKUP($D427,'[2]product Table data'!$A$2:$G$12,L$1,FALSE)</f>
        <v>Casual n Light</v>
      </c>
      <c r="M427" t="str">
        <f>VLOOKUP($D427,'[2]product Table data'!$A$2:$G$12,M$1,FALSE)</f>
        <v>Honduras</v>
      </c>
      <c r="N427" t="str">
        <f>VLOOKUP($D427,'[2]product Table data'!$A$2:$G$12,N$1,FALSE)</f>
        <v>Central America</v>
      </c>
      <c r="O427">
        <f>VLOOKUP($D427,'[2]product Table data'!$A$2:$G$12,O$1,FALSE)</f>
        <v>30</v>
      </c>
      <c r="P427">
        <f>VLOOKUP($D427,'[2]product Table data'!$A$2:$G$12,P$1,FALSE)</f>
        <v>45</v>
      </c>
      <c r="Q427">
        <f t="shared" si="30"/>
        <v>15</v>
      </c>
      <c r="R427" t="str">
        <f t="shared" si="31"/>
        <v>-</v>
      </c>
      <c r="S427" t="str">
        <f t="shared" si="32"/>
        <v>Style Risk</v>
      </c>
      <c r="T427" t="str">
        <f t="shared" si="33"/>
        <v>-</v>
      </c>
      <c r="U427" t="str">
        <f t="shared" si="34"/>
        <v>High Value</v>
      </c>
    </row>
    <row r="428" spans="1:21" hidden="1" x14ac:dyDescent="0.2">
      <c r="A428" s="2">
        <v>165</v>
      </c>
      <c r="B428" s="2" t="s">
        <v>9</v>
      </c>
      <c r="C428" s="2" t="s">
        <v>677</v>
      </c>
      <c r="D428" s="2" t="s">
        <v>505</v>
      </c>
      <c r="E428" s="2">
        <v>10022</v>
      </c>
      <c r="F428" s="2" t="s">
        <v>35</v>
      </c>
      <c r="G428" s="2" t="s">
        <v>36</v>
      </c>
      <c r="H428" s="2">
        <v>1</v>
      </c>
      <c r="I428" s="2" t="s">
        <v>17</v>
      </c>
      <c r="J428" s="2" t="str">
        <f>VLOOKUP(E428,[1]LL_Hub!$A$1:$B$13,2,FALSE)</f>
        <v>New York</v>
      </c>
      <c r="K428" t="str">
        <f>VLOOKUP(D428,'[2]product Table data'!$A$2:$B$12,2,FALSE)</f>
        <v>Female</v>
      </c>
      <c r="L428" t="str">
        <f>VLOOKUP($D428,'[2]product Table data'!$A$2:$G$12,L$1,FALSE)</f>
        <v>Casual n Light</v>
      </c>
      <c r="M428" t="str">
        <f>VLOOKUP($D428,'[2]product Table data'!$A$2:$G$12,M$1,FALSE)</f>
        <v>Honduras</v>
      </c>
      <c r="N428" t="str">
        <f>VLOOKUP($D428,'[2]product Table data'!$A$2:$G$12,N$1,FALSE)</f>
        <v>Central America</v>
      </c>
      <c r="O428">
        <f>VLOOKUP($D428,'[2]product Table data'!$A$2:$G$12,O$1,FALSE)</f>
        <v>30</v>
      </c>
      <c r="P428">
        <f>VLOOKUP($D428,'[2]product Table data'!$A$2:$G$12,P$1,FALSE)</f>
        <v>45</v>
      </c>
      <c r="Q428">
        <f t="shared" si="30"/>
        <v>15</v>
      </c>
      <c r="R428" t="str">
        <f t="shared" si="31"/>
        <v>-</v>
      </c>
      <c r="S428" t="str">
        <f t="shared" si="32"/>
        <v>Style Risk</v>
      </c>
      <c r="T428" t="str">
        <f t="shared" si="33"/>
        <v>-</v>
      </c>
      <c r="U428" t="str">
        <f t="shared" si="34"/>
        <v>High Value</v>
      </c>
    </row>
    <row r="429" spans="1:21" hidden="1" x14ac:dyDescent="0.2">
      <c r="A429" s="2">
        <v>166</v>
      </c>
      <c r="B429" s="2" t="s">
        <v>9</v>
      </c>
      <c r="C429" s="2" t="s">
        <v>678</v>
      </c>
      <c r="D429" s="2" t="s">
        <v>505</v>
      </c>
      <c r="E429" s="2">
        <v>10022</v>
      </c>
      <c r="F429" s="2" t="s">
        <v>35</v>
      </c>
      <c r="G429" s="2" t="s">
        <v>36</v>
      </c>
      <c r="H429" s="2">
        <v>1</v>
      </c>
      <c r="I429" s="2" t="s">
        <v>17</v>
      </c>
      <c r="J429" s="2" t="str">
        <f>VLOOKUP(E429,[1]LL_Hub!$A$1:$B$13,2,FALSE)</f>
        <v>New York</v>
      </c>
      <c r="K429" t="str">
        <f>VLOOKUP(D429,'[2]product Table data'!$A$2:$B$12,2,FALSE)</f>
        <v>Female</v>
      </c>
      <c r="L429" t="str">
        <f>VLOOKUP($D429,'[2]product Table data'!$A$2:$G$12,L$1,FALSE)</f>
        <v>Casual n Light</v>
      </c>
      <c r="M429" t="str">
        <f>VLOOKUP($D429,'[2]product Table data'!$A$2:$G$12,M$1,FALSE)</f>
        <v>Honduras</v>
      </c>
      <c r="N429" t="str">
        <f>VLOOKUP($D429,'[2]product Table data'!$A$2:$G$12,N$1,FALSE)</f>
        <v>Central America</v>
      </c>
      <c r="O429">
        <f>VLOOKUP($D429,'[2]product Table data'!$A$2:$G$12,O$1,FALSE)</f>
        <v>30</v>
      </c>
      <c r="P429">
        <f>VLOOKUP($D429,'[2]product Table data'!$A$2:$G$12,P$1,FALSE)</f>
        <v>45</v>
      </c>
      <c r="Q429">
        <f t="shared" si="30"/>
        <v>15</v>
      </c>
      <c r="R429" t="str">
        <f t="shared" si="31"/>
        <v>-</v>
      </c>
      <c r="S429" t="str">
        <f t="shared" si="32"/>
        <v>Style Risk</v>
      </c>
      <c r="T429" t="str">
        <f t="shared" si="33"/>
        <v>-</v>
      </c>
      <c r="U429" t="str">
        <f t="shared" si="34"/>
        <v>High Value</v>
      </c>
    </row>
    <row r="430" spans="1:21" hidden="1" x14ac:dyDescent="0.2">
      <c r="A430" s="2">
        <v>167</v>
      </c>
      <c r="B430" s="2" t="s">
        <v>9</v>
      </c>
      <c r="C430" s="2" t="s">
        <v>679</v>
      </c>
      <c r="D430" s="2" t="s">
        <v>505</v>
      </c>
      <c r="E430" s="2">
        <v>10022</v>
      </c>
      <c r="F430" s="2" t="s">
        <v>35</v>
      </c>
      <c r="G430" s="2" t="s">
        <v>36</v>
      </c>
      <c r="H430" s="2">
        <v>1</v>
      </c>
      <c r="I430" s="2" t="s">
        <v>17</v>
      </c>
      <c r="J430" s="2" t="str">
        <f>VLOOKUP(E430,[1]LL_Hub!$A$1:$B$13,2,FALSE)</f>
        <v>New York</v>
      </c>
      <c r="K430" t="str">
        <f>VLOOKUP(D430,'[2]product Table data'!$A$2:$B$12,2,FALSE)</f>
        <v>Female</v>
      </c>
      <c r="L430" t="str">
        <f>VLOOKUP($D430,'[2]product Table data'!$A$2:$G$12,L$1,FALSE)</f>
        <v>Casual n Light</v>
      </c>
      <c r="M430" t="str">
        <f>VLOOKUP($D430,'[2]product Table data'!$A$2:$G$12,M$1,FALSE)</f>
        <v>Honduras</v>
      </c>
      <c r="N430" t="str">
        <f>VLOOKUP($D430,'[2]product Table data'!$A$2:$G$12,N$1,FALSE)</f>
        <v>Central America</v>
      </c>
      <c r="O430">
        <f>VLOOKUP($D430,'[2]product Table data'!$A$2:$G$12,O$1,FALSE)</f>
        <v>30</v>
      </c>
      <c r="P430">
        <f>VLOOKUP($D430,'[2]product Table data'!$A$2:$G$12,P$1,FALSE)</f>
        <v>45</v>
      </c>
      <c r="Q430">
        <f t="shared" si="30"/>
        <v>15</v>
      </c>
      <c r="R430" t="str">
        <f t="shared" si="31"/>
        <v>-</v>
      </c>
      <c r="S430" t="str">
        <f t="shared" si="32"/>
        <v>Style Risk</v>
      </c>
      <c r="T430" t="str">
        <f t="shared" si="33"/>
        <v>-</v>
      </c>
      <c r="U430" t="str">
        <f t="shared" si="34"/>
        <v>High Value</v>
      </c>
    </row>
    <row r="431" spans="1:21" hidden="1" x14ac:dyDescent="0.2">
      <c r="A431" s="2">
        <v>168</v>
      </c>
      <c r="B431" s="2" t="s">
        <v>9</v>
      </c>
      <c r="C431" s="2" t="s">
        <v>680</v>
      </c>
      <c r="D431" s="2" t="s">
        <v>505</v>
      </c>
      <c r="E431" s="2">
        <v>10022</v>
      </c>
      <c r="F431" s="2" t="s">
        <v>35</v>
      </c>
      <c r="G431" s="2" t="s">
        <v>36</v>
      </c>
      <c r="H431" s="2">
        <v>1</v>
      </c>
      <c r="I431" s="2" t="s">
        <v>17</v>
      </c>
      <c r="J431" s="2" t="str">
        <f>VLOOKUP(E431,[1]LL_Hub!$A$1:$B$13,2,FALSE)</f>
        <v>New York</v>
      </c>
      <c r="K431" t="str">
        <f>VLOOKUP(D431,'[2]product Table data'!$A$2:$B$12,2,FALSE)</f>
        <v>Female</v>
      </c>
      <c r="L431" t="str">
        <f>VLOOKUP($D431,'[2]product Table data'!$A$2:$G$12,L$1,FALSE)</f>
        <v>Casual n Light</v>
      </c>
      <c r="M431" t="str">
        <f>VLOOKUP($D431,'[2]product Table data'!$A$2:$G$12,M$1,FALSE)</f>
        <v>Honduras</v>
      </c>
      <c r="N431" t="str">
        <f>VLOOKUP($D431,'[2]product Table data'!$A$2:$G$12,N$1,FALSE)</f>
        <v>Central America</v>
      </c>
      <c r="O431">
        <f>VLOOKUP($D431,'[2]product Table data'!$A$2:$G$12,O$1,FALSE)</f>
        <v>30</v>
      </c>
      <c r="P431">
        <f>VLOOKUP($D431,'[2]product Table data'!$A$2:$G$12,P$1,FALSE)</f>
        <v>45</v>
      </c>
      <c r="Q431">
        <f t="shared" si="30"/>
        <v>15</v>
      </c>
      <c r="R431" t="str">
        <f t="shared" si="31"/>
        <v>-</v>
      </c>
      <c r="S431" t="str">
        <f t="shared" si="32"/>
        <v>Style Risk</v>
      </c>
      <c r="T431" t="str">
        <f t="shared" si="33"/>
        <v>-</v>
      </c>
      <c r="U431" t="str">
        <f t="shared" si="34"/>
        <v>High Value</v>
      </c>
    </row>
    <row r="432" spans="1:21" hidden="1" x14ac:dyDescent="0.2">
      <c r="A432" s="2">
        <v>169</v>
      </c>
      <c r="B432" s="2" t="s">
        <v>9</v>
      </c>
      <c r="C432" s="2" t="s">
        <v>681</v>
      </c>
      <c r="D432" s="2" t="s">
        <v>505</v>
      </c>
      <c r="E432" s="2">
        <v>10022</v>
      </c>
      <c r="F432" s="2" t="s">
        <v>35</v>
      </c>
      <c r="G432" s="2" t="s">
        <v>36</v>
      </c>
      <c r="H432" s="2">
        <v>1</v>
      </c>
      <c r="I432" s="2" t="s">
        <v>17</v>
      </c>
      <c r="J432" s="2" t="str">
        <f>VLOOKUP(E432,[1]LL_Hub!$A$1:$B$13,2,FALSE)</f>
        <v>New York</v>
      </c>
      <c r="K432" t="str">
        <f>VLOOKUP(D432,'[2]product Table data'!$A$2:$B$12,2,FALSE)</f>
        <v>Female</v>
      </c>
      <c r="L432" t="str">
        <f>VLOOKUP($D432,'[2]product Table data'!$A$2:$G$12,L$1,FALSE)</f>
        <v>Casual n Light</v>
      </c>
      <c r="M432" t="str">
        <f>VLOOKUP($D432,'[2]product Table data'!$A$2:$G$12,M$1,FALSE)</f>
        <v>Honduras</v>
      </c>
      <c r="N432" t="str">
        <f>VLOOKUP($D432,'[2]product Table data'!$A$2:$G$12,N$1,FALSE)</f>
        <v>Central America</v>
      </c>
      <c r="O432">
        <f>VLOOKUP($D432,'[2]product Table data'!$A$2:$G$12,O$1,FALSE)</f>
        <v>30</v>
      </c>
      <c r="P432">
        <f>VLOOKUP($D432,'[2]product Table data'!$A$2:$G$12,P$1,FALSE)</f>
        <v>45</v>
      </c>
      <c r="Q432">
        <f t="shared" si="30"/>
        <v>15</v>
      </c>
      <c r="R432" t="str">
        <f t="shared" si="31"/>
        <v>-</v>
      </c>
      <c r="S432" t="str">
        <f t="shared" si="32"/>
        <v>Style Risk</v>
      </c>
      <c r="T432" t="str">
        <f t="shared" si="33"/>
        <v>-</v>
      </c>
      <c r="U432" t="str">
        <f t="shared" si="34"/>
        <v>High Value</v>
      </c>
    </row>
    <row r="433" spans="1:21" hidden="1" x14ac:dyDescent="0.2">
      <c r="A433" s="2">
        <v>170</v>
      </c>
      <c r="B433" s="2" t="s">
        <v>9</v>
      </c>
      <c r="C433" s="2" t="s">
        <v>682</v>
      </c>
      <c r="D433" s="2" t="s">
        <v>505</v>
      </c>
      <c r="E433" s="2">
        <v>10022</v>
      </c>
      <c r="F433" s="2" t="s">
        <v>35</v>
      </c>
      <c r="G433" s="2" t="s">
        <v>36</v>
      </c>
      <c r="H433" s="2">
        <v>1</v>
      </c>
      <c r="I433" s="2" t="s">
        <v>17</v>
      </c>
      <c r="J433" s="2" t="str">
        <f>VLOOKUP(E433,[1]LL_Hub!$A$1:$B$13,2,FALSE)</f>
        <v>New York</v>
      </c>
      <c r="K433" t="str">
        <f>VLOOKUP(D433,'[2]product Table data'!$A$2:$B$12,2,FALSE)</f>
        <v>Female</v>
      </c>
      <c r="L433" t="str">
        <f>VLOOKUP($D433,'[2]product Table data'!$A$2:$G$12,L$1,FALSE)</f>
        <v>Casual n Light</v>
      </c>
      <c r="M433" t="str">
        <f>VLOOKUP($D433,'[2]product Table data'!$A$2:$G$12,M$1,FALSE)</f>
        <v>Honduras</v>
      </c>
      <c r="N433" t="str">
        <f>VLOOKUP($D433,'[2]product Table data'!$A$2:$G$12,N$1,FALSE)</f>
        <v>Central America</v>
      </c>
      <c r="O433">
        <f>VLOOKUP($D433,'[2]product Table data'!$A$2:$G$12,O$1,FALSE)</f>
        <v>30</v>
      </c>
      <c r="P433">
        <f>VLOOKUP($D433,'[2]product Table data'!$A$2:$G$12,P$1,FALSE)</f>
        <v>45</v>
      </c>
      <c r="Q433">
        <f t="shared" si="30"/>
        <v>15</v>
      </c>
      <c r="R433" t="str">
        <f t="shared" si="31"/>
        <v>-</v>
      </c>
      <c r="S433" t="str">
        <f t="shared" si="32"/>
        <v>Style Risk</v>
      </c>
      <c r="T433" t="str">
        <f t="shared" si="33"/>
        <v>-</v>
      </c>
      <c r="U433" t="str">
        <f t="shared" si="34"/>
        <v>High Value</v>
      </c>
    </row>
    <row r="434" spans="1:21" hidden="1" x14ac:dyDescent="0.2">
      <c r="A434" s="2">
        <v>177</v>
      </c>
      <c r="B434" s="2" t="s">
        <v>9</v>
      </c>
      <c r="C434" s="2" t="s">
        <v>683</v>
      </c>
      <c r="D434" s="2" t="s">
        <v>505</v>
      </c>
      <c r="E434" s="2">
        <v>10022</v>
      </c>
      <c r="F434" s="2" t="s">
        <v>35</v>
      </c>
      <c r="G434" s="2" t="s">
        <v>36</v>
      </c>
      <c r="H434" s="2">
        <v>1</v>
      </c>
      <c r="I434" s="2" t="s">
        <v>17</v>
      </c>
      <c r="J434" s="2" t="str">
        <f>VLOOKUP(E434,[1]LL_Hub!$A$1:$B$13,2,FALSE)</f>
        <v>New York</v>
      </c>
      <c r="K434" t="str">
        <f>VLOOKUP(D434,'[2]product Table data'!$A$2:$B$12,2,FALSE)</f>
        <v>Female</v>
      </c>
      <c r="L434" t="str">
        <f>VLOOKUP($D434,'[2]product Table data'!$A$2:$G$12,L$1,FALSE)</f>
        <v>Casual n Light</v>
      </c>
      <c r="M434" t="str">
        <f>VLOOKUP($D434,'[2]product Table data'!$A$2:$G$12,M$1,FALSE)</f>
        <v>Honduras</v>
      </c>
      <c r="N434" t="str">
        <f>VLOOKUP($D434,'[2]product Table data'!$A$2:$G$12,N$1,FALSE)</f>
        <v>Central America</v>
      </c>
      <c r="O434">
        <f>VLOOKUP($D434,'[2]product Table data'!$A$2:$G$12,O$1,FALSE)</f>
        <v>30</v>
      </c>
      <c r="P434">
        <f>VLOOKUP($D434,'[2]product Table data'!$A$2:$G$12,P$1,FALSE)</f>
        <v>45</v>
      </c>
      <c r="Q434">
        <f t="shared" si="30"/>
        <v>15</v>
      </c>
      <c r="R434" t="str">
        <f t="shared" si="31"/>
        <v>-</v>
      </c>
      <c r="S434" t="str">
        <f t="shared" si="32"/>
        <v>Style Risk</v>
      </c>
      <c r="T434" t="str">
        <f t="shared" si="33"/>
        <v>-</v>
      </c>
      <c r="U434" t="str">
        <f t="shared" si="34"/>
        <v>High Value</v>
      </c>
    </row>
    <row r="435" spans="1:21" hidden="1" x14ac:dyDescent="0.2">
      <c r="A435" s="2">
        <v>178</v>
      </c>
      <c r="B435" s="2" t="s">
        <v>9</v>
      </c>
      <c r="C435" s="2" t="s">
        <v>684</v>
      </c>
      <c r="D435" s="2" t="s">
        <v>505</v>
      </c>
      <c r="E435" s="2">
        <v>10022</v>
      </c>
      <c r="F435" s="2" t="s">
        <v>35</v>
      </c>
      <c r="G435" s="2" t="s">
        <v>36</v>
      </c>
      <c r="H435" s="2">
        <v>1</v>
      </c>
      <c r="I435" s="2" t="s">
        <v>17</v>
      </c>
      <c r="J435" s="2" t="str">
        <f>VLOOKUP(E435,[1]LL_Hub!$A$1:$B$13,2,FALSE)</f>
        <v>New York</v>
      </c>
      <c r="K435" t="str">
        <f>VLOOKUP(D435,'[2]product Table data'!$A$2:$B$12,2,FALSE)</f>
        <v>Female</v>
      </c>
      <c r="L435" t="str">
        <f>VLOOKUP($D435,'[2]product Table data'!$A$2:$G$12,L$1,FALSE)</f>
        <v>Casual n Light</v>
      </c>
      <c r="M435" t="str">
        <f>VLOOKUP($D435,'[2]product Table data'!$A$2:$G$12,M$1,FALSE)</f>
        <v>Honduras</v>
      </c>
      <c r="N435" t="str">
        <f>VLOOKUP($D435,'[2]product Table data'!$A$2:$G$12,N$1,FALSE)</f>
        <v>Central America</v>
      </c>
      <c r="O435">
        <f>VLOOKUP($D435,'[2]product Table data'!$A$2:$G$12,O$1,FALSE)</f>
        <v>30</v>
      </c>
      <c r="P435">
        <f>VLOOKUP($D435,'[2]product Table data'!$A$2:$G$12,P$1,FALSE)</f>
        <v>45</v>
      </c>
      <c r="Q435">
        <f t="shared" si="30"/>
        <v>15</v>
      </c>
      <c r="R435" t="str">
        <f t="shared" si="31"/>
        <v>-</v>
      </c>
      <c r="S435" t="str">
        <f t="shared" si="32"/>
        <v>Style Risk</v>
      </c>
      <c r="T435" t="str">
        <f t="shared" si="33"/>
        <v>-</v>
      </c>
      <c r="U435" t="str">
        <f t="shared" si="34"/>
        <v>High Value</v>
      </c>
    </row>
    <row r="436" spans="1:21" hidden="1" x14ac:dyDescent="0.2">
      <c r="A436" s="2">
        <v>180</v>
      </c>
      <c r="B436" s="2" t="s">
        <v>9</v>
      </c>
      <c r="C436" s="2" t="s">
        <v>685</v>
      </c>
      <c r="D436" s="2" t="s">
        <v>505</v>
      </c>
      <c r="E436" s="2">
        <v>10022</v>
      </c>
      <c r="F436" s="2" t="s">
        <v>35</v>
      </c>
      <c r="G436" s="2" t="s">
        <v>36</v>
      </c>
      <c r="H436" s="2">
        <v>1</v>
      </c>
      <c r="I436" s="2" t="s">
        <v>17</v>
      </c>
      <c r="J436" s="2" t="str">
        <f>VLOOKUP(E436,[1]LL_Hub!$A$1:$B$13,2,FALSE)</f>
        <v>New York</v>
      </c>
      <c r="K436" t="str">
        <f>VLOOKUP(D436,'[2]product Table data'!$A$2:$B$12,2,FALSE)</f>
        <v>Female</v>
      </c>
      <c r="L436" t="str">
        <f>VLOOKUP($D436,'[2]product Table data'!$A$2:$G$12,L$1,FALSE)</f>
        <v>Casual n Light</v>
      </c>
      <c r="M436" t="str">
        <f>VLOOKUP($D436,'[2]product Table data'!$A$2:$G$12,M$1,FALSE)</f>
        <v>Honduras</v>
      </c>
      <c r="N436" t="str">
        <f>VLOOKUP($D436,'[2]product Table data'!$A$2:$G$12,N$1,FALSE)</f>
        <v>Central America</v>
      </c>
      <c r="O436">
        <f>VLOOKUP($D436,'[2]product Table data'!$A$2:$G$12,O$1,FALSE)</f>
        <v>30</v>
      </c>
      <c r="P436">
        <f>VLOOKUP($D436,'[2]product Table data'!$A$2:$G$12,P$1,FALSE)</f>
        <v>45</v>
      </c>
      <c r="Q436">
        <f t="shared" si="30"/>
        <v>15</v>
      </c>
      <c r="R436" t="str">
        <f t="shared" si="31"/>
        <v>-</v>
      </c>
      <c r="S436" t="str">
        <f t="shared" si="32"/>
        <v>Style Risk</v>
      </c>
      <c r="T436" t="str">
        <f t="shared" si="33"/>
        <v>-</v>
      </c>
      <c r="U436" t="str">
        <f t="shared" si="34"/>
        <v>High Value</v>
      </c>
    </row>
    <row r="437" spans="1:21" hidden="1" x14ac:dyDescent="0.2">
      <c r="A437" s="2">
        <v>181</v>
      </c>
      <c r="B437" s="2" t="s">
        <v>9</v>
      </c>
      <c r="C437" s="2" t="s">
        <v>686</v>
      </c>
      <c r="D437" s="2" t="s">
        <v>558</v>
      </c>
      <c r="E437" s="2">
        <v>10022</v>
      </c>
      <c r="F437" s="2" t="s">
        <v>38</v>
      </c>
      <c r="G437" s="2" t="s">
        <v>36</v>
      </c>
      <c r="H437" s="2">
        <v>1</v>
      </c>
      <c r="I437" s="2" t="s">
        <v>39</v>
      </c>
      <c r="J437" s="2" t="str">
        <f>VLOOKUP(E437,[1]LL_Hub!$A$1:$B$13,2,FALSE)</f>
        <v>New York</v>
      </c>
      <c r="K437" t="str">
        <f>VLOOKUP(D437,'[2]product Table data'!$A$2:$B$12,2,FALSE)</f>
        <v>Female</v>
      </c>
      <c r="L437" t="str">
        <f>VLOOKUP($D437,'[2]product Table data'!$A$2:$G$12,L$1,FALSE)</f>
        <v>Fancy Sheek</v>
      </c>
      <c r="M437" t="str">
        <f>VLOOKUP($D437,'[2]product Table data'!$A$2:$G$12,M$1,FALSE)</f>
        <v>Afghanistan</v>
      </c>
      <c r="N437" t="str">
        <f>VLOOKUP($D437,'[2]product Table data'!$A$2:$G$12,N$1,FALSE)</f>
        <v>Middle East</v>
      </c>
      <c r="O437">
        <f>VLOOKUP($D437,'[2]product Table data'!$A$2:$G$12,O$1,FALSE)</f>
        <v>150</v>
      </c>
      <c r="P437">
        <f>VLOOKUP($D437,'[2]product Table data'!$A$2:$G$12,P$1,FALSE)</f>
        <v>75</v>
      </c>
      <c r="Q437">
        <f t="shared" si="30"/>
        <v>-75</v>
      </c>
      <c r="R437" t="str">
        <f t="shared" si="31"/>
        <v>-</v>
      </c>
      <c r="S437" t="str">
        <f t="shared" si="32"/>
        <v>Style Risk</v>
      </c>
      <c r="T437" t="str">
        <f t="shared" si="33"/>
        <v>-</v>
      </c>
      <c r="U437" t="str">
        <f t="shared" si="34"/>
        <v>Low Value</v>
      </c>
    </row>
    <row r="438" spans="1:21" hidden="1" x14ac:dyDescent="0.2">
      <c r="A438" s="2">
        <v>182</v>
      </c>
      <c r="B438" s="2" t="s">
        <v>9</v>
      </c>
      <c r="C438" s="2" t="s">
        <v>687</v>
      </c>
      <c r="D438" s="2" t="s">
        <v>505</v>
      </c>
      <c r="E438" s="2">
        <v>10022</v>
      </c>
      <c r="F438" s="2" t="s">
        <v>35</v>
      </c>
      <c r="G438" s="2" t="s">
        <v>36</v>
      </c>
      <c r="H438" s="2">
        <v>1</v>
      </c>
      <c r="I438" s="2" t="s">
        <v>17</v>
      </c>
      <c r="J438" s="2" t="str">
        <f>VLOOKUP(E438,[1]LL_Hub!$A$1:$B$13,2,FALSE)</f>
        <v>New York</v>
      </c>
      <c r="K438" t="str">
        <f>VLOOKUP(D438,'[2]product Table data'!$A$2:$B$12,2,FALSE)</f>
        <v>Female</v>
      </c>
      <c r="L438" t="str">
        <f>VLOOKUP($D438,'[2]product Table data'!$A$2:$G$12,L$1,FALSE)</f>
        <v>Casual n Light</v>
      </c>
      <c r="M438" t="str">
        <f>VLOOKUP($D438,'[2]product Table data'!$A$2:$G$12,M$1,FALSE)</f>
        <v>Honduras</v>
      </c>
      <c r="N438" t="str">
        <f>VLOOKUP($D438,'[2]product Table data'!$A$2:$G$12,N$1,FALSE)</f>
        <v>Central America</v>
      </c>
      <c r="O438">
        <f>VLOOKUP($D438,'[2]product Table data'!$A$2:$G$12,O$1,FALSE)</f>
        <v>30</v>
      </c>
      <c r="P438">
        <f>VLOOKUP($D438,'[2]product Table data'!$A$2:$G$12,P$1,FALSE)</f>
        <v>45</v>
      </c>
      <c r="Q438">
        <f t="shared" si="30"/>
        <v>15</v>
      </c>
      <c r="R438" t="str">
        <f t="shared" si="31"/>
        <v>-</v>
      </c>
      <c r="S438" t="str">
        <f t="shared" si="32"/>
        <v>Style Risk</v>
      </c>
      <c r="T438" t="str">
        <f t="shared" si="33"/>
        <v>-</v>
      </c>
      <c r="U438" t="str">
        <f t="shared" si="34"/>
        <v>High Value</v>
      </c>
    </row>
    <row r="439" spans="1:21" hidden="1" x14ac:dyDescent="0.2">
      <c r="A439" s="2">
        <v>183</v>
      </c>
      <c r="B439" s="2" t="s">
        <v>9</v>
      </c>
      <c r="C439" s="2" t="s">
        <v>688</v>
      </c>
      <c r="D439" s="2" t="s">
        <v>505</v>
      </c>
      <c r="E439" s="2">
        <v>10022</v>
      </c>
      <c r="F439" s="2" t="s">
        <v>35</v>
      </c>
      <c r="G439" s="2" t="s">
        <v>36</v>
      </c>
      <c r="H439" s="2">
        <v>1</v>
      </c>
      <c r="I439" s="2" t="s">
        <v>17</v>
      </c>
      <c r="J439" s="2" t="str">
        <f>VLOOKUP(E439,[1]LL_Hub!$A$1:$B$13,2,FALSE)</f>
        <v>New York</v>
      </c>
      <c r="K439" t="str">
        <f>VLOOKUP(D439,'[2]product Table data'!$A$2:$B$12,2,FALSE)</f>
        <v>Female</v>
      </c>
      <c r="L439" t="str">
        <f>VLOOKUP($D439,'[2]product Table data'!$A$2:$G$12,L$1,FALSE)</f>
        <v>Casual n Light</v>
      </c>
      <c r="M439" t="str">
        <f>VLOOKUP($D439,'[2]product Table data'!$A$2:$G$12,M$1,FALSE)</f>
        <v>Honduras</v>
      </c>
      <c r="N439" t="str">
        <f>VLOOKUP($D439,'[2]product Table data'!$A$2:$G$12,N$1,FALSE)</f>
        <v>Central America</v>
      </c>
      <c r="O439">
        <f>VLOOKUP($D439,'[2]product Table data'!$A$2:$G$12,O$1,FALSE)</f>
        <v>30</v>
      </c>
      <c r="P439">
        <f>VLOOKUP($D439,'[2]product Table data'!$A$2:$G$12,P$1,FALSE)</f>
        <v>45</v>
      </c>
      <c r="Q439">
        <f t="shared" si="30"/>
        <v>15</v>
      </c>
      <c r="R439" t="str">
        <f t="shared" si="31"/>
        <v>-</v>
      </c>
      <c r="S439" t="str">
        <f t="shared" si="32"/>
        <v>Style Risk</v>
      </c>
      <c r="T439" t="str">
        <f t="shared" si="33"/>
        <v>-</v>
      </c>
      <c r="U439" t="str">
        <f t="shared" si="34"/>
        <v>High Value</v>
      </c>
    </row>
    <row r="440" spans="1:21" hidden="1" x14ac:dyDescent="0.2">
      <c r="A440" s="2">
        <v>184</v>
      </c>
      <c r="B440" s="2" t="s">
        <v>9</v>
      </c>
      <c r="C440" s="2" t="s">
        <v>689</v>
      </c>
      <c r="D440" s="2" t="s">
        <v>505</v>
      </c>
      <c r="E440" s="2">
        <v>10022</v>
      </c>
      <c r="F440" s="2" t="s">
        <v>35</v>
      </c>
      <c r="G440" s="2" t="s">
        <v>36</v>
      </c>
      <c r="H440" s="2">
        <v>1</v>
      </c>
      <c r="I440" s="2" t="s">
        <v>17</v>
      </c>
      <c r="J440" s="2" t="str">
        <f>VLOOKUP(E440,[1]LL_Hub!$A$1:$B$13,2,FALSE)</f>
        <v>New York</v>
      </c>
      <c r="K440" t="str">
        <f>VLOOKUP(D440,'[2]product Table data'!$A$2:$B$12,2,FALSE)</f>
        <v>Female</v>
      </c>
      <c r="L440" t="str">
        <f>VLOOKUP($D440,'[2]product Table data'!$A$2:$G$12,L$1,FALSE)</f>
        <v>Casual n Light</v>
      </c>
      <c r="M440" t="str">
        <f>VLOOKUP($D440,'[2]product Table data'!$A$2:$G$12,M$1,FALSE)</f>
        <v>Honduras</v>
      </c>
      <c r="N440" t="str">
        <f>VLOOKUP($D440,'[2]product Table data'!$A$2:$G$12,N$1,FALSE)</f>
        <v>Central America</v>
      </c>
      <c r="O440">
        <f>VLOOKUP($D440,'[2]product Table data'!$A$2:$G$12,O$1,FALSE)</f>
        <v>30</v>
      </c>
      <c r="P440">
        <f>VLOOKUP($D440,'[2]product Table data'!$A$2:$G$12,P$1,FALSE)</f>
        <v>45</v>
      </c>
      <c r="Q440">
        <f t="shared" si="30"/>
        <v>15</v>
      </c>
      <c r="R440" t="str">
        <f t="shared" si="31"/>
        <v>-</v>
      </c>
      <c r="S440" t="str">
        <f t="shared" si="32"/>
        <v>Style Risk</v>
      </c>
      <c r="T440" t="str">
        <f t="shared" si="33"/>
        <v>-</v>
      </c>
      <c r="U440" t="str">
        <f t="shared" si="34"/>
        <v>High Value</v>
      </c>
    </row>
    <row r="441" spans="1:21" hidden="1" x14ac:dyDescent="0.2">
      <c r="A441" s="2">
        <v>185</v>
      </c>
      <c r="B441" s="2" t="s">
        <v>9</v>
      </c>
      <c r="C441" s="2" t="s">
        <v>690</v>
      </c>
      <c r="D441" s="2" t="s">
        <v>505</v>
      </c>
      <c r="E441" s="2">
        <v>10022</v>
      </c>
      <c r="F441" s="2" t="s">
        <v>35</v>
      </c>
      <c r="G441" s="2" t="s">
        <v>36</v>
      </c>
      <c r="H441" s="2">
        <v>1</v>
      </c>
      <c r="I441" s="2" t="s">
        <v>17</v>
      </c>
      <c r="J441" s="2" t="str">
        <f>VLOOKUP(E441,[1]LL_Hub!$A$1:$B$13,2,FALSE)</f>
        <v>New York</v>
      </c>
      <c r="K441" t="str">
        <f>VLOOKUP(D441,'[2]product Table data'!$A$2:$B$12,2,FALSE)</f>
        <v>Female</v>
      </c>
      <c r="L441" t="str">
        <f>VLOOKUP($D441,'[2]product Table data'!$A$2:$G$12,L$1,FALSE)</f>
        <v>Casual n Light</v>
      </c>
      <c r="M441" t="str">
        <f>VLOOKUP($D441,'[2]product Table data'!$A$2:$G$12,M$1,FALSE)</f>
        <v>Honduras</v>
      </c>
      <c r="N441" t="str">
        <f>VLOOKUP($D441,'[2]product Table data'!$A$2:$G$12,N$1,FALSE)</f>
        <v>Central America</v>
      </c>
      <c r="O441">
        <f>VLOOKUP($D441,'[2]product Table data'!$A$2:$G$12,O$1,FALSE)</f>
        <v>30</v>
      </c>
      <c r="P441">
        <f>VLOOKUP($D441,'[2]product Table data'!$A$2:$G$12,P$1,FALSE)</f>
        <v>45</v>
      </c>
      <c r="Q441">
        <f t="shared" si="30"/>
        <v>15</v>
      </c>
      <c r="R441" t="str">
        <f t="shared" si="31"/>
        <v>-</v>
      </c>
      <c r="S441" t="str">
        <f t="shared" si="32"/>
        <v>Style Risk</v>
      </c>
      <c r="T441" t="str">
        <f t="shared" si="33"/>
        <v>-</v>
      </c>
      <c r="U441" t="str">
        <f t="shared" si="34"/>
        <v>High Value</v>
      </c>
    </row>
    <row r="442" spans="1:21" hidden="1" x14ac:dyDescent="0.2">
      <c r="A442" s="2">
        <v>186</v>
      </c>
      <c r="B442" s="2" t="s">
        <v>9</v>
      </c>
      <c r="C442" s="2" t="s">
        <v>691</v>
      </c>
      <c r="D442" s="2" t="s">
        <v>505</v>
      </c>
      <c r="E442" s="2">
        <v>10022</v>
      </c>
      <c r="F442" s="2" t="s">
        <v>35</v>
      </c>
      <c r="G442" s="2" t="s">
        <v>36</v>
      </c>
      <c r="H442" s="2">
        <v>1</v>
      </c>
      <c r="I442" s="2" t="s">
        <v>17</v>
      </c>
      <c r="J442" s="2" t="str">
        <f>VLOOKUP(E442,[1]LL_Hub!$A$1:$B$13,2,FALSE)</f>
        <v>New York</v>
      </c>
      <c r="K442" t="str">
        <f>VLOOKUP(D442,'[2]product Table data'!$A$2:$B$12,2,FALSE)</f>
        <v>Female</v>
      </c>
      <c r="L442" t="str">
        <f>VLOOKUP($D442,'[2]product Table data'!$A$2:$G$12,L$1,FALSE)</f>
        <v>Casual n Light</v>
      </c>
      <c r="M442" t="str">
        <f>VLOOKUP($D442,'[2]product Table data'!$A$2:$G$12,M$1,FALSE)</f>
        <v>Honduras</v>
      </c>
      <c r="N442" t="str">
        <f>VLOOKUP($D442,'[2]product Table data'!$A$2:$G$12,N$1,FALSE)</f>
        <v>Central America</v>
      </c>
      <c r="O442">
        <f>VLOOKUP($D442,'[2]product Table data'!$A$2:$G$12,O$1,FALSE)</f>
        <v>30</v>
      </c>
      <c r="P442">
        <f>VLOOKUP($D442,'[2]product Table data'!$A$2:$G$12,P$1,FALSE)</f>
        <v>45</v>
      </c>
      <c r="Q442">
        <f t="shared" si="30"/>
        <v>15</v>
      </c>
      <c r="R442" t="str">
        <f t="shared" si="31"/>
        <v>-</v>
      </c>
      <c r="S442" t="str">
        <f t="shared" si="32"/>
        <v>Style Risk</v>
      </c>
      <c r="T442" t="str">
        <f t="shared" si="33"/>
        <v>-</v>
      </c>
      <c r="U442" t="str">
        <f t="shared" si="34"/>
        <v>High Value</v>
      </c>
    </row>
    <row r="443" spans="1:21" hidden="1" x14ac:dyDescent="0.2">
      <c r="A443" s="2">
        <v>187</v>
      </c>
      <c r="B443" s="2" t="s">
        <v>9</v>
      </c>
      <c r="C443" s="2" t="s">
        <v>692</v>
      </c>
      <c r="D443" s="2" t="s">
        <v>505</v>
      </c>
      <c r="E443" s="2">
        <v>10022</v>
      </c>
      <c r="F443" s="2" t="s">
        <v>35</v>
      </c>
      <c r="G443" s="2" t="s">
        <v>36</v>
      </c>
      <c r="H443" s="2">
        <v>1</v>
      </c>
      <c r="I443" s="2" t="s">
        <v>17</v>
      </c>
      <c r="J443" s="2" t="str">
        <f>VLOOKUP(E443,[1]LL_Hub!$A$1:$B$13,2,FALSE)</f>
        <v>New York</v>
      </c>
      <c r="K443" t="str">
        <f>VLOOKUP(D443,'[2]product Table data'!$A$2:$B$12,2,FALSE)</f>
        <v>Female</v>
      </c>
      <c r="L443" t="str">
        <f>VLOOKUP($D443,'[2]product Table data'!$A$2:$G$12,L$1,FALSE)</f>
        <v>Casual n Light</v>
      </c>
      <c r="M443" t="str">
        <f>VLOOKUP($D443,'[2]product Table data'!$A$2:$G$12,M$1,FALSE)</f>
        <v>Honduras</v>
      </c>
      <c r="N443" t="str">
        <f>VLOOKUP($D443,'[2]product Table data'!$A$2:$G$12,N$1,FALSE)</f>
        <v>Central America</v>
      </c>
      <c r="O443">
        <f>VLOOKUP($D443,'[2]product Table data'!$A$2:$G$12,O$1,FALSE)</f>
        <v>30</v>
      </c>
      <c r="P443">
        <f>VLOOKUP($D443,'[2]product Table data'!$A$2:$G$12,P$1,FALSE)</f>
        <v>45</v>
      </c>
      <c r="Q443">
        <f t="shared" si="30"/>
        <v>15</v>
      </c>
      <c r="R443" t="str">
        <f t="shared" si="31"/>
        <v>-</v>
      </c>
      <c r="S443" t="str">
        <f t="shared" si="32"/>
        <v>Style Risk</v>
      </c>
      <c r="T443" t="str">
        <f t="shared" si="33"/>
        <v>-</v>
      </c>
      <c r="U443" t="str">
        <f t="shared" si="34"/>
        <v>High Value</v>
      </c>
    </row>
    <row r="444" spans="1:21" hidden="1" x14ac:dyDescent="0.2">
      <c r="A444" s="2">
        <v>188</v>
      </c>
      <c r="B444" s="2" t="s">
        <v>9</v>
      </c>
      <c r="C444" s="2" t="s">
        <v>693</v>
      </c>
      <c r="D444" s="2" t="s">
        <v>505</v>
      </c>
      <c r="E444" s="2">
        <v>10022</v>
      </c>
      <c r="F444" s="2" t="s">
        <v>35</v>
      </c>
      <c r="G444" s="2" t="s">
        <v>36</v>
      </c>
      <c r="H444" s="2">
        <v>1</v>
      </c>
      <c r="I444" s="2" t="s">
        <v>17</v>
      </c>
      <c r="J444" s="2" t="str">
        <f>VLOOKUP(E444,[1]LL_Hub!$A$1:$B$13,2,FALSE)</f>
        <v>New York</v>
      </c>
      <c r="K444" t="str">
        <f>VLOOKUP(D444,'[2]product Table data'!$A$2:$B$12,2,FALSE)</f>
        <v>Female</v>
      </c>
      <c r="L444" t="str">
        <f>VLOOKUP($D444,'[2]product Table data'!$A$2:$G$12,L$1,FALSE)</f>
        <v>Casual n Light</v>
      </c>
      <c r="M444" t="str">
        <f>VLOOKUP($D444,'[2]product Table data'!$A$2:$G$12,M$1,FALSE)</f>
        <v>Honduras</v>
      </c>
      <c r="N444" t="str">
        <f>VLOOKUP($D444,'[2]product Table data'!$A$2:$G$12,N$1,FALSE)</f>
        <v>Central America</v>
      </c>
      <c r="O444">
        <f>VLOOKUP($D444,'[2]product Table data'!$A$2:$G$12,O$1,FALSE)</f>
        <v>30</v>
      </c>
      <c r="P444">
        <f>VLOOKUP($D444,'[2]product Table data'!$A$2:$G$12,P$1,FALSE)</f>
        <v>45</v>
      </c>
      <c r="Q444">
        <f t="shared" si="30"/>
        <v>15</v>
      </c>
      <c r="R444" t="str">
        <f t="shared" si="31"/>
        <v>-</v>
      </c>
      <c r="S444" t="str">
        <f t="shared" si="32"/>
        <v>Style Risk</v>
      </c>
      <c r="T444" t="str">
        <f t="shared" si="33"/>
        <v>-</v>
      </c>
      <c r="U444" t="str">
        <f t="shared" si="34"/>
        <v>High Value</v>
      </c>
    </row>
    <row r="445" spans="1:21" hidden="1" x14ac:dyDescent="0.2">
      <c r="A445" s="2">
        <v>189</v>
      </c>
      <c r="B445" s="2" t="s">
        <v>9</v>
      </c>
      <c r="C445" s="2" t="s">
        <v>694</v>
      </c>
      <c r="D445" s="2" t="s">
        <v>505</v>
      </c>
      <c r="E445" s="2">
        <v>10022</v>
      </c>
      <c r="F445" s="2" t="s">
        <v>35</v>
      </c>
      <c r="G445" s="2" t="s">
        <v>36</v>
      </c>
      <c r="H445" s="2">
        <v>1</v>
      </c>
      <c r="I445" s="2" t="s">
        <v>17</v>
      </c>
      <c r="J445" s="2" t="str">
        <f>VLOOKUP(E445,[1]LL_Hub!$A$1:$B$13,2,FALSE)</f>
        <v>New York</v>
      </c>
      <c r="K445" t="str">
        <f>VLOOKUP(D445,'[2]product Table data'!$A$2:$B$12,2,FALSE)</f>
        <v>Female</v>
      </c>
      <c r="L445" t="str">
        <f>VLOOKUP($D445,'[2]product Table data'!$A$2:$G$12,L$1,FALSE)</f>
        <v>Casual n Light</v>
      </c>
      <c r="M445" t="str">
        <f>VLOOKUP($D445,'[2]product Table data'!$A$2:$G$12,M$1,FALSE)</f>
        <v>Honduras</v>
      </c>
      <c r="N445" t="str">
        <f>VLOOKUP($D445,'[2]product Table data'!$A$2:$G$12,N$1,FALSE)</f>
        <v>Central America</v>
      </c>
      <c r="O445">
        <f>VLOOKUP($D445,'[2]product Table data'!$A$2:$G$12,O$1,FALSE)</f>
        <v>30</v>
      </c>
      <c r="P445">
        <f>VLOOKUP($D445,'[2]product Table data'!$A$2:$G$12,P$1,FALSE)</f>
        <v>45</v>
      </c>
      <c r="Q445">
        <f t="shared" si="30"/>
        <v>15</v>
      </c>
      <c r="R445" t="str">
        <f t="shared" si="31"/>
        <v>-</v>
      </c>
      <c r="S445" t="str">
        <f t="shared" si="32"/>
        <v>Style Risk</v>
      </c>
      <c r="T445" t="str">
        <f t="shared" si="33"/>
        <v>-</v>
      </c>
      <c r="U445" t="str">
        <f t="shared" si="34"/>
        <v>High Value</v>
      </c>
    </row>
    <row r="446" spans="1:21" hidden="1" x14ac:dyDescent="0.2">
      <c r="A446" s="2">
        <v>190</v>
      </c>
      <c r="B446" s="2" t="s">
        <v>9</v>
      </c>
      <c r="C446" s="2" t="s">
        <v>695</v>
      </c>
      <c r="D446" s="2" t="s">
        <v>505</v>
      </c>
      <c r="E446" s="2">
        <v>10022</v>
      </c>
      <c r="F446" s="2" t="s">
        <v>35</v>
      </c>
      <c r="G446" s="2" t="s">
        <v>36</v>
      </c>
      <c r="H446" s="2">
        <v>1</v>
      </c>
      <c r="I446" s="2" t="s">
        <v>17</v>
      </c>
      <c r="J446" s="2" t="str">
        <f>VLOOKUP(E446,[1]LL_Hub!$A$1:$B$13,2,FALSE)</f>
        <v>New York</v>
      </c>
      <c r="K446" t="str">
        <f>VLOOKUP(D446,'[2]product Table data'!$A$2:$B$12,2,FALSE)</f>
        <v>Female</v>
      </c>
      <c r="L446" t="str">
        <f>VLOOKUP($D446,'[2]product Table data'!$A$2:$G$12,L$1,FALSE)</f>
        <v>Casual n Light</v>
      </c>
      <c r="M446" t="str">
        <f>VLOOKUP($D446,'[2]product Table data'!$A$2:$G$12,M$1,FALSE)</f>
        <v>Honduras</v>
      </c>
      <c r="N446" t="str">
        <f>VLOOKUP($D446,'[2]product Table data'!$A$2:$G$12,N$1,FALSE)</f>
        <v>Central America</v>
      </c>
      <c r="O446">
        <f>VLOOKUP($D446,'[2]product Table data'!$A$2:$G$12,O$1,FALSE)</f>
        <v>30</v>
      </c>
      <c r="P446">
        <f>VLOOKUP($D446,'[2]product Table data'!$A$2:$G$12,P$1,FALSE)</f>
        <v>45</v>
      </c>
      <c r="Q446">
        <f t="shared" si="30"/>
        <v>15</v>
      </c>
      <c r="R446" t="str">
        <f t="shared" si="31"/>
        <v>-</v>
      </c>
      <c r="S446" t="str">
        <f t="shared" si="32"/>
        <v>Style Risk</v>
      </c>
      <c r="T446" t="str">
        <f t="shared" si="33"/>
        <v>-</v>
      </c>
      <c r="U446" t="str">
        <f t="shared" si="34"/>
        <v>High Value</v>
      </c>
    </row>
    <row r="447" spans="1:21" hidden="1" x14ac:dyDescent="0.2">
      <c r="A447" s="2">
        <v>191</v>
      </c>
      <c r="B447" s="2" t="s">
        <v>9</v>
      </c>
      <c r="C447" s="2" t="s">
        <v>696</v>
      </c>
      <c r="D447" s="2" t="s">
        <v>505</v>
      </c>
      <c r="E447" s="2">
        <v>10022</v>
      </c>
      <c r="F447" s="2" t="s">
        <v>35</v>
      </c>
      <c r="G447" s="2" t="s">
        <v>36</v>
      </c>
      <c r="H447" s="2">
        <v>1</v>
      </c>
      <c r="I447" s="2" t="s">
        <v>17</v>
      </c>
      <c r="J447" s="2" t="str">
        <f>VLOOKUP(E447,[1]LL_Hub!$A$1:$B$13,2,FALSE)</f>
        <v>New York</v>
      </c>
      <c r="K447" t="str">
        <f>VLOOKUP(D447,'[2]product Table data'!$A$2:$B$12,2,FALSE)</f>
        <v>Female</v>
      </c>
      <c r="L447" t="str">
        <f>VLOOKUP($D447,'[2]product Table data'!$A$2:$G$12,L$1,FALSE)</f>
        <v>Casual n Light</v>
      </c>
      <c r="M447" t="str">
        <f>VLOOKUP($D447,'[2]product Table data'!$A$2:$G$12,M$1,FALSE)</f>
        <v>Honduras</v>
      </c>
      <c r="N447" t="str">
        <f>VLOOKUP($D447,'[2]product Table data'!$A$2:$G$12,N$1,FALSE)</f>
        <v>Central America</v>
      </c>
      <c r="O447">
        <f>VLOOKUP($D447,'[2]product Table data'!$A$2:$G$12,O$1,FALSE)</f>
        <v>30</v>
      </c>
      <c r="P447">
        <f>VLOOKUP($D447,'[2]product Table data'!$A$2:$G$12,P$1,FALSE)</f>
        <v>45</v>
      </c>
      <c r="Q447">
        <f t="shared" si="30"/>
        <v>15</v>
      </c>
      <c r="R447" t="str">
        <f t="shared" si="31"/>
        <v>-</v>
      </c>
      <c r="S447" t="str">
        <f t="shared" si="32"/>
        <v>Style Risk</v>
      </c>
      <c r="T447" t="str">
        <f t="shared" si="33"/>
        <v>-</v>
      </c>
      <c r="U447" t="str">
        <f t="shared" si="34"/>
        <v>High Value</v>
      </c>
    </row>
    <row r="448" spans="1:21" hidden="1" x14ac:dyDescent="0.2">
      <c r="A448" s="2">
        <v>192</v>
      </c>
      <c r="B448" s="2" t="s">
        <v>9</v>
      </c>
      <c r="C448" s="2" t="s">
        <v>697</v>
      </c>
      <c r="D448" s="2" t="s">
        <v>505</v>
      </c>
      <c r="E448" s="2">
        <v>10022</v>
      </c>
      <c r="F448" s="2" t="s">
        <v>35</v>
      </c>
      <c r="G448" s="2" t="s">
        <v>36</v>
      </c>
      <c r="H448" s="2">
        <v>1</v>
      </c>
      <c r="I448" s="2" t="s">
        <v>17</v>
      </c>
      <c r="J448" s="2" t="str">
        <f>VLOOKUP(E448,[1]LL_Hub!$A$1:$B$13,2,FALSE)</f>
        <v>New York</v>
      </c>
      <c r="K448" t="str">
        <f>VLOOKUP(D448,'[2]product Table data'!$A$2:$B$12,2,FALSE)</f>
        <v>Female</v>
      </c>
      <c r="L448" t="str">
        <f>VLOOKUP($D448,'[2]product Table data'!$A$2:$G$12,L$1,FALSE)</f>
        <v>Casual n Light</v>
      </c>
      <c r="M448" t="str">
        <f>VLOOKUP($D448,'[2]product Table data'!$A$2:$G$12,M$1,FALSE)</f>
        <v>Honduras</v>
      </c>
      <c r="N448" t="str">
        <f>VLOOKUP($D448,'[2]product Table data'!$A$2:$G$12,N$1,FALSE)</f>
        <v>Central America</v>
      </c>
      <c r="O448">
        <f>VLOOKUP($D448,'[2]product Table data'!$A$2:$G$12,O$1,FALSE)</f>
        <v>30</v>
      </c>
      <c r="P448">
        <f>VLOOKUP($D448,'[2]product Table data'!$A$2:$G$12,P$1,FALSE)</f>
        <v>45</v>
      </c>
      <c r="Q448">
        <f t="shared" si="30"/>
        <v>15</v>
      </c>
      <c r="R448" t="str">
        <f t="shared" si="31"/>
        <v>-</v>
      </c>
      <c r="S448" t="str">
        <f t="shared" si="32"/>
        <v>Style Risk</v>
      </c>
      <c r="T448" t="str">
        <f t="shared" si="33"/>
        <v>-</v>
      </c>
      <c r="U448" t="str">
        <f t="shared" si="34"/>
        <v>High Value</v>
      </c>
    </row>
    <row r="449" spans="1:21" hidden="1" x14ac:dyDescent="0.2">
      <c r="A449" s="2">
        <v>193</v>
      </c>
      <c r="B449" s="2" t="s">
        <v>9</v>
      </c>
      <c r="C449" s="2" t="s">
        <v>698</v>
      </c>
      <c r="D449" s="2" t="s">
        <v>505</v>
      </c>
      <c r="E449" s="2">
        <v>10022</v>
      </c>
      <c r="F449" s="2" t="s">
        <v>35</v>
      </c>
      <c r="G449" s="2" t="s">
        <v>36</v>
      </c>
      <c r="H449" s="2">
        <v>1</v>
      </c>
      <c r="I449" s="2" t="s">
        <v>17</v>
      </c>
      <c r="J449" s="2" t="str">
        <f>VLOOKUP(E449,[1]LL_Hub!$A$1:$B$13,2,FALSE)</f>
        <v>New York</v>
      </c>
      <c r="K449" t="str">
        <f>VLOOKUP(D449,'[2]product Table data'!$A$2:$B$12,2,FALSE)</f>
        <v>Female</v>
      </c>
      <c r="L449" t="str">
        <f>VLOOKUP($D449,'[2]product Table data'!$A$2:$G$12,L$1,FALSE)</f>
        <v>Casual n Light</v>
      </c>
      <c r="M449" t="str">
        <f>VLOOKUP($D449,'[2]product Table data'!$A$2:$G$12,M$1,FALSE)</f>
        <v>Honduras</v>
      </c>
      <c r="N449" t="str">
        <f>VLOOKUP($D449,'[2]product Table data'!$A$2:$G$12,N$1,FALSE)</f>
        <v>Central America</v>
      </c>
      <c r="O449">
        <f>VLOOKUP($D449,'[2]product Table data'!$A$2:$G$12,O$1,FALSE)</f>
        <v>30</v>
      </c>
      <c r="P449">
        <f>VLOOKUP($D449,'[2]product Table data'!$A$2:$G$12,P$1,FALSE)</f>
        <v>45</v>
      </c>
      <c r="Q449">
        <f t="shared" si="30"/>
        <v>15</v>
      </c>
      <c r="R449" t="str">
        <f t="shared" si="31"/>
        <v>-</v>
      </c>
      <c r="S449" t="str">
        <f t="shared" si="32"/>
        <v>Style Risk</v>
      </c>
      <c r="T449" t="str">
        <f t="shared" si="33"/>
        <v>-</v>
      </c>
      <c r="U449" t="str">
        <f t="shared" si="34"/>
        <v>High Value</v>
      </c>
    </row>
    <row r="450" spans="1:21" hidden="1" x14ac:dyDescent="0.2">
      <c r="A450" s="2">
        <v>194</v>
      </c>
      <c r="B450" s="2" t="s">
        <v>9</v>
      </c>
      <c r="C450" s="2" t="s">
        <v>699</v>
      </c>
      <c r="D450" s="2" t="s">
        <v>505</v>
      </c>
      <c r="E450" s="2">
        <v>10022</v>
      </c>
      <c r="F450" s="2" t="s">
        <v>35</v>
      </c>
      <c r="G450" s="2" t="s">
        <v>36</v>
      </c>
      <c r="H450" s="2">
        <v>1</v>
      </c>
      <c r="I450" s="2" t="s">
        <v>17</v>
      </c>
      <c r="J450" s="2" t="str">
        <f>VLOOKUP(E450,[1]LL_Hub!$A$1:$B$13,2,FALSE)</f>
        <v>New York</v>
      </c>
      <c r="K450" t="str">
        <f>VLOOKUP(D450,'[2]product Table data'!$A$2:$B$12,2,FALSE)</f>
        <v>Female</v>
      </c>
      <c r="L450" t="str">
        <f>VLOOKUP($D450,'[2]product Table data'!$A$2:$G$12,L$1,FALSE)</f>
        <v>Casual n Light</v>
      </c>
      <c r="M450" t="str">
        <f>VLOOKUP($D450,'[2]product Table data'!$A$2:$G$12,M$1,FALSE)</f>
        <v>Honduras</v>
      </c>
      <c r="N450" t="str">
        <f>VLOOKUP($D450,'[2]product Table data'!$A$2:$G$12,N$1,FALSE)</f>
        <v>Central America</v>
      </c>
      <c r="O450">
        <f>VLOOKUP($D450,'[2]product Table data'!$A$2:$G$12,O$1,FALSE)</f>
        <v>30</v>
      </c>
      <c r="P450">
        <f>VLOOKUP($D450,'[2]product Table data'!$A$2:$G$12,P$1,FALSE)</f>
        <v>45</v>
      </c>
      <c r="Q450">
        <f t="shared" si="30"/>
        <v>15</v>
      </c>
      <c r="R450" t="str">
        <f t="shared" si="31"/>
        <v>-</v>
      </c>
      <c r="S450" t="str">
        <f t="shared" si="32"/>
        <v>Style Risk</v>
      </c>
      <c r="T450" t="str">
        <f t="shared" si="33"/>
        <v>-</v>
      </c>
      <c r="U450" t="str">
        <f t="shared" si="34"/>
        <v>High Value</v>
      </c>
    </row>
    <row r="451" spans="1:21" hidden="1" x14ac:dyDescent="0.2">
      <c r="A451" s="2">
        <v>195</v>
      </c>
      <c r="B451" s="2" t="s">
        <v>9</v>
      </c>
      <c r="C451" s="2" t="s">
        <v>700</v>
      </c>
      <c r="D451" s="2" t="s">
        <v>505</v>
      </c>
      <c r="E451" s="2">
        <v>10022</v>
      </c>
      <c r="F451" s="2" t="s">
        <v>35</v>
      </c>
      <c r="G451" s="2" t="s">
        <v>36</v>
      </c>
      <c r="H451" s="2">
        <v>1</v>
      </c>
      <c r="I451" s="2" t="s">
        <v>17</v>
      </c>
      <c r="J451" s="2" t="str">
        <f>VLOOKUP(E451,[1]LL_Hub!$A$1:$B$13,2,FALSE)</f>
        <v>New York</v>
      </c>
      <c r="K451" t="str">
        <f>VLOOKUP(D451,'[2]product Table data'!$A$2:$B$12,2,FALSE)</f>
        <v>Female</v>
      </c>
      <c r="L451" t="str">
        <f>VLOOKUP($D451,'[2]product Table data'!$A$2:$G$12,L$1,FALSE)</f>
        <v>Casual n Light</v>
      </c>
      <c r="M451" t="str">
        <f>VLOOKUP($D451,'[2]product Table data'!$A$2:$G$12,M$1,FALSE)</f>
        <v>Honduras</v>
      </c>
      <c r="N451" t="str">
        <f>VLOOKUP($D451,'[2]product Table data'!$A$2:$G$12,N$1,FALSE)</f>
        <v>Central America</v>
      </c>
      <c r="O451">
        <f>VLOOKUP($D451,'[2]product Table data'!$A$2:$G$12,O$1,FALSE)</f>
        <v>30</v>
      </c>
      <c r="P451">
        <f>VLOOKUP($D451,'[2]product Table data'!$A$2:$G$12,P$1,FALSE)</f>
        <v>45</v>
      </c>
      <c r="Q451">
        <f t="shared" ref="Q451:Q514" si="35">P451-O451</f>
        <v>15</v>
      </c>
      <c r="R451" t="str">
        <f t="shared" ref="R451:R514" si="36">IF(OR(J451="Los Angeles",J451="Denver"),"Hub Risk","-")</f>
        <v>-</v>
      </c>
      <c r="S451" t="str">
        <f t="shared" ref="S451:S514" si="37">IF(OR(L451="Casual n Light",L451="Fancy Sheek"),"Style Risk","-")</f>
        <v>Style Risk</v>
      </c>
      <c r="T451" t="str">
        <f t="shared" ref="T451:T514" si="38">IF(AND(R451="Hub Risk", S451="Style Risk"), "Risk", "-")</f>
        <v>-</v>
      </c>
      <c r="U451" t="str">
        <f t="shared" ref="U451:U514" si="39">IF(Q451&lt;=5, "Low Value", "High Value")</f>
        <v>High Value</v>
      </c>
    </row>
    <row r="452" spans="1:21" hidden="1" x14ac:dyDescent="0.2">
      <c r="A452" s="2">
        <v>196</v>
      </c>
      <c r="B452" s="2" t="s">
        <v>9</v>
      </c>
      <c r="C452" s="2" t="s">
        <v>701</v>
      </c>
      <c r="D452" s="2" t="s">
        <v>505</v>
      </c>
      <c r="E452" s="2">
        <v>10022</v>
      </c>
      <c r="F452" s="2" t="s">
        <v>35</v>
      </c>
      <c r="G452" s="2" t="s">
        <v>36</v>
      </c>
      <c r="H452" s="2">
        <v>1</v>
      </c>
      <c r="I452" s="2" t="s">
        <v>17</v>
      </c>
      <c r="J452" s="2" t="str">
        <f>VLOOKUP(E452,[1]LL_Hub!$A$1:$B$13,2,FALSE)</f>
        <v>New York</v>
      </c>
      <c r="K452" t="str">
        <f>VLOOKUP(D452,'[2]product Table data'!$A$2:$B$12,2,FALSE)</f>
        <v>Female</v>
      </c>
      <c r="L452" t="str">
        <f>VLOOKUP($D452,'[2]product Table data'!$A$2:$G$12,L$1,FALSE)</f>
        <v>Casual n Light</v>
      </c>
      <c r="M452" t="str">
        <f>VLOOKUP($D452,'[2]product Table data'!$A$2:$G$12,M$1,FALSE)</f>
        <v>Honduras</v>
      </c>
      <c r="N452" t="str">
        <f>VLOOKUP($D452,'[2]product Table data'!$A$2:$G$12,N$1,FALSE)</f>
        <v>Central America</v>
      </c>
      <c r="O452">
        <f>VLOOKUP($D452,'[2]product Table data'!$A$2:$G$12,O$1,FALSE)</f>
        <v>30</v>
      </c>
      <c r="P452">
        <f>VLOOKUP($D452,'[2]product Table data'!$A$2:$G$12,P$1,FALSE)</f>
        <v>45</v>
      </c>
      <c r="Q452">
        <f t="shared" si="35"/>
        <v>15</v>
      </c>
      <c r="R452" t="str">
        <f t="shared" si="36"/>
        <v>-</v>
      </c>
      <c r="S452" t="str">
        <f t="shared" si="37"/>
        <v>Style Risk</v>
      </c>
      <c r="T452" t="str">
        <f t="shared" si="38"/>
        <v>-</v>
      </c>
      <c r="U452" t="str">
        <f t="shared" si="39"/>
        <v>High Value</v>
      </c>
    </row>
    <row r="453" spans="1:21" hidden="1" x14ac:dyDescent="0.2">
      <c r="A453" s="2">
        <v>197</v>
      </c>
      <c r="B453" s="2" t="s">
        <v>9</v>
      </c>
      <c r="C453" s="2" t="s">
        <v>702</v>
      </c>
      <c r="D453" s="2" t="s">
        <v>505</v>
      </c>
      <c r="E453" s="2">
        <v>10022</v>
      </c>
      <c r="F453" s="2" t="s">
        <v>35</v>
      </c>
      <c r="G453" s="2" t="s">
        <v>36</v>
      </c>
      <c r="H453" s="2">
        <v>1</v>
      </c>
      <c r="I453" s="2" t="s">
        <v>17</v>
      </c>
      <c r="J453" s="2" t="str">
        <f>VLOOKUP(E453,[1]LL_Hub!$A$1:$B$13,2,FALSE)</f>
        <v>New York</v>
      </c>
      <c r="K453" t="str">
        <f>VLOOKUP(D453,'[2]product Table data'!$A$2:$B$12,2,FALSE)</f>
        <v>Female</v>
      </c>
      <c r="L453" t="str">
        <f>VLOOKUP($D453,'[2]product Table data'!$A$2:$G$12,L$1,FALSE)</f>
        <v>Casual n Light</v>
      </c>
      <c r="M453" t="str">
        <f>VLOOKUP($D453,'[2]product Table data'!$A$2:$G$12,M$1,FALSE)</f>
        <v>Honduras</v>
      </c>
      <c r="N453" t="str">
        <f>VLOOKUP($D453,'[2]product Table data'!$A$2:$G$12,N$1,FALSE)</f>
        <v>Central America</v>
      </c>
      <c r="O453">
        <f>VLOOKUP($D453,'[2]product Table data'!$A$2:$G$12,O$1,FALSE)</f>
        <v>30</v>
      </c>
      <c r="P453">
        <f>VLOOKUP($D453,'[2]product Table data'!$A$2:$G$12,P$1,FALSE)</f>
        <v>45</v>
      </c>
      <c r="Q453">
        <f t="shared" si="35"/>
        <v>15</v>
      </c>
      <c r="R453" t="str">
        <f t="shared" si="36"/>
        <v>-</v>
      </c>
      <c r="S453" t="str">
        <f t="shared" si="37"/>
        <v>Style Risk</v>
      </c>
      <c r="T453" t="str">
        <f t="shared" si="38"/>
        <v>-</v>
      </c>
      <c r="U453" t="str">
        <f t="shared" si="39"/>
        <v>High Value</v>
      </c>
    </row>
    <row r="454" spans="1:21" hidden="1" x14ac:dyDescent="0.2">
      <c r="A454" s="2">
        <v>198</v>
      </c>
      <c r="B454" s="2" t="s">
        <v>9</v>
      </c>
      <c r="C454" s="2" t="s">
        <v>703</v>
      </c>
      <c r="D454" s="2" t="s">
        <v>505</v>
      </c>
      <c r="E454" s="2">
        <v>10022</v>
      </c>
      <c r="F454" s="2" t="s">
        <v>35</v>
      </c>
      <c r="G454" s="2" t="s">
        <v>36</v>
      </c>
      <c r="H454" s="2">
        <v>1</v>
      </c>
      <c r="I454" s="2" t="s">
        <v>17</v>
      </c>
      <c r="J454" s="2" t="str">
        <f>VLOOKUP(E454,[1]LL_Hub!$A$1:$B$13,2,FALSE)</f>
        <v>New York</v>
      </c>
      <c r="K454" t="str">
        <f>VLOOKUP(D454,'[2]product Table data'!$A$2:$B$12,2,FALSE)</f>
        <v>Female</v>
      </c>
      <c r="L454" t="str">
        <f>VLOOKUP($D454,'[2]product Table data'!$A$2:$G$12,L$1,FALSE)</f>
        <v>Casual n Light</v>
      </c>
      <c r="M454" t="str">
        <f>VLOOKUP($D454,'[2]product Table data'!$A$2:$G$12,M$1,FALSE)</f>
        <v>Honduras</v>
      </c>
      <c r="N454" t="str">
        <f>VLOOKUP($D454,'[2]product Table data'!$A$2:$G$12,N$1,FALSE)</f>
        <v>Central America</v>
      </c>
      <c r="O454">
        <f>VLOOKUP($D454,'[2]product Table data'!$A$2:$G$12,O$1,FALSE)</f>
        <v>30</v>
      </c>
      <c r="P454">
        <f>VLOOKUP($D454,'[2]product Table data'!$A$2:$G$12,P$1,FALSE)</f>
        <v>45</v>
      </c>
      <c r="Q454">
        <f t="shared" si="35"/>
        <v>15</v>
      </c>
      <c r="R454" t="str">
        <f t="shared" si="36"/>
        <v>-</v>
      </c>
      <c r="S454" t="str">
        <f t="shared" si="37"/>
        <v>Style Risk</v>
      </c>
      <c r="T454" t="str">
        <f t="shared" si="38"/>
        <v>-</v>
      </c>
      <c r="U454" t="str">
        <f t="shared" si="39"/>
        <v>High Value</v>
      </c>
    </row>
    <row r="455" spans="1:21" hidden="1" x14ac:dyDescent="0.2">
      <c r="A455" s="2">
        <v>199</v>
      </c>
      <c r="B455" s="2" t="s">
        <v>9</v>
      </c>
      <c r="C455" s="2" t="s">
        <v>704</v>
      </c>
      <c r="D455" s="2" t="s">
        <v>505</v>
      </c>
      <c r="E455" s="2">
        <v>10022</v>
      </c>
      <c r="F455" s="2" t="s">
        <v>35</v>
      </c>
      <c r="G455" s="2" t="s">
        <v>36</v>
      </c>
      <c r="H455" s="2">
        <v>1</v>
      </c>
      <c r="I455" s="2" t="s">
        <v>17</v>
      </c>
      <c r="J455" s="2" t="str">
        <f>VLOOKUP(E455,[1]LL_Hub!$A$1:$B$13,2,FALSE)</f>
        <v>New York</v>
      </c>
      <c r="K455" t="str">
        <f>VLOOKUP(D455,'[2]product Table data'!$A$2:$B$12,2,FALSE)</f>
        <v>Female</v>
      </c>
      <c r="L455" t="str">
        <f>VLOOKUP($D455,'[2]product Table data'!$A$2:$G$12,L$1,FALSE)</f>
        <v>Casual n Light</v>
      </c>
      <c r="M455" t="str">
        <f>VLOOKUP($D455,'[2]product Table data'!$A$2:$G$12,M$1,FALSE)</f>
        <v>Honduras</v>
      </c>
      <c r="N455" t="str">
        <f>VLOOKUP($D455,'[2]product Table data'!$A$2:$G$12,N$1,FALSE)</f>
        <v>Central America</v>
      </c>
      <c r="O455">
        <f>VLOOKUP($D455,'[2]product Table data'!$A$2:$G$12,O$1,FALSE)</f>
        <v>30</v>
      </c>
      <c r="P455">
        <f>VLOOKUP($D455,'[2]product Table data'!$A$2:$G$12,P$1,FALSE)</f>
        <v>45</v>
      </c>
      <c r="Q455">
        <f t="shared" si="35"/>
        <v>15</v>
      </c>
      <c r="R455" t="str">
        <f t="shared" si="36"/>
        <v>-</v>
      </c>
      <c r="S455" t="str">
        <f t="shared" si="37"/>
        <v>Style Risk</v>
      </c>
      <c r="T455" t="str">
        <f t="shared" si="38"/>
        <v>-</v>
      </c>
      <c r="U455" t="str">
        <f t="shared" si="39"/>
        <v>High Value</v>
      </c>
    </row>
    <row r="456" spans="1:21" hidden="1" x14ac:dyDescent="0.2">
      <c r="A456" s="2">
        <v>200</v>
      </c>
      <c r="B456" s="2" t="s">
        <v>9</v>
      </c>
      <c r="C456" s="2" t="s">
        <v>705</v>
      </c>
      <c r="D456" s="2" t="s">
        <v>505</v>
      </c>
      <c r="E456" s="2">
        <v>10022</v>
      </c>
      <c r="F456" s="2" t="s">
        <v>35</v>
      </c>
      <c r="G456" s="2" t="s">
        <v>36</v>
      </c>
      <c r="H456" s="2">
        <v>1</v>
      </c>
      <c r="I456" s="2" t="s">
        <v>17</v>
      </c>
      <c r="J456" s="2" t="str">
        <f>VLOOKUP(E456,[1]LL_Hub!$A$1:$B$13,2,FALSE)</f>
        <v>New York</v>
      </c>
      <c r="K456" t="str">
        <f>VLOOKUP(D456,'[2]product Table data'!$A$2:$B$12,2,FALSE)</f>
        <v>Female</v>
      </c>
      <c r="L456" t="str">
        <f>VLOOKUP($D456,'[2]product Table data'!$A$2:$G$12,L$1,FALSE)</f>
        <v>Casual n Light</v>
      </c>
      <c r="M456" t="str">
        <f>VLOOKUP($D456,'[2]product Table data'!$A$2:$G$12,M$1,FALSE)</f>
        <v>Honduras</v>
      </c>
      <c r="N456" t="str">
        <f>VLOOKUP($D456,'[2]product Table data'!$A$2:$G$12,N$1,FALSE)</f>
        <v>Central America</v>
      </c>
      <c r="O456">
        <f>VLOOKUP($D456,'[2]product Table data'!$A$2:$G$12,O$1,FALSE)</f>
        <v>30</v>
      </c>
      <c r="P456">
        <f>VLOOKUP($D456,'[2]product Table data'!$A$2:$G$12,P$1,FALSE)</f>
        <v>45</v>
      </c>
      <c r="Q456">
        <f t="shared" si="35"/>
        <v>15</v>
      </c>
      <c r="R456" t="str">
        <f t="shared" si="36"/>
        <v>-</v>
      </c>
      <c r="S456" t="str">
        <f t="shared" si="37"/>
        <v>Style Risk</v>
      </c>
      <c r="T456" t="str">
        <f t="shared" si="38"/>
        <v>-</v>
      </c>
      <c r="U456" t="str">
        <f t="shared" si="39"/>
        <v>High Value</v>
      </c>
    </row>
    <row r="457" spans="1:21" hidden="1" x14ac:dyDescent="0.2">
      <c r="A457" s="2">
        <v>201</v>
      </c>
      <c r="B457" s="2" t="s">
        <v>9</v>
      </c>
      <c r="C457" s="2" t="s">
        <v>706</v>
      </c>
      <c r="D457" s="2" t="s">
        <v>566</v>
      </c>
      <c r="E457" s="2">
        <v>10022</v>
      </c>
      <c r="F457" s="2" t="s">
        <v>35</v>
      </c>
      <c r="G457" s="2" t="s">
        <v>36</v>
      </c>
      <c r="H457" s="2">
        <v>1</v>
      </c>
      <c r="I457" s="2" t="s">
        <v>17</v>
      </c>
      <c r="J457" s="2" t="str">
        <f>VLOOKUP(E457,[1]LL_Hub!$A$1:$B$13,2,FALSE)</f>
        <v>New York</v>
      </c>
      <c r="K457" t="str">
        <f>VLOOKUP(D457,'[2]product Table data'!$A$2:$B$12,2,FALSE)</f>
        <v>Female</v>
      </c>
      <c r="L457" t="str">
        <f>VLOOKUP($D457,'[2]product Table data'!$A$2:$G$12,L$1,FALSE)</f>
        <v>Casual n Light</v>
      </c>
      <c r="M457" t="str">
        <f>VLOOKUP($D457,'[2]product Table data'!$A$2:$G$12,M$1,FALSE)</f>
        <v>Guatemala</v>
      </c>
      <c r="N457" t="str">
        <f>VLOOKUP($D457,'[2]product Table data'!$A$2:$G$12,N$1,FALSE)</f>
        <v>Central America</v>
      </c>
      <c r="O457">
        <f>VLOOKUP($D457,'[2]product Table data'!$A$2:$G$12,O$1,FALSE)</f>
        <v>25</v>
      </c>
      <c r="P457">
        <f>VLOOKUP($D457,'[2]product Table data'!$A$2:$G$12,P$1,FALSE)</f>
        <v>30</v>
      </c>
      <c r="Q457">
        <f t="shared" si="35"/>
        <v>5</v>
      </c>
      <c r="R457" t="str">
        <f t="shared" si="36"/>
        <v>-</v>
      </c>
      <c r="S457" t="str">
        <f t="shared" si="37"/>
        <v>Style Risk</v>
      </c>
      <c r="T457" t="str">
        <f t="shared" si="38"/>
        <v>-</v>
      </c>
      <c r="U457" t="str">
        <f t="shared" si="39"/>
        <v>Low Value</v>
      </c>
    </row>
    <row r="458" spans="1:21" hidden="1" x14ac:dyDescent="0.2">
      <c r="A458" s="2">
        <v>202</v>
      </c>
      <c r="B458" s="2" t="s">
        <v>9</v>
      </c>
      <c r="C458" s="2" t="s">
        <v>707</v>
      </c>
      <c r="D458" s="2" t="s">
        <v>558</v>
      </c>
      <c r="E458" s="2">
        <v>10022</v>
      </c>
      <c r="F458" s="2" t="s">
        <v>38</v>
      </c>
      <c r="G458" s="2" t="s">
        <v>36</v>
      </c>
      <c r="H458" s="2">
        <v>1</v>
      </c>
      <c r="I458" s="2" t="s">
        <v>39</v>
      </c>
      <c r="J458" s="2" t="str">
        <f>VLOOKUP(E458,[1]LL_Hub!$A$1:$B$13,2,FALSE)</f>
        <v>New York</v>
      </c>
      <c r="K458" t="str">
        <f>VLOOKUP(D458,'[2]product Table data'!$A$2:$B$12,2,FALSE)</f>
        <v>Female</v>
      </c>
      <c r="L458" t="str">
        <f>VLOOKUP($D458,'[2]product Table data'!$A$2:$G$12,L$1,FALSE)</f>
        <v>Fancy Sheek</v>
      </c>
      <c r="M458" t="str">
        <f>VLOOKUP($D458,'[2]product Table data'!$A$2:$G$12,M$1,FALSE)</f>
        <v>Afghanistan</v>
      </c>
      <c r="N458" t="str">
        <f>VLOOKUP($D458,'[2]product Table data'!$A$2:$G$12,N$1,FALSE)</f>
        <v>Middle East</v>
      </c>
      <c r="O458">
        <f>VLOOKUP($D458,'[2]product Table data'!$A$2:$G$12,O$1,FALSE)</f>
        <v>150</v>
      </c>
      <c r="P458">
        <f>VLOOKUP($D458,'[2]product Table data'!$A$2:$G$12,P$1,FALSE)</f>
        <v>75</v>
      </c>
      <c r="Q458">
        <f t="shared" si="35"/>
        <v>-75</v>
      </c>
      <c r="R458" t="str">
        <f t="shared" si="36"/>
        <v>-</v>
      </c>
      <c r="S458" t="str">
        <f t="shared" si="37"/>
        <v>Style Risk</v>
      </c>
      <c r="T458" t="str">
        <f t="shared" si="38"/>
        <v>-</v>
      </c>
      <c r="U458" t="str">
        <f t="shared" si="39"/>
        <v>Low Value</v>
      </c>
    </row>
    <row r="459" spans="1:21" hidden="1" x14ac:dyDescent="0.2">
      <c r="A459" s="2">
        <v>206</v>
      </c>
      <c r="B459" s="2" t="s">
        <v>9</v>
      </c>
      <c r="C459" s="2" t="s">
        <v>708</v>
      </c>
      <c r="D459" s="2" t="s">
        <v>566</v>
      </c>
      <c r="E459" s="2">
        <v>80014</v>
      </c>
      <c r="F459" s="2" t="s">
        <v>496</v>
      </c>
      <c r="G459" s="2" t="s">
        <v>36</v>
      </c>
      <c r="H459" s="2">
        <v>1</v>
      </c>
      <c r="I459" s="2" t="s">
        <v>39</v>
      </c>
      <c r="J459" s="2" t="str">
        <f>VLOOKUP(E459,[1]LL_Hub!$A$1:$B$13,2,FALSE)</f>
        <v>Denver</v>
      </c>
      <c r="K459" t="str">
        <f>VLOOKUP(D459,'[2]product Table data'!$A$2:$B$12,2,FALSE)</f>
        <v>Female</v>
      </c>
      <c r="L459" t="str">
        <f>VLOOKUP($D459,'[2]product Table data'!$A$2:$G$12,L$1,FALSE)</f>
        <v>Casual n Light</v>
      </c>
      <c r="M459" t="str">
        <f>VLOOKUP($D459,'[2]product Table data'!$A$2:$G$12,M$1,FALSE)</f>
        <v>Guatemala</v>
      </c>
      <c r="N459" t="str">
        <f>VLOOKUP($D459,'[2]product Table data'!$A$2:$G$12,N$1,FALSE)</f>
        <v>Central America</v>
      </c>
      <c r="O459">
        <f>VLOOKUP($D459,'[2]product Table data'!$A$2:$G$12,O$1,FALSE)</f>
        <v>25</v>
      </c>
      <c r="P459">
        <f>VLOOKUP($D459,'[2]product Table data'!$A$2:$G$12,P$1,FALSE)</f>
        <v>30</v>
      </c>
      <c r="Q459">
        <f t="shared" si="35"/>
        <v>5</v>
      </c>
      <c r="R459" t="str">
        <f t="shared" si="36"/>
        <v>Hub Risk</v>
      </c>
      <c r="S459" t="str">
        <f t="shared" si="37"/>
        <v>Style Risk</v>
      </c>
      <c r="T459" t="str">
        <f t="shared" si="38"/>
        <v>Risk</v>
      </c>
      <c r="U459" t="str">
        <f t="shared" si="39"/>
        <v>Low Value</v>
      </c>
    </row>
    <row r="460" spans="1:21" hidden="1" x14ac:dyDescent="0.2">
      <c r="A460" s="2">
        <v>207</v>
      </c>
      <c r="B460" s="2" t="s">
        <v>9</v>
      </c>
      <c r="C460" s="2" t="s">
        <v>709</v>
      </c>
      <c r="D460" s="2" t="s">
        <v>566</v>
      </c>
      <c r="E460" s="2">
        <v>80014</v>
      </c>
      <c r="F460" s="2" t="s">
        <v>496</v>
      </c>
      <c r="G460" s="2" t="s">
        <v>36</v>
      </c>
      <c r="H460" s="2">
        <v>1</v>
      </c>
      <c r="I460" s="2" t="s">
        <v>39</v>
      </c>
      <c r="J460" s="2" t="str">
        <f>VLOOKUP(E460,[1]LL_Hub!$A$1:$B$13,2,FALSE)</f>
        <v>Denver</v>
      </c>
      <c r="K460" t="str">
        <f>VLOOKUP(D460,'[2]product Table data'!$A$2:$B$12,2,FALSE)</f>
        <v>Female</v>
      </c>
      <c r="L460" t="str">
        <f>VLOOKUP($D460,'[2]product Table data'!$A$2:$G$12,L$1,FALSE)</f>
        <v>Casual n Light</v>
      </c>
      <c r="M460" t="str">
        <f>VLOOKUP($D460,'[2]product Table data'!$A$2:$G$12,M$1,FALSE)</f>
        <v>Guatemala</v>
      </c>
      <c r="N460" t="str">
        <f>VLOOKUP($D460,'[2]product Table data'!$A$2:$G$12,N$1,FALSE)</f>
        <v>Central America</v>
      </c>
      <c r="O460">
        <f>VLOOKUP($D460,'[2]product Table data'!$A$2:$G$12,O$1,FALSE)</f>
        <v>25</v>
      </c>
      <c r="P460">
        <f>VLOOKUP($D460,'[2]product Table data'!$A$2:$G$12,P$1,FALSE)</f>
        <v>30</v>
      </c>
      <c r="Q460">
        <f t="shared" si="35"/>
        <v>5</v>
      </c>
      <c r="R460" t="str">
        <f t="shared" si="36"/>
        <v>Hub Risk</v>
      </c>
      <c r="S460" t="str">
        <f t="shared" si="37"/>
        <v>Style Risk</v>
      </c>
      <c r="T460" t="str">
        <f t="shared" si="38"/>
        <v>Risk</v>
      </c>
      <c r="U460" t="str">
        <f t="shared" si="39"/>
        <v>Low Value</v>
      </c>
    </row>
    <row r="461" spans="1:21" hidden="1" x14ac:dyDescent="0.2">
      <c r="A461" s="2">
        <v>208</v>
      </c>
      <c r="B461" s="2" t="s">
        <v>9</v>
      </c>
      <c r="C461" s="2" t="s">
        <v>710</v>
      </c>
      <c r="D461" s="2" t="s">
        <v>566</v>
      </c>
      <c r="E461" s="2">
        <v>80014</v>
      </c>
      <c r="F461" s="2" t="s">
        <v>496</v>
      </c>
      <c r="G461" s="2" t="s">
        <v>36</v>
      </c>
      <c r="H461" s="2">
        <v>1</v>
      </c>
      <c r="I461" s="2" t="s">
        <v>39</v>
      </c>
      <c r="J461" s="2" t="str">
        <f>VLOOKUP(E461,[1]LL_Hub!$A$1:$B$13,2,FALSE)</f>
        <v>Denver</v>
      </c>
      <c r="K461" t="str">
        <f>VLOOKUP(D461,'[2]product Table data'!$A$2:$B$12,2,FALSE)</f>
        <v>Female</v>
      </c>
      <c r="L461" t="str">
        <f>VLOOKUP($D461,'[2]product Table data'!$A$2:$G$12,L$1,FALSE)</f>
        <v>Casual n Light</v>
      </c>
      <c r="M461" t="str">
        <f>VLOOKUP($D461,'[2]product Table data'!$A$2:$G$12,M$1,FALSE)</f>
        <v>Guatemala</v>
      </c>
      <c r="N461" t="str">
        <f>VLOOKUP($D461,'[2]product Table data'!$A$2:$G$12,N$1,FALSE)</f>
        <v>Central America</v>
      </c>
      <c r="O461">
        <f>VLOOKUP($D461,'[2]product Table data'!$A$2:$G$12,O$1,FALSE)</f>
        <v>25</v>
      </c>
      <c r="P461">
        <f>VLOOKUP($D461,'[2]product Table data'!$A$2:$G$12,P$1,FALSE)</f>
        <v>30</v>
      </c>
      <c r="Q461">
        <f t="shared" si="35"/>
        <v>5</v>
      </c>
      <c r="R461" t="str">
        <f t="shared" si="36"/>
        <v>Hub Risk</v>
      </c>
      <c r="S461" t="str">
        <f t="shared" si="37"/>
        <v>Style Risk</v>
      </c>
      <c r="T461" t="str">
        <f t="shared" si="38"/>
        <v>Risk</v>
      </c>
      <c r="U461" t="str">
        <f t="shared" si="39"/>
        <v>Low Value</v>
      </c>
    </row>
    <row r="462" spans="1:21" hidden="1" x14ac:dyDescent="0.2">
      <c r="A462" s="2">
        <v>209</v>
      </c>
      <c r="B462" s="2" t="s">
        <v>9</v>
      </c>
      <c r="C462" s="2" t="s">
        <v>711</v>
      </c>
      <c r="D462" s="2" t="s">
        <v>566</v>
      </c>
      <c r="E462" s="2">
        <v>80014</v>
      </c>
      <c r="F462" s="2" t="s">
        <v>496</v>
      </c>
      <c r="G462" s="2" t="s">
        <v>36</v>
      </c>
      <c r="H462" s="2">
        <v>1</v>
      </c>
      <c r="I462" s="2" t="s">
        <v>39</v>
      </c>
      <c r="J462" s="2" t="str">
        <f>VLOOKUP(E462,[1]LL_Hub!$A$1:$B$13,2,FALSE)</f>
        <v>Denver</v>
      </c>
      <c r="K462" t="str">
        <f>VLOOKUP(D462,'[2]product Table data'!$A$2:$B$12,2,FALSE)</f>
        <v>Female</v>
      </c>
      <c r="L462" t="str">
        <f>VLOOKUP($D462,'[2]product Table data'!$A$2:$G$12,L$1,FALSE)</f>
        <v>Casual n Light</v>
      </c>
      <c r="M462" t="str">
        <f>VLOOKUP($D462,'[2]product Table data'!$A$2:$G$12,M$1,FALSE)</f>
        <v>Guatemala</v>
      </c>
      <c r="N462" t="str">
        <f>VLOOKUP($D462,'[2]product Table data'!$A$2:$G$12,N$1,FALSE)</f>
        <v>Central America</v>
      </c>
      <c r="O462">
        <f>VLOOKUP($D462,'[2]product Table data'!$A$2:$G$12,O$1,FALSE)</f>
        <v>25</v>
      </c>
      <c r="P462">
        <f>VLOOKUP($D462,'[2]product Table data'!$A$2:$G$12,P$1,FALSE)</f>
        <v>30</v>
      </c>
      <c r="Q462">
        <f t="shared" si="35"/>
        <v>5</v>
      </c>
      <c r="R462" t="str">
        <f t="shared" si="36"/>
        <v>Hub Risk</v>
      </c>
      <c r="S462" t="str">
        <f t="shared" si="37"/>
        <v>Style Risk</v>
      </c>
      <c r="T462" t="str">
        <f t="shared" si="38"/>
        <v>Risk</v>
      </c>
      <c r="U462" t="str">
        <f t="shared" si="39"/>
        <v>Low Value</v>
      </c>
    </row>
    <row r="463" spans="1:21" hidden="1" x14ac:dyDescent="0.2">
      <c r="A463" s="2">
        <v>210</v>
      </c>
      <c r="B463" s="2" t="s">
        <v>9</v>
      </c>
      <c r="C463" s="2" t="s">
        <v>712</v>
      </c>
      <c r="D463" s="2" t="s">
        <v>566</v>
      </c>
      <c r="E463" s="2">
        <v>80014</v>
      </c>
      <c r="F463" s="2" t="s">
        <v>496</v>
      </c>
      <c r="G463" s="2" t="s">
        <v>36</v>
      </c>
      <c r="H463" s="2">
        <v>1</v>
      </c>
      <c r="I463" s="2" t="s">
        <v>39</v>
      </c>
      <c r="J463" s="2" t="str">
        <f>VLOOKUP(E463,[1]LL_Hub!$A$1:$B$13,2,FALSE)</f>
        <v>Denver</v>
      </c>
      <c r="K463" t="str">
        <f>VLOOKUP(D463,'[2]product Table data'!$A$2:$B$12,2,FALSE)</f>
        <v>Female</v>
      </c>
      <c r="L463" t="str">
        <f>VLOOKUP($D463,'[2]product Table data'!$A$2:$G$12,L$1,FALSE)</f>
        <v>Casual n Light</v>
      </c>
      <c r="M463" t="str">
        <f>VLOOKUP($D463,'[2]product Table data'!$A$2:$G$12,M$1,FALSE)</f>
        <v>Guatemala</v>
      </c>
      <c r="N463" t="str">
        <f>VLOOKUP($D463,'[2]product Table data'!$A$2:$G$12,N$1,FALSE)</f>
        <v>Central America</v>
      </c>
      <c r="O463">
        <f>VLOOKUP($D463,'[2]product Table data'!$A$2:$G$12,O$1,FALSE)</f>
        <v>25</v>
      </c>
      <c r="P463">
        <f>VLOOKUP($D463,'[2]product Table data'!$A$2:$G$12,P$1,FALSE)</f>
        <v>30</v>
      </c>
      <c r="Q463">
        <f t="shared" si="35"/>
        <v>5</v>
      </c>
      <c r="R463" t="str">
        <f t="shared" si="36"/>
        <v>Hub Risk</v>
      </c>
      <c r="S463" t="str">
        <f t="shared" si="37"/>
        <v>Style Risk</v>
      </c>
      <c r="T463" t="str">
        <f t="shared" si="38"/>
        <v>Risk</v>
      </c>
      <c r="U463" t="str">
        <f t="shared" si="39"/>
        <v>Low Value</v>
      </c>
    </row>
    <row r="464" spans="1:21" hidden="1" x14ac:dyDescent="0.2">
      <c r="A464" s="2">
        <v>211</v>
      </c>
      <c r="B464" s="2" t="s">
        <v>9</v>
      </c>
      <c r="C464" s="2" t="s">
        <v>713</v>
      </c>
      <c r="D464" s="2" t="s">
        <v>566</v>
      </c>
      <c r="E464" s="2">
        <v>80014</v>
      </c>
      <c r="F464" s="2" t="s">
        <v>496</v>
      </c>
      <c r="G464" s="2" t="s">
        <v>36</v>
      </c>
      <c r="H464" s="2">
        <v>1</v>
      </c>
      <c r="I464" s="2" t="s">
        <v>39</v>
      </c>
      <c r="J464" s="2" t="str">
        <f>VLOOKUP(E464,[1]LL_Hub!$A$1:$B$13,2,FALSE)</f>
        <v>Denver</v>
      </c>
      <c r="K464" t="str">
        <f>VLOOKUP(D464,'[2]product Table data'!$A$2:$B$12,2,FALSE)</f>
        <v>Female</v>
      </c>
      <c r="L464" t="str">
        <f>VLOOKUP($D464,'[2]product Table data'!$A$2:$G$12,L$1,FALSE)</f>
        <v>Casual n Light</v>
      </c>
      <c r="M464" t="str">
        <f>VLOOKUP($D464,'[2]product Table data'!$A$2:$G$12,M$1,FALSE)</f>
        <v>Guatemala</v>
      </c>
      <c r="N464" t="str">
        <f>VLOOKUP($D464,'[2]product Table data'!$A$2:$G$12,N$1,FALSE)</f>
        <v>Central America</v>
      </c>
      <c r="O464">
        <f>VLOOKUP($D464,'[2]product Table data'!$A$2:$G$12,O$1,FALSE)</f>
        <v>25</v>
      </c>
      <c r="P464">
        <f>VLOOKUP($D464,'[2]product Table data'!$A$2:$G$12,P$1,FALSE)</f>
        <v>30</v>
      </c>
      <c r="Q464">
        <f t="shared" si="35"/>
        <v>5</v>
      </c>
      <c r="R464" t="str">
        <f t="shared" si="36"/>
        <v>Hub Risk</v>
      </c>
      <c r="S464" t="str">
        <f t="shared" si="37"/>
        <v>Style Risk</v>
      </c>
      <c r="T464" t="str">
        <f t="shared" si="38"/>
        <v>Risk</v>
      </c>
      <c r="U464" t="str">
        <f t="shared" si="39"/>
        <v>Low Value</v>
      </c>
    </row>
    <row r="465" spans="1:21" hidden="1" x14ac:dyDescent="0.2">
      <c r="A465" s="2">
        <v>212</v>
      </c>
      <c r="B465" s="2" t="s">
        <v>9</v>
      </c>
      <c r="C465" s="2" t="s">
        <v>714</v>
      </c>
      <c r="D465" s="2" t="s">
        <v>566</v>
      </c>
      <c r="E465" s="2">
        <v>80014</v>
      </c>
      <c r="F465" s="2" t="s">
        <v>496</v>
      </c>
      <c r="G465" s="2" t="s">
        <v>36</v>
      </c>
      <c r="H465" s="2">
        <v>1</v>
      </c>
      <c r="I465" s="2" t="s">
        <v>39</v>
      </c>
      <c r="J465" s="2" t="str">
        <f>VLOOKUP(E465,[1]LL_Hub!$A$1:$B$13,2,FALSE)</f>
        <v>Denver</v>
      </c>
      <c r="K465" t="str">
        <f>VLOOKUP(D465,'[2]product Table data'!$A$2:$B$12,2,FALSE)</f>
        <v>Female</v>
      </c>
      <c r="L465" t="str">
        <f>VLOOKUP($D465,'[2]product Table data'!$A$2:$G$12,L$1,FALSE)</f>
        <v>Casual n Light</v>
      </c>
      <c r="M465" t="str">
        <f>VLOOKUP($D465,'[2]product Table data'!$A$2:$G$12,M$1,FALSE)</f>
        <v>Guatemala</v>
      </c>
      <c r="N465" t="str">
        <f>VLOOKUP($D465,'[2]product Table data'!$A$2:$G$12,N$1,FALSE)</f>
        <v>Central America</v>
      </c>
      <c r="O465">
        <f>VLOOKUP($D465,'[2]product Table data'!$A$2:$G$12,O$1,FALSE)</f>
        <v>25</v>
      </c>
      <c r="P465">
        <f>VLOOKUP($D465,'[2]product Table data'!$A$2:$G$12,P$1,FALSE)</f>
        <v>30</v>
      </c>
      <c r="Q465">
        <f t="shared" si="35"/>
        <v>5</v>
      </c>
      <c r="R465" t="str">
        <f t="shared" si="36"/>
        <v>Hub Risk</v>
      </c>
      <c r="S465" t="str">
        <f t="shared" si="37"/>
        <v>Style Risk</v>
      </c>
      <c r="T465" t="str">
        <f t="shared" si="38"/>
        <v>Risk</v>
      </c>
      <c r="U465" t="str">
        <f t="shared" si="39"/>
        <v>Low Value</v>
      </c>
    </row>
    <row r="466" spans="1:21" hidden="1" x14ac:dyDescent="0.2">
      <c r="A466" s="2">
        <v>213</v>
      </c>
      <c r="B466" s="2" t="s">
        <v>9</v>
      </c>
      <c r="C466" s="2" t="s">
        <v>715</v>
      </c>
      <c r="D466" s="2" t="s">
        <v>566</v>
      </c>
      <c r="E466" s="2">
        <v>80014</v>
      </c>
      <c r="F466" s="2" t="s">
        <v>496</v>
      </c>
      <c r="G466" s="2" t="s">
        <v>36</v>
      </c>
      <c r="H466" s="2">
        <v>1</v>
      </c>
      <c r="I466" s="2" t="s">
        <v>39</v>
      </c>
      <c r="J466" s="2" t="str">
        <f>VLOOKUP(E466,[1]LL_Hub!$A$1:$B$13,2,FALSE)</f>
        <v>Denver</v>
      </c>
      <c r="K466" t="str">
        <f>VLOOKUP(D466,'[2]product Table data'!$A$2:$B$12,2,FALSE)</f>
        <v>Female</v>
      </c>
      <c r="L466" t="str">
        <f>VLOOKUP($D466,'[2]product Table data'!$A$2:$G$12,L$1,FALSE)</f>
        <v>Casual n Light</v>
      </c>
      <c r="M466" t="str">
        <f>VLOOKUP($D466,'[2]product Table data'!$A$2:$G$12,M$1,FALSE)</f>
        <v>Guatemala</v>
      </c>
      <c r="N466" t="str">
        <f>VLOOKUP($D466,'[2]product Table data'!$A$2:$G$12,N$1,FALSE)</f>
        <v>Central America</v>
      </c>
      <c r="O466">
        <f>VLOOKUP($D466,'[2]product Table data'!$A$2:$G$12,O$1,FALSE)</f>
        <v>25</v>
      </c>
      <c r="P466">
        <f>VLOOKUP($D466,'[2]product Table data'!$A$2:$G$12,P$1,FALSE)</f>
        <v>30</v>
      </c>
      <c r="Q466">
        <f t="shared" si="35"/>
        <v>5</v>
      </c>
      <c r="R466" t="str">
        <f t="shared" si="36"/>
        <v>Hub Risk</v>
      </c>
      <c r="S466" t="str">
        <f t="shared" si="37"/>
        <v>Style Risk</v>
      </c>
      <c r="T466" t="str">
        <f t="shared" si="38"/>
        <v>Risk</v>
      </c>
      <c r="U466" t="str">
        <f t="shared" si="39"/>
        <v>Low Value</v>
      </c>
    </row>
    <row r="467" spans="1:21" hidden="1" x14ac:dyDescent="0.2">
      <c r="A467" s="2">
        <v>214</v>
      </c>
      <c r="B467" s="2" t="s">
        <v>9</v>
      </c>
      <c r="C467" s="2" t="s">
        <v>716</v>
      </c>
      <c r="D467" s="2" t="s">
        <v>566</v>
      </c>
      <c r="E467" s="2">
        <v>80014</v>
      </c>
      <c r="F467" s="2" t="s">
        <v>496</v>
      </c>
      <c r="G467" s="2" t="s">
        <v>36</v>
      </c>
      <c r="H467" s="2">
        <v>1</v>
      </c>
      <c r="I467" s="2" t="s">
        <v>39</v>
      </c>
      <c r="J467" s="2" t="str">
        <f>VLOOKUP(E467,[1]LL_Hub!$A$1:$B$13,2,FALSE)</f>
        <v>Denver</v>
      </c>
      <c r="K467" t="str">
        <f>VLOOKUP(D467,'[2]product Table data'!$A$2:$B$12,2,FALSE)</f>
        <v>Female</v>
      </c>
      <c r="L467" t="str">
        <f>VLOOKUP($D467,'[2]product Table data'!$A$2:$G$12,L$1,FALSE)</f>
        <v>Casual n Light</v>
      </c>
      <c r="M467" t="str">
        <f>VLOOKUP($D467,'[2]product Table data'!$A$2:$G$12,M$1,FALSE)</f>
        <v>Guatemala</v>
      </c>
      <c r="N467" t="str">
        <f>VLOOKUP($D467,'[2]product Table data'!$A$2:$G$12,N$1,FALSE)</f>
        <v>Central America</v>
      </c>
      <c r="O467">
        <f>VLOOKUP($D467,'[2]product Table data'!$A$2:$G$12,O$1,FALSE)</f>
        <v>25</v>
      </c>
      <c r="P467">
        <f>VLOOKUP($D467,'[2]product Table data'!$A$2:$G$12,P$1,FALSE)</f>
        <v>30</v>
      </c>
      <c r="Q467">
        <f t="shared" si="35"/>
        <v>5</v>
      </c>
      <c r="R467" t="str">
        <f t="shared" si="36"/>
        <v>Hub Risk</v>
      </c>
      <c r="S467" t="str">
        <f t="shared" si="37"/>
        <v>Style Risk</v>
      </c>
      <c r="T467" t="str">
        <f t="shared" si="38"/>
        <v>Risk</v>
      </c>
      <c r="U467" t="str">
        <f t="shared" si="39"/>
        <v>Low Value</v>
      </c>
    </row>
    <row r="468" spans="1:21" hidden="1" x14ac:dyDescent="0.2">
      <c r="A468" s="2">
        <v>215</v>
      </c>
      <c r="B468" s="2" t="s">
        <v>9</v>
      </c>
      <c r="C468" s="2" t="s">
        <v>717</v>
      </c>
      <c r="D468" s="2" t="s">
        <v>566</v>
      </c>
      <c r="E468" s="2">
        <v>80014</v>
      </c>
      <c r="F468" s="2" t="s">
        <v>496</v>
      </c>
      <c r="G468" s="2" t="s">
        <v>36</v>
      </c>
      <c r="H468" s="2">
        <v>1</v>
      </c>
      <c r="I468" s="2" t="s">
        <v>39</v>
      </c>
      <c r="J468" s="2" t="str">
        <f>VLOOKUP(E468,[1]LL_Hub!$A$1:$B$13,2,FALSE)</f>
        <v>Denver</v>
      </c>
      <c r="K468" t="str">
        <f>VLOOKUP(D468,'[2]product Table data'!$A$2:$B$12,2,FALSE)</f>
        <v>Female</v>
      </c>
      <c r="L468" t="str">
        <f>VLOOKUP($D468,'[2]product Table data'!$A$2:$G$12,L$1,FALSE)</f>
        <v>Casual n Light</v>
      </c>
      <c r="M468" t="str">
        <f>VLOOKUP($D468,'[2]product Table data'!$A$2:$G$12,M$1,FALSE)</f>
        <v>Guatemala</v>
      </c>
      <c r="N468" t="str">
        <f>VLOOKUP($D468,'[2]product Table data'!$A$2:$G$12,N$1,FALSE)</f>
        <v>Central America</v>
      </c>
      <c r="O468">
        <f>VLOOKUP($D468,'[2]product Table data'!$A$2:$G$12,O$1,FALSE)</f>
        <v>25</v>
      </c>
      <c r="P468">
        <f>VLOOKUP($D468,'[2]product Table data'!$A$2:$G$12,P$1,FALSE)</f>
        <v>30</v>
      </c>
      <c r="Q468">
        <f t="shared" si="35"/>
        <v>5</v>
      </c>
      <c r="R468" t="str">
        <f t="shared" si="36"/>
        <v>Hub Risk</v>
      </c>
      <c r="S468" t="str">
        <f t="shared" si="37"/>
        <v>Style Risk</v>
      </c>
      <c r="T468" t="str">
        <f t="shared" si="38"/>
        <v>Risk</v>
      </c>
      <c r="U468" t="str">
        <f t="shared" si="39"/>
        <v>Low Value</v>
      </c>
    </row>
    <row r="469" spans="1:21" hidden="1" x14ac:dyDescent="0.2">
      <c r="A469" s="2">
        <v>216</v>
      </c>
      <c r="B469" s="2" t="s">
        <v>9</v>
      </c>
      <c r="C469" s="2" t="s">
        <v>718</v>
      </c>
      <c r="D469" s="2" t="s">
        <v>566</v>
      </c>
      <c r="E469" s="2">
        <v>80014</v>
      </c>
      <c r="F469" s="2" t="s">
        <v>496</v>
      </c>
      <c r="G469" s="2" t="s">
        <v>36</v>
      </c>
      <c r="H469" s="2">
        <v>1</v>
      </c>
      <c r="I469" s="2" t="s">
        <v>39</v>
      </c>
      <c r="J469" s="2" t="str">
        <f>VLOOKUP(E469,[1]LL_Hub!$A$1:$B$13,2,FALSE)</f>
        <v>Denver</v>
      </c>
      <c r="K469" t="str">
        <f>VLOOKUP(D469,'[2]product Table data'!$A$2:$B$12,2,FALSE)</f>
        <v>Female</v>
      </c>
      <c r="L469" t="str">
        <f>VLOOKUP($D469,'[2]product Table data'!$A$2:$G$12,L$1,FALSE)</f>
        <v>Casual n Light</v>
      </c>
      <c r="M469" t="str">
        <f>VLOOKUP($D469,'[2]product Table data'!$A$2:$G$12,M$1,FALSE)</f>
        <v>Guatemala</v>
      </c>
      <c r="N469" t="str">
        <f>VLOOKUP($D469,'[2]product Table data'!$A$2:$G$12,N$1,FALSE)</f>
        <v>Central America</v>
      </c>
      <c r="O469">
        <f>VLOOKUP($D469,'[2]product Table data'!$A$2:$G$12,O$1,FALSE)</f>
        <v>25</v>
      </c>
      <c r="P469">
        <f>VLOOKUP($D469,'[2]product Table data'!$A$2:$G$12,P$1,FALSE)</f>
        <v>30</v>
      </c>
      <c r="Q469">
        <f t="shared" si="35"/>
        <v>5</v>
      </c>
      <c r="R469" t="str">
        <f t="shared" si="36"/>
        <v>Hub Risk</v>
      </c>
      <c r="S469" t="str">
        <f t="shared" si="37"/>
        <v>Style Risk</v>
      </c>
      <c r="T469" t="str">
        <f t="shared" si="38"/>
        <v>Risk</v>
      </c>
      <c r="U469" t="str">
        <f t="shared" si="39"/>
        <v>Low Value</v>
      </c>
    </row>
    <row r="470" spans="1:21" hidden="1" x14ac:dyDescent="0.2">
      <c r="A470" s="2">
        <v>217</v>
      </c>
      <c r="B470" s="2" t="s">
        <v>9</v>
      </c>
      <c r="C470" s="2" t="s">
        <v>719</v>
      </c>
      <c r="D470" s="2" t="s">
        <v>566</v>
      </c>
      <c r="E470" s="2">
        <v>80014</v>
      </c>
      <c r="F470" s="2" t="s">
        <v>496</v>
      </c>
      <c r="G470" s="2" t="s">
        <v>36</v>
      </c>
      <c r="H470" s="2">
        <v>1</v>
      </c>
      <c r="I470" s="2" t="s">
        <v>39</v>
      </c>
      <c r="J470" s="2" t="str">
        <f>VLOOKUP(E470,[1]LL_Hub!$A$1:$B$13,2,FALSE)</f>
        <v>Denver</v>
      </c>
      <c r="K470" t="str">
        <f>VLOOKUP(D470,'[2]product Table data'!$A$2:$B$12,2,FALSE)</f>
        <v>Female</v>
      </c>
      <c r="L470" t="str">
        <f>VLOOKUP($D470,'[2]product Table data'!$A$2:$G$12,L$1,FALSE)</f>
        <v>Casual n Light</v>
      </c>
      <c r="M470" t="str">
        <f>VLOOKUP($D470,'[2]product Table data'!$A$2:$G$12,M$1,FALSE)</f>
        <v>Guatemala</v>
      </c>
      <c r="N470" t="str">
        <f>VLOOKUP($D470,'[2]product Table data'!$A$2:$G$12,N$1,FALSE)</f>
        <v>Central America</v>
      </c>
      <c r="O470">
        <f>VLOOKUP($D470,'[2]product Table data'!$A$2:$G$12,O$1,FALSE)</f>
        <v>25</v>
      </c>
      <c r="P470">
        <f>VLOOKUP($D470,'[2]product Table data'!$A$2:$G$12,P$1,FALSE)</f>
        <v>30</v>
      </c>
      <c r="Q470">
        <f t="shared" si="35"/>
        <v>5</v>
      </c>
      <c r="R470" t="str">
        <f t="shared" si="36"/>
        <v>Hub Risk</v>
      </c>
      <c r="S470" t="str">
        <f t="shared" si="37"/>
        <v>Style Risk</v>
      </c>
      <c r="T470" t="str">
        <f t="shared" si="38"/>
        <v>Risk</v>
      </c>
      <c r="U470" t="str">
        <f t="shared" si="39"/>
        <v>Low Value</v>
      </c>
    </row>
    <row r="471" spans="1:21" hidden="1" x14ac:dyDescent="0.2">
      <c r="A471" s="2">
        <v>218</v>
      </c>
      <c r="B471" s="2" t="s">
        <v>9</v>
      </c>
      <c r="C471" s="2" t="s">
        <v>720</v>
      </c>
      <c r="D471" s="2" t="s">
        <v>566</v>
      </c>
      <c r="E471" s="2">
        <v>80014</v>
      </c>
      <c r="F471" s="2" t="s">
        <v>496</v>
      </c>
      <c r="G471" s="2" t="s">
        <v>36</v>
      </c>
      <c r="H471" s="2">
        <v>1</v>
      </c>
      <c r="I471" s="2" t="s">
        <v>39</v>
      </c>
      <c r="J471" s="2" t="str">
        <f>VLOOKUP(E471,[1]LL_Hub!$A$1:$B$13,2,FALSE)</f>
        <v>Denver</v>
      </c>
      <c r="K471" t="str">
        <f>VLOOKUP(D471,'[2]product Table data'!$A$2:$B$12,2,FALSE)</f>
        <v>Female</v>
      </c>
      <c r="L471" t="str">
        <f>VLOOKUP($D471,'[2]product Table data'!$A$2:$G$12,L$1,FALSE)</f>
        <v>Casual n Light</v>
      </c>
      <c r="M471" t="str">
        <f>VLOOKUP($D471,'[2]product Table data'!$A$2:$G$12,M$1,FALSE)</f>
        <v>Guatemala</v>
      </c>
      <c r="N471" t="str">
        <f>VLOOKUP($D471,'[2]product Table data'!$A$2:$G$12,N$1,FALSE)</f>
        <v>Central America</v>
      </c>
      <c r="O471">
        <f>VLOOKUP($D471,'[2]product Table data'!$A$2:$G$12,O$1,FALSE)</f>
        <v>25</v>
      </c>
      <c r="P471">
        <f>VLOOKUP($D471,'[2]product Table data'!$A$2:$G$12,P$1,FALSE)</f>
        <v>30</v>
      </c>
      <c r="Q471">
        <f t="shared" si="35"/>
        <v>5</v>
      </c>
      <c r="R471" t="str">
        <f t="shared" si="36"/>
        <v>Hub Risk</v>
      </c>
      <c r="S471" t="str">
        <f t="shared" si="37"/>
        <v>Style Risk</v>
      </c>
      <c r="T471" t="str">
        <f t="shared" si="38"/>
        <v>Risk</v>
      </c>
      <c r="U471" t="str">
        <f t="shared" si="39"/>
        <v>Low Value</v>
      </c>
    </row>
    <row r="472" spans="1:21" hidden="1" x14ac:dyDescent="0.2">
      <c r="A472" s="2">
        <v>219</v>
      </c>
      <c r="B472" s="2" t="s">
        <v>9</v>
      </c>
      <c r="C472" s="2" t="s">
        <v>721</v>
      </c>
      <c r="D472" s="2" t="s">
        <v>566</v>
      </c>
      <c r="E472" s="2">
        <v>80014</v>
      </c>
      <c r="F472" s="2" t="s">
        <v>496</v>
      </c>
      <c r="G472" s="2" t="s">
        <v>36</v>
      </c>
      <c r="H472" s="2">
        <v>1</v>
      </c>
      <c r="I472" s="2" t="s">
        <v>39</v>
      </c>
      <c r="J472" s="2" t="str">
        <f>VLOOKUP(E472,[1]LL_Hub!$A$1:$B$13,2,FALSE)</f>
        <v>Denver</v>
      </c>
      <c r="K472" t="str">
        <f>VLOOKUP(D472,'[2]product Table data'!$A$2:$B$12,2,FALSE)</f>
        <v>Female</v>
      </c>
      <c r="L472" t="str">
        <f>VLOOKUP($D472,'[2]product Table data'!$A$2:$G$12,L$1,FALSE)</f>
        <v>Casual n Light</v>
      </c>
      <c r="M472" t="str">
        <f>VLOOKUP($D472,'[2]product Table data'!$A$2:$G$12,M$1,FALSE)</f>
        <v>Guatemala</v>
      </c>
      <c r="N472" t="str">
        <f>VLOOKUP($D472,'[2]product Table data'!$A$2:$G$12,N$1,FALSE)</f>
        <v>Central America</v>
      </c>
      <c r="O472">
        <f>VLOOKUP($D472,'[2]product Table data'!$A$2:$G$12,O$1,FALSE)</f>
        <v>25</v>
      </c>
      <c r="P472">
        <f>VLOOKUP($D472,'[2]product Table data'!$A$2:$G$12,P$1,FALSE)</f>
        <v>30</v>
      </c>
      <c r="Q472">
        <f t="shared" si="35"/>
        <v>5</v>
      </c>
      <c r="R472" t="str">
        <f t="shared" si="36"/>
        <v>Hub Risk</v>
      </c>
      <c r="S472" t="str">
        <f t="shared" si="37"/>
        <v>Style Risk</v>
      </c>
      <c r="T472" t="str">
        <f t="shared" si="38"/>
        <v>Risk</v>
      </c>
      <c r="U472" t="str">
        <f t="shared" si="39"/>
        <v>Low Value</v>
      </c>
    </row>
    <row r="473" spans="1:21" hidden="1" x14ac:dyDescent="0.2">
      <c r="A473" s="2">
        <v>220</v>
      </c>
      <c r="B473" s="2" t="s">
        <v>9</v>
      </c>
      <c r="C473" s="2" t="s">
        <v>722</v>
      </c>
      <c r="D473" s="2" t="s">
        <v>566</v>
      </c>
      <c r="E473" s="2">
        <v>80014</v>
      </c>
      <c r="F473" s="2" t="s">
        <v>496</v>
      </c>
      <c r="G473" s="2" t="s">
        <v>36</v>
      </c>
      <c r="H473" s="2">
        <v>1</v>
      </c>
      <c r="I473" s="2" t="s">
        <v>39</v>
      </c>
      <c r="J473" s="2" t="str">
        <f>VLOOKUP(E473,[1]LL_Hub!$A$1:$B$13,2,FALSE)</f>
        <v>Denver</v>
      </c>
      <c r="K473" t="str">
        <f>VLOOKUP(D473,'[2]product Table data'!$A$2:$B$12,2,FALSE)</f>
        <v>Female</v>
      </c>
      <c r="L473" t="str">
        <f>VLOOKUP($D473,'[2]product Table data'!$A$2:$G$12,L$1,FALSE)</f>
        <v>Casual n Light</v>
      </c>
      <c r="M473" t="str">
        <f>VLOOKUP($D473,'[2]product Table data'!$A$2:$G$12,M$1,FALSE)</f>
        <v>Guatemala</v>
      </c>
      <c r="N473" t="str">
        <f>VLOOKUP($D473,'[2]product Table data'!$A$2:$G$12,N$1,FALSE)</f>
        <v>Central America</v>
      </c>
      <c r="O473">
        <f>VLOOKUP($D473,'[2]product Table data'!$A$2:$G$12,O$1,FALSE)</f>
        <v>25</v>
      </c>
      <c r="P473">
        <f>VLOOKUP($D473,'[2]product Table data'!$A$2:$G$12,P$1,FALSE)</f>
        <v>30</v>
      </c>
      <c r="Q473">
        <f t="shared" si="35"/>
        <v>5</v>
      </c>
      <c r="R473" t="str">
        <f t="shared" si="36"/>
        <v>Hub Risk</v>
      </c>
      <c r="S473" t="str">
        <f t="shared" si="37"/>
        <v>Style Risk</v>
      </c>
      <c r="T473" t="str">
        <f t="shared" si="38"/>
        <v>Risk</v>
      </c>
      <c r="U473" t="str">
        <f t="shared" si="39"/>
        <v>Low Value</v>
      </c>
    </row>
    <row r="474" spans="1:21" hidden="1" x14ac:dyDescent="0.2">
      <c r="A474" s="2">
        <v>221</v>
      </c>
      <c r="B474" s="2" t="s">
        <v>9</v>
      </c>
      <c r="C474" s="2" t="s">
        <v>723</v>
      </c>
      <c r="D474" s="2" t="s">
        <v>566</v>
      </c>
      <c r="E474" s="2">
        <v>80014</v>
      </c>
      <c r="F474" s="2" t="s">
        <v>496</v>
      </c>
      <c r="G474" s="2" t="s">
        <v>36</v>
      </c>
      <c r="H474" s="2">
        <v>1</v>
      </c>
      <c r="I474" s="2" t="s">
        <v>39</v>
      </c>
      <c r="J474" s="2" t="str">
        <f>VLOOKUP(E474,[1]LL_Hub!$A$1:$B$13,2,FALSE)</f>
        <v>Denver</v>
      </c>
      <c r="K474" t="str">
        <f>VLOOKUP(D474,'[2]product Table data'!$A$2:$B$12,2,FALSE)</f>
        <v>Female</v>
      </c>
      <c r="L474" t="str">
        <f>VLOOKUP($D474,'[2]product Table data'!$A$2:$G$12,L$1,FALSE)</f>
        <v>Casual n Light</v>
      </c>
      <c r="M474" t="str">
        <f>VLOOKUP($D474,'[2]product Table data'!$A$2:$G$12,M$1,FALSE)</f>
        <v>Guatemala</v>
      </c>
      <c r="N474" t="str">
        <f>VLOOKUP($D474,'[2]product Table data'!$A$2:$G$12,N$1,FALSE)</f>
        <v>Central America</v>
      </c>
      <c r="O474">
        <f>VLOOKUP($D474,'[2]product Table data'!$A$2:$G$12,O$1,FALSE)</f>
        <v>25</v>
      </c>
      <c r="P474">
        <f>VLOOKUP($D474,'[2]product Table data'!$A$2:$G$12,P$1,FALSE)</f>
        <v>30</v>
      </c>
      <c r="Q474">
        <f t="shared" si="35"/>
        <v>5</v>
      </c>
      <c r="R474" t="str">
        <f t="shared" si="36"/>
        <v>Hub Risk</v>
      </c>
      <c r="S474" t="str">
        <f t="shared" si="37"/>
        <v>Style Risk</v>
      </c>
      <c r="T474" t="str">
        <f t="shared" si="38"/>
        <v>Risk</v>
      </c>
      <c r="U474" t="str">
        <f t="shared" si="39"/>
        <v>Low Value</v>
      </c>
    </row>
    <row r="475" spans="1:21" hidden="1" x14ac:dyDescent="0.2">
      <c r="A475" s="2">
        <v>222</v>
      </c>
      <c r="B475" s="2" t="s">
        <v>9</v>
      </c>
      <c r="C475" s="2" t="s">
        <v>724</v>
      </c>
      <c r="D475" s="2" t="s">
        <v>566</v>
      </c>
      <c r="E475" s="2">
        <v>80014</v>
      </c>
      <c r="F475" s="2" t="s">
        <v>496</v>
      </c>
      <c r="G475" s="2" t="s">
        <v>36</v>
      </c>
      <c r="H475" s="2">
        <v>1</v>
      </c>
      <c r="I475" s="2" t="s">
        <v>39</v>
      </c>
      <c r="J475" s="2" t="str">
        <f>VLOOKUP(E475,[1]LL_Hub!$A$1:$B$13,2,FALSE)</f>
        <v>Denver</v>
      </c>
      <c r="K475" t="str">
        <f>VLOOKUP(D475,'[2]product Table data'!$A$2:$B$12,2,FALSE)</f>
        <v>Female</v>
      </c>
      <c r="L475" t="str">
        <f>VLOOKUP($D475,'[2]product Table data'!$A$2:$G$12,L$1,FALSE)</f>
        <v>Casual n Light</v>
      </c>
      <c r="M475" t="str">
        <f>VLOOKUP($D475,'[2]product Table data'!$A$2:$G$12,M$1,FALSE)</f>
        <v>Guatemala</v>
      </c>
      <c r="N475" t="str">
        <f>VLOOKUP($D475,'[2]product Table data'!$A$2:$G$12,N$1,FALSE)</f>
        <v>Central America</v>
      </c>
      <c r="O475">
        <f>VLOOKUP($D475,'[2]product Table data'!$A$2:$G$12,O$1,FALSE)</f>
        <v>25</v>
      </c>
      <c r="P475">
        <f>VLOOKUP($D475,'[2]product Table data'!$A$2:$G$12,P$1,FALSE)</f>
        <v>30</v>
      </c>
      <c r="Q475">
        <f t="shared" si="35"/>
        <v>5</v>
      </c>
      <c r="R475" t="str">
        <f t="shared" si="36"/>
        <v>Hub Risk</v>
      </c>
      <c r="S475" t="str">
        <f t="shared" si="37"/>
        <v>Style Risk</v>
      </c>
      <c r="T475" t="str">
        <f t="shared" si="38"/>
        <v>Risk</v>
      </c>
      <c r="U475" t="str">
        <f t="shared" si="39"/>
        <v>Low Value</v>
      </c>
    </row>
    <row r="476" spans="1:21" hidden="1" x14ac:dyDescent="0.2">
      <c r="A476" s="2">
        <v>223</v>
      </c>
      <c r="B476" s="2" t="s">
        <v>9</v>
      </c>
      <c r="C476" s="2" t="s">
        <v>725</v>
      </c>
      <c r="D476" s="2" t="s">
        <v>566</v>
      </c>
      <c r="E476" s="2">
        <v>80014</v>
      </c>
      <c r="F476" s="2" t="s">
        <v>496</v>
      </c>
      <c r="G476" s="2" t="s">
        <v>36</v>
      </c>
      <c r="H476" s="2">
        <v>1</v>
      </c>
      <c r="I476" s="2" t="s">
        <v>39</v>
      </c>
      <c r="J476" s="2" t="str">
        <f>VLOOKUP(E476,[1]LL_Hub!$A$1:$B$13,2,FALSE)</f>
        <v>Denver</v>
      </c>
      <c r="K476" t="str">
        <f>VLOOKUP(D476,'[2]product Table data'!$A$2:$B$12,2,FALSE)</f>
        <v>Female</v>
      </c>
      <c r="L476" t="str">
        <f>VLOOKUP($D476,'[2]product Table data'!$A$2:$G$12,L$1,FALSE)</f>
        <v>Casual n Light</v>
      </c>
      <c r="M476" t="str">
        <f>VLOOKUP($D476,'[2]product Table data'!$A$2:$G$12,M$1,FALSE)</f>
        <v>Guatemala</v>
      </c>
      <c r="N476" t="str">
        <f>VLOOKUP($D476,'[2]product Table data'!$A$2:$G$12,N$1,FALSE)</f>
        <v>Central America</v>
      </c>
      <c r="O476">
        <f>VLOOKUP($D476,'[2]product Table data'!$A$2:$G$12,O$1,FALSE)</f>
        <v>25</v>
      </c>
      <c r="P476">
        <f>VLOOKUP($D476,'[2]product Table data'!$A$2:$G$12,P$1,FALSE)</f>
        <v>30</v>
      </c>
      <c r="Q476">
        <f t="shared" si="35"/>
        <v>5</v>
      </c>
      <c r="R476" t="str">
        <f t="shared" si="36"/>
        <v>Hub Risk</v>
      </c>
      <c r="S476" t="str">
        <f t="shared" si="37"/>
        <v>Style Risk</v>
      </c>
      <c r="T476" t="str">
        <f t="shared" si="38"/>
        <v>Risk</v>
      </c>
      <c r="U476" t="str">
        <f t="shared" si="39"/>
        <v>Low Value</v>
      </c>
    </row>
    <row r="477" spans="1:21" hidden="1" x14ac:dyDescent="0.2">
      <c r="A477" s="2">
        <v>224</v>
      </c>
      <c r="B477" s="2" t="s">
        <v>9</v>
      </c>
      <c r="C477" s="2" t="s">
        <v>726</v>
      </c>
      <c r="D477" s="2" t="s">
        <v>45</v>
      </c>
      <c r="E477" s="2">
        <v>80014</v>
      </c>
      <c r="F477" s="2" t="s">
        <v>727</v>
      </c>
      <c r="G477" s="2" t="s">
        <v>13</v>
      </c>
      <c r="H477" s="2">
        <v>1</v>
      </c>
      <c r="I477" s="2" t="s">
        <v>39</v>
      </c>
      <c r="J477" s="2" t="str">
        <f>VLOOKUP(E477,[1]LL_Hub!$A$1:$B$13,2,FALSE)</f>
        <v>Denver</v>
      </c>
      <c r="K477" t="str">
        <f>VLOOKUP(D477,'[2]product Table data'!$A$2:$B$12,2,FALSE)</f>
        <v>Female</v>
      </c>
      <c r="L477" t="str">
        <f>VLOOKUP($D477,'[2]product Table data'!$A$2:$G$12,L$1,FALSE)</f>
        <v>Winter Warmth</v>
      </c>
      <c r="M477" t="str">
        <f>VLOOKUP($D477,'[2]product Table data'!$A$2:$G$12,M$1,FALSE)</f>
        <v>Romania</v>
      </c>
      <c r="N477" t="str">
        <f>VLOOKUP($D477,'[2]product Table data'!$A$2:$G$12,N$1,FALSE)</f>
        <v>Eastern Europe</v>
      </c>
      <c r="O477">
        <f>VLOOKUP($D477,'[2]product Table data'!$A$2:$G$12,O$1,FALSE)</f>
        <v>350</v>
      </c>
      <c r="P477">
        <f>VLOOKUP($D477,'[2]product Table data'!$A$2:$G$12,P$1,FALSE)</f>
        <v>450</v>
      </c>
      <c r="Q477">
        <f t="shared" si="35"/>
        <v>100</v>
      </c>
      <c r="R477" t="str">
        <f t="shared" si="36"/>
        <v>Hub Risk</v>
      </c>
      <c r="S477" t="str">
        <f t="shared" si="37"/>
        <v>-</v>
      </c>
      <c r="T477" t="str">
        <f t="shared" si="38"/>
        <v>-</v>
      </c>
      <c r="U477" t="str">
        <f t="shared" si="39"/>
        <v>High Value</v>
      </c>
    </row>
    <row r="478" spans="1:21" hidden="1" x14ac:dyDescent="0.2">
      <c r="A478" s="2">
        <v>225</v>
      </c>
      <c r="B478" s="2" t="s">
        <v>9</v>
      </c>
      <c r="C478" s="2" t="s">
        <v>728</v>
      </c>
      <c r="D478" s="2" t="s">
        <v>566</v>
      </c>
      <c r="E478" s="2">
        <v>80014</v>
      </c>
      <c r="F478" s="2" t="s">
        <v>496</v>
      </c>
      <c r="G478" s="2" t="s">
        <v>36</v>
      </c>
      <c r="H478" s="2">
        <v>1</v>
      </c>
      <c r="I478" s="2" t="s">
        <v>39</v>
      </c>
      <c r="J478" s="2" t="str">
        <f>VLOOKUP(E478,[1]LL_Hub!$A$1:$B$13,2,FALSE)</f>
        <v>Denver</v>
      </c>
      <c r="K478" t="str">
        <f>VLOOKUP(D478,'[2]product Table data'!$A$2:$B$12,2,FALSE)</f>
        <v>Female</v>
      </c>
      <c r="L478" t="str">
        <f>VLOOKUP($D478,'[2]product Table data'!$A$2:$G$12,L$1,FALSE)</f>
        <v>Casual n Light</v>
      </c>
      <c r="M478" t="str">
        <f>VLOOKUP($D478,'[2]product Table data'!$A$2:$G$12,M$1,FALSE)</f>
        <v>Guatemala</v>
      </c>
      <c r="N478" t="str">
        <f>VLOOKUP($D478,'[2]product Table data'!$A$2:$G$12,N$1,FALSE)</f>
        <v>Central America</v>
      </c>
      <c r="O478">
        <f>VLOOKUP($D478,'[2]product Table data'!$A$2:$G$12,O$1,FALSE)</f>
        <v>25</v>
      </c>
      <c r="P478">
        <f>VLOOKUP($D478,'[2]product Table data'!$A$2:$G$12,P$1,FALSE)</f>
        <v>30</v>
      </c>
      <c r="Q478">
        <f t="shared" si="35"/>
        <v>5</v>
      </c>
      <c r="R478" t="str">
        <f t="shared" si="36"/>
        <v>Hub Risk</v>
      </c>
      <c r="S478" t="str">
        <f t="shared" si="37"/>
        <v>Style Risk</v>
      </c>
      <c r="T478" t="str">
        <f t="shared" si="38"/>
        <v>Risk</v>
      </c>
      <c r="U478" t="str">
        <f t="shared" si="39"/>
        <v>Low Value</v>
      </c>
    </row>
    <row r="479" spans="1:21" hidden="1" x14ac:dyDescent="0.2">
      <c r="A479" s="2">
        <v>226</v>
      </c>
      <c r="B479" s="2" t="s">
        <v>9</v>
      </c>
      <c r="C479" s="2" t="s">
        <v>729</v>
      </c>
      <c r="D479" s="2" t="s">
        <v>566</v>
      </c>
      <c r="E479" s="2">
        <v>80014</v>
      </c>
      <c r="F479" s="2" t="s">
        <v>496</v>
      </c>
      <c r="G479" s="2" t="s">
        <v>36</v>
      </c>
      <c r="H479" s="2">
        <v>1</v>
      </c>
      <c r="I479" s="2" t="s">
        <v>39</v>
      </c>
      <c r="J479" s="2" t="str">
        <f>VLOOKUP(E479,[1]LL_Hub!$A$1:$B$13,2,FALSE)</f>
        <v>Denver</v>
      </c>
      <c r="K479" t="str">
        <f>VLOOKUP(D479,'[2]product Table data'!$A$2:$B$12,2,FALSE)</f>
        <v>Female</v>
      </c>
      <c r="L479" t="str">
        <f>VLOOKUP($D479,'[2]product Table data'!$A$2:$G$12,L$1,FALSE)</f>
        <v>Casual n Light</v>
      </c>
      <c r="M479" t="str">
        <f>VLOOKUP($D479,'[2]product Table data'!$A$2:$G$12,M$1,FALSE)</f>
        <v>Guatemala</v>
      </c>
      <c r="N479" t="str">
        <f>VLOOKUP($D479,'[2]product Table data'!$A$2:$G$12,N$1,FALSE)</f>
        <v>Central America</v>
      </c>
      <c r="O479">
        <f>VLOOKUP($D479,'[2]product Table data'!$A$2:$G$12,O$1,FALSE)</f>
        <v>25</v>
      </c>
      <c r="P479">
        <f>VLOOKUP($D479,'[2]product Table data'!$A$2:$G$12,P$1,FALSE)</f>
        <v>30</v>
      </c>
      <c r="Q479">
        <f t="shared" si="35"/>
        <v>5</v>
      </c>
      <c r="R479" t="str">
        <f t="shared" si="36"/>
        <v>Hub Risk</v>
      </c>
      <c r="S479" t="str">
        <f t="shared" si="37"/>
        <v>Style Risk</v>
      </c>
      <c r="T479" t="str">
        <f t="shared" si="38"/>
        <v>Risk</v>
      </c>
      <c r="U479" t="str">
        <f t="shared" si="39"/>
        <v>Low Value</v>
      </c>
    </row>
    <row r="480" spans="1:21" hidden="1" x14ac:dyDescent="0.2">
      <c r="A480" s="2">
        <v>227</v>
      </c>
      <c r="B480" s="2" t="s">
        <v>9</v>
      </c>
      <c r="C480" s="2" t="s">
        <v>730</v>
      </c>
      <c r="D480" s="2" t="s">
        <v>45</v>
      </c>
      <c r="E480" s="2">
        <v>80014</v>
      </c>
      <c r="F480" s="2" t="s">
        <v>731</v>
      </c>
      <c r="G480" s="2" t="s">
        <v>13</v>
      </c>
      <c r="H480" s="2">
        <v>1</v>
      </c>
      <c r="I480" s="2" t="s">
        <v>39</v>
      </c>
      <c r="J480" s="2" t="str">
        <f>VLOOKUP(E480,[1]LL_Hub!$A$1:$B$13,2,FALSE)</f>
        <v>Denver</v>
      </c>
      <c r="K480" t="str">
        <f>VLOOKUP(D480,'[2]product Table data'!$A$2:$B$12,2,FALSE)</f>
        <v>Female</v>
      </c>
      <c r="L480" t="str">
        <f>VLOOKUP($D480,'[2]product Table data'!$A$2:$G$12,L$1,FALSE)</f>
        <v>Winter Warmth</v>
      </c>
      <c r="M480" t="str">
        <f>VLOOKUP($D480,'[2]product Table data'!$A$2:$G$12,M$1,FALSE)</f>
        <v>Romania</v>
      </c>
      <c r="N480" t="str">
        <f>VLOOKUP($D480,'[2]product Table data'!$A$2:$G$12,N$1,FALSE)</f>
        <v>Eastern Europe</v>
      </c>
      <c r="O480">
        <f>VLOOKUP($D480,'[2]product Table data'!$A$2:$G$12,O$1,FALSE)</f>
        <v>350</v>
      </c>
      <c r="P480">
        <f>VLOOKUP($D480,'[2]product Table data'!$A$2:$G$12,P$1,FALSE)</f>
        <v>450</v>
      </c>
      <c r="Q480">
        <f t="shared" si="35"/>
        <v>100</v>
      </c>
      <c r="R480" t="str">
        <f t="shared" si="36"/>
        <v>Hub Risk</v>
      </c>
      <c r="S480" t="str">
        <f t="shared" si="37"/>
        <v>-</v>
      </c>
      <c r="T480" t="str">
        <f t="shared" si="38"/>
        <v>-</v>
      </c>
      <c r="U480" t="str">
        <f t="shared" si="39"/>
        <v>High Value</v>
      </c>
    </row>
    <row r="481" spans="1:21" hidden="1" x14ac:dyDescent="0.2">
      <c r="A481" s="2">
        <v>228</v>
      </c>
      <c r="B481" s="2" t="s">
        <v>9</v>
      </c>
      <c r="C481" s="2" t="s">
        <v>732</v>
      </c>
      <c r="D481" s="2" t="s">
        <v>566</v>
      </c>
      <c r="E481" s="2">
        <v>80014</v>
      </c>
      <c r="F481" s="2" t="s">
        <v>496</v>
      </c>
      <c r="G481" s="2" t="s">
        <v>36</v>
      </c>
      <c r="H481" s="2">
        <v>1</v>
      </c>
      <c r="I481" s="2" t="s">
        <v>39</v>
      </c>
      <c r="J481" s="2" t="str">
        <f>VLOOKUP(E481,[1]LL_Hub!$A$1:$B$13,2,FALSE)</f>
        <v>Denver</v>
      </c>
      <c r="K481" t="str">
        <f>VLOOKUP(D481,'[2]product Table data'!$A$2:$B$12,2,FALSE)</f>
        <v>Female</v>
      </c>
      <c r="L481" t="str">
        <f>VLOOKUP($D481,'[2]product Table data'!$A$2:$G$12,L$1,FALSE)</f>
        <v>Casual n Light</v>
      </c>
      <c r="M481" t="str">
        <f>VLOOKUP($D481,'[2]product Table data'!$A$2:$G$12,M$1,FALSE)</f>
        <v>Guatemala</v>
      </c>
      <c r="N481" t="str">
        <f>VLOOKUP($D481,'[2]product Table data'!$A$2:$G$12,N$1,FALSE)</f>
        <v>Central America</v>
      </c>
      <c r="O481">
        <f>VLOOKUP($D481,'[2]product Table data'!$A$2:$G$12,O$1,FALSE)</f>
        <v>25</v>
      </c>
      <c r="P481">
        <f>VLOOKUP($D481,'[2]product Table data'!$A$2:$G$12,P$1,FALSE)</f>
        <v>30</v>
      </c>
      <c r="Q481">
        <f t="shared" si="35"/>
        <v>5</v>
      </c>
      <c r="R481" t="str">
        <f t="shared" si="36"/>
        <v>Hub Risk</v>
      </c>
      <c r="S481" t="str">
        <f t="shared" si="37"/>
        <v>Style Risk</v>
      </c>
      <c r="T481" t="str">
        <f t="shared" si="38"/>
        <v>Risk</v>
      </c>
      <c r="U481" t="str">
        <f t="shared" si="39"/>
        <v>Low Value</v>
      </c>
    </row>
    <row r="482" spans="1:21" hidden="1" x14ac:dyDescent="0.2">
      <c r="A482" s="2">
        <v>229</v>
      </c>
      <c r="B482" s="2" t="s">
        <v>9</v>
      </c>
      <c r="C482" s="2" t="s">
        <v>733</v>
      </c>
      <c r="D482" s="2" t="s">
        <v>566</v>
      </c>
      <c r="E482" s="2">
        <v>80014</v>
      </c>
      <c r="F482" s="2" t="s">
        <v>496</v>
      </c>
      <c r="G482" s="2" t="s">
        <v>36</v>
      </c>
      <c r="H482" s="2">
        <v>1</v>
      </c>
      <c r="I482" s="2" t="s">
        <v>39</v>
      </c>
      <c r="J482" s="2" t="str">
        <f>VLOOKUP(E482,[1]LL_Hub!$A$1:$B$13,2,FALSE)</f>
        <v>Denver</v>
      </c>
      <c r="K482" t="str">
        <f>VLOOKUP(D482,'[2]product Table data'!$A$2:$B$12,2,FALSE)</f>
        <v>Female</v>
      </c>
      <c r="L482" t="str">
        <f>VLOOKUP($D482,'[2]product Table data'!$A$2:$G$12,L$1,FALSE)</f>
        <v>Casual n Light</v>
      </c>
      <c r="M482" t="str">
        <f>VLOOKUP($D482,'[2]product Table data'!$A$2:$G$12,M$1,FALSE)</f>
        <v>Guatemala</v>
      </c>
      <c r="N482" t="str">
        <f>VLOOKUP($D482,'[2]product Table data'!$A$2:$G$12,N$1,FALSE)</f>
        <v>Central America</v>
      </c>
      <c r="O482">
        <f>VLOOKUP($D482,'[2]product Table data'!$A$2:$G$12,O$1,FALSE)</f>
        <v>25</v>
      </c>
      <c r="P482">
        <f>VLOOKUP($D482,'[2]product Table data'!$A$2:$G$12,P$1,FALSE)</f>
        <v>30</v>
      </c>
      <c r="Q482">
        <f t="shared" si="35"/>
        <v>5</v>
      </c>
      <c r="R482" t="str">
        <f t="shared" si="36"/>
        <v>Hub Risk</v>
      </c>
      <c r="S482" t="str">
        <f t="shared" si="37"/>
        <v>Style Risk</v>
      </c>
      <c r="T482" t="str">
        <f t="shared" si="38"/>
        <v>Risk</v>
      </c>
      <c r="U482" t="str">
        <f t="shared" si="39"/>
        <v>Low Value</v>
      </c>
    </row>
    <row r="483" spans="1:21" x14ac:dyDescent="0.2">
      <c r="A483" s="2">
        <v>552</v>
      </c>
      <c r="B483" s="2" t="s">
        <v>9</v>
      </c>
      <c r="C483" s="2" t="s">
        <v>1155</v>
      </c>
      <c r="D483" s="2" t="s">
        <v>558</v>
      </c>
      <c r="E483" s="2">
        <v>90005</v>
      </c>
      <c r="F483" s="2" t="s">
        <v>981</v>
      </c>
      <c r="G483" s="2" t="s">
        <v>36</v>
      </c>
      <c r="H483" s="2">
        <v>1</v>
      </c>
      <c r="I483" s="2" t="s">
        <v>14</v>
      </c>
      <c r="J483" s="2" t="str">
        <f>VLOOKUP(E483,[1]LL_Hub!$A$1:$B$13,2,FALSE)</f>
        <v>Los Angeles</v>
      </c>
      <c r="K483" t="str">
        <f>VLOOKUP(D483,'[2]product Table data'!$A$2:$B$12,2,FALSE)</f>
        <v>Female</v>
      </c>
      <c r="L483" t="str">
        <f>VLOOKUP($D483,'[2]product Table data'!$A$2:$G$12,L$1,FALSE)</f>
        <v>Fancy Sheek</v>
      </c>
      <c r="M483" t="str">
        <f>VLOOKUP($D483,'[2]product Table data'!$A$2:$G$12,M$1,FALSE)</f>
        <v>Afghanistan</v>
      </c>
      <c r="N483" t="str">
        <f>VLOOKUP($D483,'[2]product Table data'!$A$2:$G$12,N$1,FALSE)</f>
        <v>Middle East</v>
      </c>
      <c r="O483">
        <f>VLOOKUP($D483,'[2]product Table data'!$A$2:$G$12,O$1,FALSE)</f>
        <v>150</v>
      </c>
      <c r="P483">
        <f>VLOOKUP($D483,'[2]product Table data'!$A$2:$G$12,P$1,FALSE)</f>
        <v>75</v>
      </c>
      <c r="Q483">
        <f t="shared" si="35"/>
        <v>-75</v>
      </c>
      <c r="R483" t="str">
        <f t="shared" si="36"/>
        <v>Hub Risk</v>
      </c>
      <c r="S483" t="str">
        <f t="shared" si="37"/>
        <v>Style Risk</v>
      </c>
      <c r="T483" t="str">
        <f t="shared" si="38"/>
        <v>Risk</v>
      </c>
      <c r="U483" t="str">
        <f t="shared" si="39"/>
        <v>Low Value</v>
      </c>
    </row>
    <row r="484" spans="1:21" hidden="1" x14ac:dyDescent="0.2">
      <c r="A484" s="2">
        <v>231</v>
      </c>
      <c r="B484" s="2" t="s">
        <v>9</v>
      </c>
      <c r="C484" s="2" t="s">
        <v>736</v>
      </c>
      <c r="D484" s="2" t="s">
        <v>566</v>
      </c>
      <c r="E484" s="2">
        <v>80014</v>
      </c>
      <c r="F484" s="2" t="s">
        <v>496</v>
      </c>
      <c r="G484" s="2" t="s">
        <v>36</v>
      </c>
      <c r="H484" s="2">
        <v>1</v>
      </c>
      <c r="I484" s="2" t="s">
        <v>39</v>
      </c>
      <c r="J484" s="2" t="str">
        <f>VLOOKUP(E484,[1]LL_Hub!$A$1:$B$13,2,FALSE)</f>
        <v>Denver</v>
      </c>
      <c r="K484" t="str">
        <f>VLOOKUP(D484,'[2]product Table data'!$A$2:$B$12,2,FALSE)</f>
        <v>Female</v>
      </c>
      <c r="L484" t="str">
        <f>VLOOKUP($D484,'[2]product Table data'!$A$2:$G$12,L$1,FALSE)</f>
        <v>Casual n Light</v>
      </c>
      <c r="M484" t="str">
        <f>VLOOKUP($D484,'[2]product Table data'!$A$2:$G$12,M$1,FALSE)</f>
        <v>Guatemala</v>
      </c>
      <c r="N484" t="str">
        <f>VLOOKUP($D484,'[2]product Table data'!$A$2:$G$12,N$1,FALSE)</f>
        <v>Central America</v>
      </c>
      <c r="O484">
        <f>VLOOKUP($D484,'[2]product Table data'!$A$2:$G$12,O$1,FALSE)</f>
        <v>25</v>
      </c>
      <c r="P484">
        <f>VLOOKUP($D484,'[2]product Table data'!$A$2:$G$12,P$1,FALSE)</f>
        <v>30</v>
      </c>
      <c r="Q484">
        <f t="shared" si="35"/>
        <v>5</v>
      </c>
      <c r="R484" t="str">
        <f t="shared" si="36"/>
        <v>Hub Risk</v>
      </c>
      <c r="S484" t="str">
        <f t="shared" si="37"/>
        <v>Style Risk</v>
      </c>
      <c r="T484" t="str">
        <f t="shared" si="38"/>
        <v>Risk</v>
      </c>
      <c r="U484" t="str">
        <f t="shared" si="39"/>
        <v>Low Value</v>
      </c>
    </row>
    <row r="485" spans="1:21" hidden="1" x14ac:dyDescent="0.2">
      <c r="A485" s="2">
        <v>232</v>
      </c>
      <c r="B485" s="2" t="s">
        <v>9</v>
      </c>
      <c r="C485" s="2" t="s">
        <v>737</v>
      </c>
      <c r="D485" s="2" t="s">
        <v>566</v>
      </c>
      <c r="E485" s="2">
        <v>80014</v>
      </c>
      <c r="F485" s="2" t="s">
        <v>738</v>
      </c>
      <c r="G485" s="2" t="s">
        <v>13</v>
      </c>
      <c r="H485" s="2">
        <v>1</v>
      </c>
      <c r="I485" s="2" t="s">
        <v>39</v>
      </c>
      <c r="J485" s="2" t="str">
        <f>VLOOKUP(E485,[1]LL_Hub!$A$1:$B$13,2,FALSE)</f>
        <v>Denver</v>
      </c>
      <c r="K485" t="str">
        <f>VLOOKUP(D485,'[2]product Table data'!$A$2:$B$12,2,FALSE)</f>
        <v>Female</v>
      </c>
      <c r="L485" t="str">
        <f>VLOOKUP($D485,'[2]product Table data'!$A$2:$G$12,L$1,FALSE)</f>
        <v>Casual n Light</v>
      </c>
      <c r="M485" t="str">
        <f>VLOOKUP($D485,'[2]product Table data'!$A$2:$G$12,M$1,FALSE)</f>
        <v>Guatemala</v>
      </c>
      <c r="N485" t="str">
        <f>VLOOKUP($D485,'[2]product Table data'!$A$2:$G$12,N$1,FALSE)</f>
        <v>Central America</v>
      </c>
      <c r="O485">
        <f>VLOOKUP($D485,'[2]product Table data'!$A$2:$G$12,O$1,FALSE)</f>
        <v>25</v>
      </c>
      <c r="P485">
        <f>VLOOKUP($D485,'[2]product Table data'!$A$2:$G$12,P$1,FALSE)</f>
        <v>30</v>
      </c>
      <c r="Q485">
        <f t="shared" si="35"/>
        <v>5</v>
      </c>
      <c r="R485" t="str">
        <f t="shared" si="36"/>
        <v>Hub Risk</v>
      </c>
      <c r="S485" t="str">
        <f t="shared" si="37"/>
        <v>Style Risk</v>
      </c>
      <c r="T485" t="str">
        <f t="shared" si="38"/>
        <v>Risk</v>
      </c>
      <c r="U485" t="str">
        <f t="shared" si="39"/>
        <v>Low Value</v>
      </c>
    </row>
    <row r="486" spans="1:21" hidden="1" x14ac:dyDescent="0.2">
      <c r="A486" s="2">
        <v>233</v>
      </c>
      <c r="B486" s="2" t="s">
        <v>9</v>
      </c>
      <c r="C486" s="2" t="s">
        <v>739</v>
      </c>
      <c r="D486" s="2" t="s">
        <v>566</v>
      </c>
      <c r="E486" s="2">
        <v>80014</v>
      </c>
      <c r="F486" s="2" t="s">
        <v>740</v>
      </c>
      <c r="G486" s="2" t="s">
        <v>13</v>
      </c>
      <c r="H486" s="2">
        <v>1</v>
      </c>
      <c r="I486" s="2" t="s">
        <v>39</v>
      </c>
      <c r="J486" s="2" t="str">
        <f>VLOOKUP(E486,[1]LL_Hub!$A$1:$B$13,2,FALSE)</f>
        <v>Denver</v>
      </c>
      <c r="K486" t="str">
        <f>VLOOKUP(D486,'[2]product Table data'!$A$2:$B$12,2,FALSE)</f>
        <v>Female</v>
      </c>
      <c r="L486" t="str">
        <f>VLOOKUP($D486,'[2]product Table data'!$A$2:$G$12,L$1,FALSE)</f>
        <v>Casual n Light</v>
      </c>
      <c r="M486" t="str">
        <f>VLOOKUP($D486,'[2]product Table data'!$A$2:$G$12,M$1,FALSE)</f>
        <v>Guatemala</v>
      </c>
      <c r="N486" t="str">
        <f>VLOOKUP($D486,'[2]product Table data'!$A$2:$G$12,N$1,FALSE)</f>
        <v>Central America</v>
      </c>
      <c r="O486">
        <f>VLOOKUP($D486,'[2]product Table data'!$A$2:$G$12,O$1,FALSE)</f>
        <v>25</v>
      </c>
      <c r="P486">
        <f>VLOOKUP($D486,'[2]product Table data'!$A$2:$G$12,P$1,FALSE)</f>
        <v>30</v>
      </c>
      <c r="Q486">
        <f t="shared" si="35"/>
        <v>5</v>
      </c>
      <c r="R486" t="str">
        <f t="shared" si="36"/>
        <v>Hub Risk</v>
      </c>
      <c r="S486" t="str">
        <f t="shared" si="37"/>
        <v>Style Risk</v>
      </c>
      <c r="T486" t="str">
        <f t="shared" si="38"/>
        <v>Risk</v>
      </c>
      <c r="U486" t="str">
        <f t="shared" si="39"/>
        <v>Low Value</v>
      </c>
    </row>
    <row r="487" spans="1:21" x14ac:dyDescent="0.2">
      <c r="A487" s="2">
        <v>553</v>
      </c>
      <c r="B487" s="2" t="s">
        <v>9</v>
      </c>
      <c r="C487" s="2" t="s">
        <v>1156</v>
      </c>
      <c r="D487" s="2" t="s">
        <v>558</v>
      </c>
      <c r="E487" s="2">
        <v>90005</v>
      </c>
      <c r="F487" s="2" t="s">
        <v>981</v>
      </c>
      <c r="G487" s="2" t="s">
        <v>36</v>
      </c>
      <c r="H487" s="2">
        <v>1</v>
      </c>
      <c r="I487" s="2" t="s">
        <v>14</v>
      </c>
      <c r="J487" s="2" t="str">
        <f>VLOOKUP(E487,[1]LL_Hub!$A$1:$B$13,2,FALSE)</f>
        <v>Los Angeles</v>
      </c>
      <c r="K487" t="str">
        <f>VLOOKUP(D487,'[2]product Table data'!$A$2:$B$12,2,FALSE)</f>
        <v>Female</v>
      </c>
      <c r="L487" t="str">
        <f>VLOOKUP($D487,'[2]product Table data'!$A$2:$G$12,L$1,FALSE)</f>
        <v>Fancy Sheek</v>
      </c>
      <c r="M487" t="str">
        <f>VLOOKUP($D487,'[2]product Table data'!$A$2:$G$12,M$1,FALSE)</f>
        <v>Afghanistan</v>
      </c>
      <c r="N487" t="str">
        <f>VLOOKUP($D487,'[2]product Table data'!$A$2:$G$12,N$1,FALSE)</f>
        <v>Middle East</v>
      </c>
      <c r="O487">
        <f>VLOOKUP($D487,'[2]product Table data'!$A$2:$G$12,O$1,FALSE)</f>
        <v>150</v>
      </c>
      <c r="P487">
        <f>VLOOKUP($D487,'[2]product Table data'!$A$2:$G$12,P$1,FALSE)</f>
        <v>75</v>
      </c>
      <c r="Q487">
        <f t="shared" si="35"/>
        <v>-75</v>
      </c>
      <c r="R487" t="str">
        <f t="shared" si="36"/>
        <v>Hub Risk</v>
      </c>
      <c r="S487" t="str">
        <f t="shared" si="37"/>
        <v>Style Risk</v>
      </c>
      <c r="T487" t="str">
        <f t="shared" si="38"/>
        <v>Risk</v>
      </c>
      <c r="U487" t="str">
        <f t="shared" si="39"/>
        <v>Low Value</v>
      </c>
    </row>
    <row r="488" spans="1:21" hidden="1" x14ac:dyDescent="0.2">
      <c r="A488" s="2">
        <v>235</v>
      </c>
      <c r="B488" s="2" t="s">
        <v>9</v>
      </c>
      <c r="C488" s="2" t="s">
        <v>743</v>
      </c>
      <c r="D488" s="2" t="s">
        <v>566</v>
      </c>
      <c r="E488" s="2">
        <v>80014</v>
      </c>
      <c r="F488" s="2" t="s">
        <v>744</v>
      </c>
      <c r="G488" s="2" t="s">
        <v>13</v>
      </c>
      <c r="H488" s="2">
        <v>1</v>
      </c>
      <c r="I488" s="2" t="s">
        <v>39</v>
      </c>
      <c r="J488" s="2" t="str">
        <f>VLOOKUP(E488,[1]LL_Hub!$A$1:$B$13,2,FALSE)</f>
        <v>Denver</v>
      </c>
      <c r="K488" t="str">
        <f>VLOOKUP(D488,'[2]product Table data'!$A$2:$B$12,2,FALSE)</f>
        <v>Female</v>
      </c>
      <c r="L488" t="str">
        <f>VLOOKUP($D488,'[2]product Table data'!$A$2:$G$12,L$1,FALSE)</f>
        <v>Casual n Light</v>
      </c>
      <c r="M488" t="str">
        <f>VLOOKUP($D488,'[2]product Table data'!$A$2:$G$12,M$1,FALSE)</f>
        <v>Guatemala</v>
      </c>
      <c r="N488" t="str">
        <f>VLOOKUP($D488,'[2]product Table data'!$A$2:$G$12,N$1,FALSE)</f>
        <v>Central America</v>
      </c>
      <c r="O488">
        <f>VLOOKUP($D488,'[2]product Table data'!$A$2:$G$12,O$1,FALSE)</f>
        <v>25</v>
      </c>
      <c r="P488">
        <f>VLOOKUP($D488,'[2]product Table data'!$A$2:$G$12,P$1,FALSE)</f>
        <v>30</v>
      </c>
      <c r="Q488">
        <f t="shared" si="35"/>
        <v>5</v>
      </c>
      <c r="R488" t="str">
        <f t="shared" si="36"/>
        <v>Hub Risk</v>
      </c>
      <c r="S488" t="str">
        <f t="shared" si="37"/>
        <v>Style Risk</v>
      </c>
      <c r="T488" t="str">
        <f t="shared" si="38"/>
        <v>Risk</v>
      </c>
      <c r="U488" t="str">
        <f t="shared" si="39"/>
        <v>Low Value</v>
      </c>
    </row>
    <row r="489" spans="1:21" hidden="1" x14ac:dyDescent="0.2">
      <c r="A489" s="2">
        <v>236</v>
      </c>
      <c r="B489" s="2" t="s">
        <v>9</v>
      </c>
      <c r="C489" s="2" t="s">
        <v>745</v>
      </c>
      <c r="D489" s="2" t="s">
        <v>566</v>
      </c>
      <c r="E489" s="2">
        <v>80014</v>
      </c>
      <c r="F489" s="2" t="s">
        <v>746</v>
      </c>
      <c r="G489" s="2" t="s">
        <v>13</v>
      </c>
      <c r="H489" s="2">
        <v>1</v>
      </c>
      <c r="I489" s="2" t="s">
        <v>39</v>
      </c>
      <c r="J489" s="2" t="str">
        <f>VLOOKUP(E489,[1]LL_Hub!$A$1:$B$13,2,FALSE)</f>
        <v>Denver</v>
      </c>
      <c r="K489" t="str">
        <f>VLOOKUP(D489,'[2]product Table data'!$A$2:$B$12,2,FALSE)</f>
        <v>Female</v>
      </c>
      <c r="L489" t="str">
        <f>VLOOKUP($D489,'[2]product Table data'!$A$2:$G$12,L$1,FALSE)</f>
        <v>Casual n Light</v>
      </c>
      <c r="M489" t="str">
        <f>VLOOKUP($D489,'[2]product Table data'!$A$2:$G$12,M$1,FALSE)</f>
        <v>Guatemala</v>
      </c>
      <c r="N489" t="str">
        <f>VLOOKUP($D489,'[2]product Table data'!$A$2:$G$12,N$1,FALSE)</f>
        <v>Central America</v>
      </c>
      <c r="O489">
        <f>VLOOKUP($D489,'[2]product Table data'!$A$2:$G$12,O$1,FALSE)</f>
        <v>25</v>
      </c>
      <c r="P489">
        <f>VLOOKUP($D489,'[2]product Table data'!$A$2:$G$12,P$1,FALSE)</f>
        <v>30</v>
      </c>
      <c r="Q489">
        <f t="shared" si="35"/>
        <v>5</v>
      </c>
      <c r="R489" t="str">
        <f t="shared" si="36"/>
        <v>Hub Risk</v>
      </c>
      <c r="S489" t="str">
        <f t="shared" si="37"/>
        <v>Style Risk</v>
      </c>
      <c r="T489" t="str">
        <f t="shared" si="38"/>
        <v>Risk</v>
      </c>
      <c r="U489" t="str">
        <f t="shared" si="39"/>
        <v>Low Value</v>
      </c>
    </row>
    <row r="490" spans="1:21" hidden="1" x14ac:dyDescent="0.2">
      <c r="A490" s="2">
        <v>237</v>
      </c>
      <c r="B490" s="2" t="s">
        <v>9</v>
      </c>
      <c r="C490" s="2" t="s">
        <v>747</v>
      </c>
      <c r="D490" s="2" t="s">
        <v>566</v>
      </c>
      <c r="E490" s="2">
        <v>80014</v>
      </c>
      <c r="F490" s="2" t="s">
        <v>748</v>
      </c>
      <c r="G490" s="2" t="s">
        <v>13</v>
      </c>
      <c r="H490" s="2">
        <v>1</v>
      </c>
      <c r="I490" s="2" t="s">
        <v>39</v>
      </c>
      <c r="J490" s="2" t="str">
        <f>VLOOKUP(E490,[1]LL_Hub!$A$1:$B$13,2,FALSE)</f>
        <v>Denver</v>
      </c>
      <c r="K490" t="str">
        <f>VLOOKUP(D490,'[2]product Table data'!$A$2:$B$12,2,FALSE)</f>
        <v>Female</v>
      </c>
      <c r="L490" t="str">
        <f>VLOOKUP($D490,'[2]product Table data'!$A$2:$G$12,L$1,FALSE)</f>
        <v>Casual n Light</v>
      </c>
      <c r="M490" t="str">
        <f>VLOOKUP($D490,'[2]product Table data'!$A$2:$G$12,M$1,FALSE)</f>
        <v>Guatemala</v>
      </c>
      <c r="N490" t="str">
        <f>VLOOKUP($D490,'[2]product Table data'!$A$2:$G$12,N$1,FALSE)</f>
        <v>Central America</v>
      </c>
      <c r="O490">
        <f>VLOOKUP($D490,'[2]product Table data'!$A$2:$G$12,O$1,FALSE)</f>
        <v>25</v>
      </c>
      <c r="P490">
        <f>VLOOKUP($D490,'[2]product Table data'!$A$2:$G$12,P$1,FALSE)</f>
        <v>30</v>
      </c>
      <c r="Q490">
        <f t="shared" si="35"/>
        <v>5</v>
      </c>
      <c r="R490" t="str">
        <f t="shared" si="36"/>
        <v>Hub Risk</v>
      </c>
      <c r="S490" t="str">
        <f t="shared" si="37"/>
        <v>Style Risk</v>
      </c>
      <c r="T490" t="str">
        <f t="shared" si="38"/>
        <v>Risk</v>
      </c>
      <c r="U490" t="str">
        <f t="shared" si="39"/>
        <v>Low Value</v>
      </c>
    </row>
    <row r="491" spans="1:21" hidden="1" x14ac:dyDescent="0.2">
      <c r="A491" s="2">
        <v>238</v>
      </c>
      <c r="B491" s="2" t="s">
        <v>9</v>
      </c>
      <c r="C491" s="2" t="s">
        <v>749</v>
      </c>
      <c r="D491" s="2" t="s">
        <v>566</v>
      </c>
      <c r="E491" s="2">
        <v>80014</v>
      </c>
      <c r="F491" s="2" t="s">
        <v>750</v>
      </c>
      <c r="G491" s="2" t="s">
        <v>13</v>
      </c>
      <c r="H491" s="2">
        <v>1</v>
      </c>
      <c r="I491" s="2" t="s">
        <v>39</v>
      </c>
      <c r="J491" s="2" t="str">
        <f>VLOOKUP(E491,[1]LL_Hub!$A$1:$B$13,2,FALSE)</f>
        <v>Denver</v>
      </c>
      <c r="K491" t="str">
        <f>VLOOKUP(D491,'[2]product Table data'!$A$2:$B$12,2,FALSE)</f>
        <v>Female</v>
      </c>
      <c r="L491" t="str">
        <f>VLOOKUP($D491,'[2]product Table data'!$A$2:$G$12,L$1,FALSE)</f>
        <v>Casual n Light</v>
      </c>
      <c r="M491" t="str">
        <f>VLOOKUP($D491,'[2]product Table data'!$A$2:$G$12,M$1,FALSE)</f>
        <v>Guatemala</v>
      </c>
      <c r="N491" t="str">
        <f>VLOOKUP($D491,'[2]product Table data'!$A$2:$G$12,N$1,FALSE)</f>
        <v>Central America</v>
      </c>
      <c r="O491">
        <f>VLOOKUP($D491,'[2]product Table data'!$A$2:$G$12,O$1,FALSE)</f>
        <v>25</v>
      </c>
      <c r="P491">
        <f>VLOOKUP($D491,'[2]product Table data'!$A$2:$G$12,P$1,FALSE)</f>
        <v>30</v>
      </c>
      <c r="Q491">
        <f t="shared" si="35"/>
        <v>5</v>
      </c>
      <c r="R491" t="str">
        <f t="shared" si="36"/>
        <v>Hub Risk</v>
      </c>
      <c r="S491" t="str">
        <f t="shared" si="37"/>
        <v>Style Risk</v>
      </c>
      <c r="T491" t="str">
        <f t="shared" si="38"/>
        <v>Risk</v>
      </c>
      <c r="U491" t="str">
        <f t="shared" si="39"/>
        <v>Low Value</v>
      </c>
    </row>
    <row r="492" spans="1:21" hidden="1" x14ac:dyDescent="0.2">
      <c r="A492" s="2">
        <v>239</v>
      </c>
      <c r="B492" s="2" t="s">
        <v>9</v>
      </c>
      <c r="C492" s="2" t="s">
        <v>751</v>
      </c>
      <c r="D492" s="2" t="s">
        <v>566</v>
      </c>
      <c r="E492" s="2">
        <v>80014</v>
      </c>
      <c r="F492" s="2" t="s">
        <v>752</v>
      </c>
      <c r="G492" s="2" t="s">
        <v>13</v>
      </c>
      <c r="H492" s="2">
        <v>1</v>
      </c>
      <c r="I492" s="2" t="s">
        <v>39</v>
      </c>
      <c r="J492" s="2" t="str">
        <f>VLOOKUP(E492,[1]LL_Hub!$A$1:$B$13,2,FALSE)</f>
        <v>Denver</v>
      </c>
      <c r="K492" t="str">
        <f>VLOOKUP(D492,'[2]product Table data'!$A$2:$B$12,2,FALSE)</f>
        <v>Female</v>
      </c>
      <c r="L492" t="str">
        <f>VLOOKUP($D492,'[2]product Table data'!$A$2:$G$12,L$1,FALSE)</f>
        <v>Casual n Light</v>
      </c>
      <c r="M492" t="str">
        <f>VLOOKUP($D492,'[2]product Table data'!$A$2:$G$12,M$1,FALSE)</f>
        <v>Guatemala</v>
      </c>
      <c r="N492" t="str">
        <f>VLOOKUP($D492,'[2]product Table data'!$A$2:$G$12,N$1,FALSE)</f>
        <v>Central America</v>
      </c>
      <c r="O492">
        <f>VLOOKUP($D492,'[2]product Table data'!$A$2:$G$12,O$1,FALSE)</f>
        <v>25</v>
      </c>
      <c r="P492">
        <f>VLOOKUP($D492,'[2]product Table data'!$A$2:$G$12,P$1,FALSE)</f>
        <v>30</v>
      </c>
      <c r="Q492">
        <f t="shared" si="35"/>
        <v>5</v>
      </c>
      <c r="R492" t="str">
        <f t="shared" si="36"/>
        <v>Hub Risk</v>
      </c>
      <c r="S492" t="str">
        <f t="shared" si="37"/>
        <v>Style Risk</v>
      </c>
      <c r="T492" t="str">
        <f t="shared" si="38"/>
        <v>Risk</v>
      </c>
      <c r="U492" t="str">
        <f t="shared" si="39"/>
        <v>Low Value</v>
      </c>
    </row>
    <row r="493" spans="1:21" hidden="1" x14ac:dyDescent="0.2">
      <c r="A493" s="2">
        <v>240</v>
      </c>
      <c r="B493" s="2" t="s">
        <v>9</v>
      </c>
      <c r="C493" s="2" t="s">
        <v>753</v>
      </c>
      <c r="D493" s="2" t="s">
        <v>566</v>
      </c>
      <c r="E493" s="2">
        <v>80014</v>
      </c>
      <c r="F493" s="2" t="s">
        <v>754</v>
      </c>
      <c r="G493" s="2" t="s">
        <v>13</v>
      </c>
      <c r="H493" s="2">
        <v>1</v>
      </c>
      <c r="I493" s="2" t="s">
        <v>39</v>
      </c>
      <c r="J493" s="2" t="str">
        <f>VLOOKUP(E493,[1]LL_Hub!$A$1:$B$13,2,FALSE)</f>
        <v>Denver</v>
      </c>
      <c r="K493" t="str">
        <f>VLOOKUP(D493,'[2]product Table data'!$A$2:$B$12,2,FALSE)</f>
        <v>Female</v>
      </c>
      <c r="L493" t="str">
        <f>VLOOKUP($D493,'[2]product Table data'!$A$2:$G$12,L$1,FALSE)</f>
        <v>Casual n Light</v>
      </c>
      <c r="M493" t="str">
        <f>VLOOKUP($D493,'[2]product Table data'!$A$2:$G$12,M$1,FALSE)</f>
        <v>Guatemala</v>
      </c>
      <c r="N493" t="str">
        <f>VLOOKUP($D493,'[2]product Table data'!$A$2:$G$12,N$1,FALSE)</f>
        <v>Central America</v>
      </c>
      <c r="O493">
        <f>VLOOKUP($D493,'[2]product Table data'!$A$2:$G$12,O$1,FALSE)</f>
        <v>25</v>
      </c>
      <c r="P493">
        <f>VLOOKUP($D493,'[2]product Table data'!$A$2:$G$12,P$1,FALSE)</f>
        <v>30</v>
      </c>
      <c r="Q493">
        <f t="shared" si="35"/>
        <v>5</v>
      </c>
      <c r="R493" t="str">
        <f t="shared" si="36"/>
        <v>Hub Risk</v>
      </c>
      <c r="S493" t="str">
        <f t="shared" si="37"/>
        <v>Style Risk</v>
      </c>
      <c r="T493" t="str">
        <f t="shared" si="38"/>
        <v>Risk</v>
      </c>
      <c r="U493" t="str">
        <f t="shared" si="39"/>
        <v>Low Value</v>
      </c>
    </row>
    <row r="494" spans="1:21" hidden="1" x14ac:dyDescent="0.2">
      <c r="A494" s="2">
        <v>241</v>
      </c>
      <c r="B494" s="2" t="s">
        <v>9</v>
      </c>
      <c r="C494" s="2" t="s">
        <v>755</v>
      </c>
      <c r="D494" s="2" t="s">
        <v>566</v>
      </c>
      <c r="E494" s="2">
        <v>80014</v>
      </c>
      <c r="F494" s="2" t="s">
        <v>756</v>
      </c>
      <c r="G494" s="2" t="s">
        <v>13</v>
      </c>
      <c r="H494" s="2">
        <v>1</v>
      </c>
      <c r="I494" s="2" t="s">
        <v>39</v>
      </c>
      <c r="J494" s="2" t="str">
        <f>VLOOKUP(E494,[1]LL_Hub!$A$1:$B$13,2,FALSE)</f>
        <v>Denver</v>
      </c>
      <c r="K494" t="str">
        <f>VLOOKUP(D494,'[2]product Table data'!$A$2:$B$12,2,FALSE)</f>
        <v>Female</v>
      </c>
      <c r="L494" t="str">
        <f>VLOOKUP($D494,'[2]product Table data'!$A$2:$G$12,L$1,FALSE)</f>
        <v>Casual n Light</v>
      </c>
      <c r="M494" t="str">
        <f>VLOOKUP($D494,'[2]product Table data'!$A$2:$G$12,M$1,FALSE)</f>
        <v>Guatemala</v>
      </c>
      <c r="N494" t="str">
        <f>VLOOKUP($D494,'[2]product Table data'!$A$2:$G$12,N$1,FALSE)</f>
        <v>Central America</v>
      </c>
      <c r="O494">
        <f>VLOOKUP($D494,'[2]product Table data'!$A$2:$G$12,O$1,FALSE)</f>
        <v>25</v>
      </c>
      <c r="P494">
        <f>VLOOKUP($D494,'[2]product Table data'!$A$2:$G$12,P$1,FALSE)</f>
        <v>30</v>
      </c>
      <c r="Q494">
        <f t="shared" si="35"/>
        <v>5</v>
      </c>
      <c r="R494" t="str">
        <f t="shared" si="36"/>
        <v>Hub Risk</v>
      </c>
      <c r="S494" t="str">
        <f t="shared" si="37"/>
        <v>Style Risk</v>
      </c>
      <c r="T494" t="str">
        <f t="shared" si="38"/>
        <v>Risk</v>
      </c>
      <c r="U494" t="str">
        <f t="shared" si="39"/>
        <v>Low Value</v>
      </c>
    </row>
    <row r="495" spans="1:21" hidden="1" x14ac:dyDescent="0.2">
      <c r="A495" s="2">
        <v>242</v>
      </c>
      <c r="B495" s="2" t="s">
        <v>9</v>
      </c>
      <c r="C495" s="2" t="s">
        <v>757</v>
      </c>
      <c r="D495" s="2" t="s">
        <v>566</v>
      </c>
      <c r="E495" s="2">
        <v>80014</v>
      </c>
      <c r="F495" s="2" t="s">
        <v>758</v>
      </c>
      <c r="G495" s="2" t="s">
        <v>13</v>
      </c>
      <c r="H495" s="2">
        <v>1</v>
      </c>
      <c r="I495" s="2" t="s">
        <v>39</v>
      </c>
      <c r="J495" s="2" t="str">
        <f>VLOOKUP(E495,[1]LL_Hub!$A$1:$B$13,2,FALSE)</f>
        <v>Denver</v>
      </c>
      <c r="K495" t="str">
        <f>VLOOKUP(D495,'[2]product Table data'!$A$2:$B$12,2,FALSE)</f>
        <v>Female</v>
      </c>
      <c r="L495" t="str">
        <f>VLOOKUP($D495,'[2]product Table data'!$A$2:$G$12,L$1,FALSE)</f>
        <v>Casual n Light</v>
      </c>
      <c r="M495" t="str">
        <f>VLOOKUP($D495,'[2]product Table data'!$A$2:$G$12,M$1,FALSE)</f>
        <v>Guatemala</v>
      </c>
      <c r="N495" t="str">
        <f>VLOOKUP($D495,'[2]product Table data'!$A$2:$G$12,N$1,FALSE)</f>
        <v>Central America</v>
      </c>
      <c r="O495">
        <f>VLOOKUP($D495,'[2]product Table data'!$A$2:$G$12,O$1,FALSE)</f>
        <v>25</v>
      </c>
      <c r="P495">
        <f>VLOOKUP($D495,'[2]product Table data'!$A$2:$G$12,P$1,FALSE)</f>
        <v>30</v>
      </c>
      <c r="Q495">
        <f t="shared" si="35"/>
        <v>5</v>
      </c>
      <c r="R495" t="str">
        <f t="shared" si="36"/>
        <v>Hub Risk</v>
      </c>
      <c r="S495" t="str">
        <f t="shared" si="37"/>
        <v>Style Risk</v>
      </c>
      <c r="T495" t="str">
        <f t="shared" si="38"/>
        <v>Risk</v>
      </c>
      <c r="U495" t="str">
        <f t="shared" si="39"/>
        <v>Low Value</v>
      </c>
    </row>
    <row r="496" spans="1:21" hidden="1" x14ac:dyDescent="0.2">
      <c r="A496" s="2">
        <v>243</v>
      </c>
      <c r="B496" s="2" t="s">
        <v>9</v>
      </c>
      <c r="C496" s="2" t="s">
        <v>759</v>
      </c>
      <c r="D496" s="2" t="s">
        <v>566</v>
      </c>
      <c r="E496" s="2">
        <v>80014</v>
      </c>
      <c r="F496" s="2" t="s">
        <v>760</v>
      </c>
      <c r="G496" s="2" t="s">
        <v>13</v>
      </c>
      <c r="H496" s="2">
        <v>1</v>
      </c>
      <c r="I496" s="2" t="s">
        <v>39</v>
      </c>
      <c r="J496" s="2" t="str">
        <f>VLOOKUP(E496,[1]LL_Hub!$A$1:$B$13,2,FALSE)</f>
        <v>Denver</v>
      </c>
      <c r="K496" t="str">
        <f>VLOOKUP(D496,'[2]product Table data'!$A$2:$B$12,2,FALSE)</f>
        <v>Female</v>
      </c>
      <c r="L496" t="str">
        <f>VLOOKUP($D496,'[2]product Table data'!$A$2:$G$12,L$1,FALSE)</f>
        <v>Casual n Light</v>
      </c>
      <c r="M496" t="str">
        <f>VLOOKUP($D496,'[2]product Table data'!$A$2:$G$12,M$1,FALSE)</f>
        <v>Guatemala</v>
      </c>
      <c r="N496" t="str">
        <f>VLOOKUP($D496,'[2]product Table data'!$A$2:$G$12,N$1,FALSE)</f>
        <v>Central America</v>
      </c>
      <c r="O496">
        <f>VLOOKUP($D496,'[2]product Table data'!$A$2:$G$12,O$1,FALSE)</f>
        <v>25</v>
      </c>
      <c r="P496">
        <f>VLOOKUP($D496,'[2]product Table data'!$A$2:$G$12,P$1,FALSE)</f>
        <v>30</v>
      </c>
      <c r="Q496">
        <f t="shared" si="35"/>
        <v>5</v>
      </c>
      <c r="R496" t="str">
        <f t="shared" si="36"/>
        <v>Hub Risk</v>
      </c>
      <c r="S496" t="str">
        <f t="shared" si="37"/>
        <v>Style Risk</v>
      </c>
      <c r="T496" t="str">
        <f t="shared" si="38"/>
        <v>Risk</v>
      </c>
      <c r="U496" t="str">
        <f t="shared" si="39"/>
        <v>Low Value</v>
      </c>
    </row>
    <row r="497" spans="1:21" hidden="1" x14ac:dyDescent="0.2">
      <c r="A497" s="2">
        <v>244</v>
      </c>
      <c r="B497" s="2" t="s">
        <v>9</v>
      </c>
      <c r="C497" s="2" t="s">
        <v>761</v>
      </c>
      <c r="D497" s="2" t="s">
        <v>566</v>
      </c>
      <c r="E497" s="2">
        <v>80014</v>
      </c>
      <c r="F497" s="2" t="s">
        <v>762</v>
      </c>
      <c r="G497" s="2" t="s">
        <v>13</v>
      </c>
      <c r="H497" s="2">
        <v>1</v>
      </c>
      <c r="I497" s="2" t="s">
        <v>39</v>
      </c>
      <c r="J497" s="2" t="str">
        <f>VLOOKUP(E497,[1]LL_Hub!$A$1:$B$13,2,FALSE)</f>
        <v>Denver</v>
      </c>
      <c r="K497" t="str">
        <f>VLOOKUP(D497,'[2]product Table data'!$A$2:$B$12,2,FALSE)</f>
        <v>Female</v>
      </c>
      <c r="L497" t="str">
        <f>VLOOKUP($D497,'[2]product Table data'!$A$2:$G$12,L$1,FALSE)</f>
        <v>Casual n Light</v>
      </c>
      <c r="M497" t="str">
        <f>VLOOKUP($D497,'[2]product Table data'!$A$2:$G$12,M$1,FALSE)</f>
        <v>Guatemala</v>
      </c>
      <c r="N497" t="str">
        <f>VLOOKUP($D497,'[2]product Table data'!$A$2:$G$12,N$1,FALSE)</f>
        <v>Central America</v>
      </c>
      <c r="O497">
        <f>VLOOKUP($D497,'[2]product Table data'!$A$2:$G$12,O$1,FALSE)</f>
        <v>25</v>
      </c>
      <c r="P497">
        <f>VLOOKUP($D497,'[2]product Table data'!$A$2:$G$12,P$1,FALSE)</f>
        <v>30</v>
      </c>
      <c r="Q497">
        <f t="shared" si="35"/>
        <v>5</v>
      </c>
      <c r="R497" t="str">
        <f t="shared" si="36"/>
        <v>Hub Risk</v>
      </c>
      <c r="S497" t="str">
        <f t="shared" si="37"/>
        <v>Style Risk</v>
      </c>
      <c r="T497" t="str">
        <f t="shared" si="38"/>
        <v>Risk</v>
      </c>
      <c r="U497" t="str">
        <f t="shared" si="39"/>
        <v>Low Value</v>
      </c>
    </row>
    <row r="498" spans="1:21" hidden="1" x14ac:dyDescent="0.2">
      <c r="A498" s="2">
        <v>245</v>
      </c>
      <c r="B498" s="2" t="s">
        <v>9</v>
      </c>
      <c r="C498" s="2" t="s">
        <v>763</v>
      </c>
      <c r="D498" s="2" t="s">
        <v>566</v>
      </c>
      <c r="E498" s="2">
        <v>80014</v>
      </c>
      <c r="F498" s="2" t="s">
        <v>764</v>
      </c>
      <c r="G498" s="2" t="s">
        <v>13</v>
      </c>
      <c r="H498" s="2">
        <v>1</v>
      </c>
      <c r="I498" s="2" t="s">
        <v>39</v>
      </c>
      <c r="J498" s="2" t="str">
        <f>VLOOKUP(E498,[1]LL_Hub!$A$1:$B$13,2,FALSE)</f>
        <v>Denver</v>
      </c>
      <c r="K498" t="str">
        <f>VLOOKUP(D498,'[2]product Table data'!$A$2:$B$12,2,FALSE)</f>
        <v>Female</v>
      </c>
      <c r="L498" t="str">
        <f>VLOOKUP($D498,'[2]product Table data'!$A$2:$G$12,L$1,FALSE)</f>
        <v>Casual n Light</v>
      </c>
      <c r="M498" t="str">
        <f>VLOOKUP($D498,'[2]product Table data'!$A$2:$G$12,M$1,FALSE)</f>
        <v>Guatemala</v>
      </c>
      <c r="N498" t="str">
        <f>VLOOKUP($D498,'[2]product Table data'!$A$2:$G$12,N$1,FALSE)</f>
        <v>Central America</v>
      </c>
      <c r="O498">
        <f>VLOOKUP($D498,'[2]product Table data'!$A$2:$G$12,O$1,FALSE)</f>
        <v>25</v>
      </c>
      <c r="P498">
        <f>VLOOKUP($D498,'[2]product Table data'!$A$2:$G$12,P$1,FALSE)</f>
        <v>30</v>
      </c>
      <c r="Q498">
        <f t="shared" si="35"/>
        <v>5</v>
      </c>
      <c r="R498" t="str">
        <f t="shared" si="36"/>
        <v>Hub Risk</v>
      </c>
      <c r="S498" t="str">
        <f t="shared" si="37"/>
        <v>Style Risk</v>
      </c>
      <c r="T498" t="str">
        <f t="shared" si="38"/>
        <v>Risk</v>
      </c>
      <c r="U498" t="str">
        <f t="shared" si="39"/>
        <v>Low Value</v>
      </c>
    </row>
    <row r="499" spans="1:21" hidden="1" x14ac:dyDescent="0.2">
      <c r="A499" s="2">
        <v>246</v>
      </c>
      <c r="B499" s="2" t="s">
        <v>9</v>
      </c>
      <c r="C499" s="2" t="s">
        <v>765</v>
      </c>
      <c r="D499" s="2" t="s">
        <v>566</v>
      </c>
      <c r="E499" s="2">
        <v>80014</v>
      </c>
      <c r="F499" s="2" t="s">
        <v>766</v>
      </c>
      <c r="G499" s="2" t="s">
        <v>13</v>
      </c>
      <c r="H499" s="2">
        <v>1</v>
      </c>
      <c r="I499" s="2" t="s">
        <v>39</v>
      </c>
      <c r="J499" s="2" t="str">
        <f>VLOOKUP(E499,[1]LL_Hub!$A$1:$B$13,2,FALSE)</f>
        <v>Denver</v>
      </c>
      <c r="K499" t="str">
        <f>VLOOKUP(D499,'[2]product Table data'!$A$2:$B$12,2,FALSE)</f>
        <v>Female</v>
      </c>
      <c r="L499" t="str">
        <f>VLOOKUP($D499,'[2]product Table data'!$A$2:$G$12,L$1,FALSE)</f>
        <v>Casual n Light</v>
      </c>
      <c r="M499" t="str">
        <f>VLOOKUP($D499,'[2]product Table data'!$A$2:$G$12,M$1,FALSE)</f>
        <v>Guatemala</v>
      </c>
      <c r="N499" t="str">
        <f>VLOOKUP($D499,'[2]product Table data'!$A$2:$G$12,N$1,FALSE)</f>
        <v>Central America</v>
      </c>
      <c r="O499">
        <f>VLOOKUP($D499,'[2]product Table data'!$A$2:$G$12,O$1,FALSE)</f>
        <v>25</v>
      </c>
      <c r="P499">
        <f>VLOOKUP($D499,'[2]product Table data'!$A$2:$G$12,P$1,FALSE)</f>
        <v>30</v>
      </c>
      <c r="Q499">
        <f t="shared" si="35"/>
        <v>5</v>
      </c>
      <c r="R499" t="str">
        <f t="shared" si="36"/>
        <v>Hub Risk</v>
      </c>
      <c r="S499" t="str">
        <f t="shared" si="37"/>
        <v>Style Risk</v>
      </c>
      <c r="T499" t="str">
        <f t="shared" si="38"/>
        <v>Risk</v>
      </c>
      <c r="U499" t="str">
        <f t="shared" si="39"/>
        <v>Low Value</v>
      </c>
    </row>
    <row r="500" spans="1:21" hidden="1" x14ac:dyDescent="0.2">
      <c r="A500" s="2">
        <v>247</v>
      </c>
      <c r="B500" s="2" t="s">
        <v>9</v>
      </c>
      <c r="C500" s="2" t="s">
        <v>767</v>
      </c>
      <c r="D500" s="2" t="s">
        <v>566</v>
      </c>
      <c r="E500" s="2">
        <v>80014</v>
      </c>
      <c r="F500" s="2" t="s">
        <v>496</v>
      </c>
      <c r="G500" s="2" t="s">
        <v>36</v>
      </c>
      <c r="H500" s="2">
        <v>1</v>
      </c>
      <c r="I500" s="2" t="s">
        <v>39</v>
      </c>
      <c r="J500" s="2" t="str">
        <f>VLOOKUP(E500,[1]LL_Hub!$A$1:$B$13,2,FALSE)</f>
        <v>Denver</v>
      </c>
      <c r="K500" t="str">
        <f>VLOOKUP(D500,'[2]product Table data'!$A$2:$B$12,2,FALSE)</f>
        <v>Female</v>
      </c>
      <c r="L500" t="str">
        <f>VLOOKUP($D500,'[2]product Table data'!$A$2:$G$12,L$1,FALSE)</f>
        <v>Casual n Light</v>
      </c>
      <c r="M500" t="str">
        <f>VLOOKUP($D500,'[2]product Table data'!$A$2:$G$12,M$1,FALSE)</f>
        <v>Guatemala</v>
      </c>
      <c r="N500" t="str">
        <f>VLOOKUP($D500,'[2]product Table data'!$A$2:$G$12,N$1,FALSE)</f>
        <v>Central America</v>
      </c>
      <c r="O500">
        <f>VLOOKUP($D500,'[2]product Table data'!$A$2:$G$12,O$1,FALSE)</f>
        <v>25</v>
      </c>
      <c r="P500">
        <f>VLOOKUP($D500,'[2]product Table data'!$A$2:$G$12,P$1,FALSE)</f>
        <v>30</v>
      </c>
      <c r="Q500">
        <f t="shared" si="35"/>
        <v>5</v>
      </c>
      <c r="R500" t="str">
        <f t="shared" si="36"/>
        <v>Hub Risk</v>
      </c>
      <c r="S500" t="str">
        <f t="shared" si="37"/>
        <v>Style Risk</v>
      </c>
      <c r="T500" t="str">
        <f t="shared" si="38"/>
        <v>Risk</v>
      </c>
      <c r="U500" t="str">
        <f t="shared" si="39"/>
        <v>Low Value</v>
      </c>
    </row>
    <row r="501" spans="1:21" hidden="1" x14ac:dyDescent="0.2">
      <c r="A501" s="2">
        <v>248</v>
      </c>
      <c r="B501" s="2" t="s">
        <v>9</v>
      </c>
      <c r="C501" s="2" t="s">
        <v>768</v>
      </c>
      <c r="D501" s="2" t="s">
        <v>566</v>
      </c>
      <c r="E501" s="2">
        <v>80014</v>
      </c>
      <c r="F501" s="2" t="s">
        <v>496</v>
      </c>
      <c r="G501" s="2" t="s">
        <v>36</v>
      </c>
      <c r="H501" s="2">
        <v>1</v>
      </c>
      <c r="I501" s="2" t="s">
        <v>39</v>
      </c>
      <c r="J501" s="2" t="str">
        <f>VLOOKUP(E501,[1]LL_Hub!$A$1:$B$13,2,FALSE)</f>
        <v>Denver</v>
      </c>
      <c r="K501" t="str">
        <f>VLOOKUP(D501,'[2]product Table data'!$A$2:$B$12,2,FALSE)</f>
        <v>Female</v>
      </c>
      <c r="L501" t="str">
        <f>VLOOKUP($D501,'[2]product Table data'!$A$2:$G$12,L$1,FALSE)</f>
        <v>Casual n Light</v>
      </c>
      <c r="M501" t="str">
        <f>VLOOKUP($D501,'[2]product Table data'!$A$2:$G$12,M$1,FALSE)</f>
        <v>Guatemala</v>
      </c>
      <c r="N501" t="str">
        <f>VLOOKUP($D501,'[2]product Table data'!$A$2:$G$12,N$1,FALSE)</f>
        <v>Central America</v>
      </c>
      <c r="O501">
        <f>VLOOKUP($D501,'[2]product Table data'!$A$2:$G$12,O$1,FALSE)</f>
        <v>25</v>
      </c>
      <c r="P501">
        <f>VLOOKUP($D501,'[2]product Table data'!$A$2:$G$12,P$1,FALSE)</f>
        <v>30</v>
      </c>
      <c r="Q501">
        <f t="shared" si="35"/>
        <v>5</v>
      </c>
      <c r="R501" t="str">
        <f t="shared" si="36"/>
        <v>Hub Risk</v>
      </c>
      <c r="S501" t="str">
        <f t="shared" si="37"/>
        <v>Style Risk</v>
      </c>
      <c r="T501" t="str">
        <f t="shared" si="38"/>
        <v>Risk</v>
      </c>
      <c r="U501" t="str">
        <f t="shared" si="39"/>
        <v>Low Value</v>
      </c>
    </row>
    <row r="502" spans="1:21" hidden="1" x14ac:dyDescent="0.2">
      <c r="A502" s="2">
        <v>249</v>
      </c>
      <c r="B502" s="2" t="s">
        <v>9</v>
      </c>
      <c r="C502" s="2" t="s">
        <v>769</v>
      </c>
      <c r="D502" s="2" t="s">
        <v>566</v>
      </c>
      <c r="E502" s="2">
        <v>80014</v>
      </c>
      <c r="F502" s="2" t="s">
        <v>496</v>
      </c>
      <c r="G502" s="2" t="s">
        <v>36</v>
      </c>
      <c r="H502" s="2">
        <v>1</v>
      </c>
      <c r="I502" s="2" t="s">
        <v>39</v>
      </c>
      <c r="J502" s="2" t="str">
        <f>VLOOKUP(E502,[1]LL_Hub!$A$1:$B$13,2,FALSE)</f>
        <v>Denver</v>
      </c>
      <c r="K502" t="str">
        <f>VLOOKUP(D502,'[2]product Table data'!$A$2:$B$12,2,FALSE)</f>
        <v>Female</v>
      </c>
      <c r="L502" t="str">
        <f>VLOOKUP($D502,'[2]product Table data'!$A$2:$G$12,L$1,FALSE)</f>
        <v>Casual n Light</v>
      </c>
      <c r="M502" t="str">
        <f>VLOOKUP($D502,'[2]product Table data'!$A$2:$G$12,M$1,FALSE)</f>
        <v>Guatemala</v>
      </c>
      <c r="N502" t="str">
        <f>VLOOKUP($D502,'[2]product Table data'!$A$2:$G$12,N$1,FALSE)</f>
        <v>Central America</v>
      </c>
      <c r="O502">
        <f>VLOOKUP($D502,'[2]product Table data'!$A$2:$G$12,O$1,FALSE)</f>
        <v>25</v>
      </c>
      <c r="P502">
        <f>VLOOKUP($D502,'[2]product Table data'!$A$2:$G$12,P$1,FALSE)</f>
        <v>30</v>
      </c>
      <c r="Q502">
        <f t="shared" si="35"/>
        <v>5</v>
      </c>
      <c r="R502" t="str">
        <f t="shared" si="36"/>
        <v>Hub Risk</v>
      </c>
      <c r="S502" t="str">
        <f t="shared" si="37"/>
        <v>Style Risk</v>
      </c>
      <c r="T502" t="str">
        <f t="shared" si="38"/>
        <v>Risk</v>
      </c>
      <c r="U502" t="str">
        <f t="shared" si="39"/>
        <v>Low Value</v>
      </c>
    </row>
    <row r="503" spans="1:21" hidden="1" x14ac:dyDescent="0.2">
      <c r="A503" s="2">
        <v>250</v>
      </c>
      <c r="B503" s="2" t="s">
        <v>9</v>
      </c>
      <c r="C503" s="2" t="s">
        <v>770</v>
      </c>
      <c r="D503" s="2" t="s">
        <v>566</v>
      </c>
      <c r="E503" s="2">
        <v>80014</v>
      </c>
      <c r="F503" s="2" t="s">
        <v>496</v>
      </c>
      <c r="G503" s="2" t="s">
        <v>36</v>
      </c>
      <c r="H503" s="2">
        <v>1</v>
      </c>
      <c r="I503" s="2" t="s">
        <v>39</v>
      </c>
      <c r="J503" s="2" t="str">
        <f>VLOOKUP(E503,[1]LL_Hub!$A$1:$B$13,2,FALSE)</f>
        <v>Denver</v>
      </c>
      <c r="K503" t="str">
        <f>VLOOKUP(D503,'[2]product Table data'!$A$2:$B$12,2,FALSE)</f>
        <v>Female</v>
      </c>
      <c r="L503" t="str">
        <f>VLOOKUP($D503,'[2]product Table data'!$A$2:$G$12,L$1,FALSE)</f>
        <v>Casual n Light</v>
      </c>
      <c r="M503" t="str">
        <f>VLOOKUP($D503,'[2]product Table data'!$A$2:$G$12,M$1,FALSE)</f>
        <v>Guatemala</v>
      </c>
      <c r="N503" t="str">
        <f>VLOOKUP($D503,'[2]product Table data'!$A$2:$G$12,N$1,FALSE)</f>
        <v>Central America</v>
      </c>
      <c r="O503">
        <f>VLOOKUP($D503,'[2]product Table data'!$A$2:$G$12,O$1,FALSE)</f>
        <v>25</v>
      </c>
      <c r="P503">
        <f>VLOOKUP($D503,'[2]product Table data'!$A$2:$G$12,P$1,FALSE)</f>
        <v>30</v>
      </c>
      <c r="Q503">
        <f t="shared" si="35"/>
        <v>5</v>
      </c>
      <c r="R503" t="str">
        <f t="shared" si="36"/>
        <v>Hub Risk</v>
      </c>
      <c r="S503" t="str">
        <f t="shared" si="37"/>
        <v>Style Risk</v>
      </c>
      <c r="T503" t="str">
        <f t="shared" si="38"/>
        <v>Risk</v>
      </c>
      <c r="U503" t="str">
        <f t="shared" si="39"/>
        <v>Low Value</v>
      </c>
    </row>
    <row r="504" spans="1:21" hidden="1" x14ac:dyDescent="0.2">
      <c r="A504" s="2">
        <v>251</v>
      </c>
      <c r="B504" s="2" t="s">
        <v>9</v>
      </c>
      <c r="C504" s="2" t="s">
        <v>771</v>
      </c>
      <c r="D504" s="2" t="s">
        <v>566</v>
      </c>
      <c r="E504" s="2">
        <v>80014</v>
      </c>
      <c r="F504" s="2" t="s">
        <v>496</v>
      </c>
      <c r="G504" s="2" t="s">
        <v>36</v>
      </c>
      <c r="H504" s="2">
        <v>1</v>
      </c>
      <c r="I504" s="2" t="s">
        <v>39</v>
      </c>
      <c r="J504" s="2" t="str">
        <f>VLOOKUP(E504,[1]LL_Hub!$A$1:$B$13,2,FALSE)</f>
        <v>Denver</v>
      </c>
      <c r="K504" t="str">
        <f>VLOOKUP(D504,'[2]product Table data'!$A$2:$B$12,2,FALSE)</f>
        <v>Female</v>
      </c>
      <c r="L504" t="str">
        <f>VLOOKUP($D504,'[2]product Table data'!$A$2:$G$12,L$1,FALSE)</f>
        <v>Casual n Light</v>
      </c>
      <c r="M504" t="str">
        <f>VLOOKUP($D504,'[2]product Table data'!$A$2:$G$12,M$1,FALSE)</f>
        <v>Guatemala</v>
      </c>
      <c r="N504" t="str">
        <f>VLOOKUP($D504,'[2]product Table data'!$A$2:$G$12,N$1,FALSE)</f>
        <v>Central America</v>
      </c>
      <c r="O504">
        <f>VLOOKUP($D504,'[2]product Table data'!$A$2:$G$12,O$1,FALSE)</f>
        <v>25</v>
      </c>
      <c r="P504">
        <f>VLOOKUP($D504,'[2]product Table data'!$A$2:$G$12,P$1,FALSE)</f>
        <v>30</v>
      </c>
      <c r="Q504">
        <f t="shared" si="35"/>
        <v>5</v>
      </c>
      <c r="R504" t="str">
        <f t="shared" si="36"/>
        <v>Hub Risk</v>
      </c>
      <c r="S504" t="str">
        <f t="shared" si="37"/>
        <v>Style Risk</v>
      </c>
      <c r="T504" t="str">
        <f t="shared" si="38"/>
        <v>Risk</v>
      </c>
      <c r="U504" t="str">
        <f t="shared" si="39"/>
        <v>Low Value</v>
      </c>
    </row>
    <row r="505" spans="1:21" hidden="1" x14ac:dyDescent="0.2">
      <c r="A505" s="2">
        <v>252</v>
      </c>
      <c r="B505" s="2" t="s">
        <v>9</v>
      </c>
      <c r="C505" s="2" t="s">
        <v>772</v>
      </c>
      <c r="D505" s="2" t="s">
        <v>566</v>
      </c>
      <c r="E505" s="2">
        <v>80014</v>
      </c>
      <c r="F505" s="2" t="s">
        <v>496</v>
      </c>
      <c r="G505" s="2" t="s">
        <v>36</v>
      </c>
      <c r="H505" s="2">
        <v>1</v>
      </c>
      <c r="I505" s="2" t="s">
        <v>39</v>
      </c>
      <c r="J505" s="2" t="str">
        <f>VLOOKUP(E505,[1]LL_Hub!$A$1:$B$13,2,FALSE)</f>
        <v>Denver</v>
      </c>
      <c r="K505" t="str">
        <f>VLOOKUP(D505,'[2]product Table data'!$A$2:$B$12,2,FALSE)</f>
        <v>Female</v>
      </c>
      <c r="L505" t="str">
        <f>VLOOKUP($D505,'[2]product Table data'!$A$2:$G$12,L$1,FALSE)</f>
        <v>Casual n Light</v>
      </c>
      <c r="M505" t="str">
        <f>VLOOKUP($D505,'[2]product Table data'!$A$2:$G$12,M$1,FALSE)</f>
        <v>Guatemala</v>
      </c>
      <c r="N505" t="str">
        <f>VLOOKUP($D505,'[2]product Table data'!$A$2:$G$12,N$1,FALSE)</f>
        <v>Central America</v>
      </c>
      <c r="O505">
        <f>VLOOKUP($D505,'[2]product Table data'!$A$2:$G$12,O$1,FALSE)</f>
        <v>25</v>
      </c>
      <c r="P505">
        <f>VLOOKUP($D505,'[2]product Table data'!$A$2:$G$12,P$1,FALSE)</f>
        <v>30</v>
      </c>
      <c r="Q505">
        <f t="shared" si="35"/>
        <v>5</v>
      </c>
      <c r="R505" t="str">
        <f t="shared" si="36"/>
        <v>Hub Risk</v>
      </c>
      <c r="S505" t="str">
        <f t="shared" si="37"/>
        <v>Style Risk</v>
      </c>
      <c r="T505" t="str">
        <f t="shared" si="38"/>
        <v>Risk</v>
      </c>
      <c r="U505" t="str">
        <f t="shared" si="39"/>
        <v>Low Value</v>
      </c>
    </row>
    <row r="506" spans="1:21" hidden="1" x14ac:dyDescent="0.2">
      <c r="A506" s="2">
        <v>253</v>
      </c>
      <c r="B506" s="2" t="s">
        <v>9</v>
      </c>
      <c r="C506" s="2" t="s">
        <v>773</v>
      </c>
      <c r="D506" s="2" t="s">
        <v>566</v>
      </c>
      <c r="E506" s="2">
        <v>80014</v>
      </c>
      <c r="F506" s="2" t="s">
        <v>496</v>
      </c>
      <c r="G506" s="2" t="s">
        <v>36</v>
      </c>
      <c r="H506" s="2">
        <v>1</v>
      </c>
      <c r="I506" s="2" t="s">
        <v>39</v>
      </c>
      <c r="J506" s="2" t="str">
        <f>VLOOKUP(E506,[1]LL_Hub!$A$1:$B$13,2,FALSE)</f>
        <v>Denver</v>
      </c>
      <c r="K506" t="str">
        <f>VLOOKUP(D506,'[2]product Table data'!$A$2:$B$12,2,FALSE)</f>
        <v>Female</v>
      </c>
      <c r="L506" t="str">
        <f>VLOOKUP($D506,'[2]product Table data'!$A$2:$G$12,L$1,FALSE)</f>
        <v>Casual n Light</v>
      </c>
      <c r="M506" t="str">
        <f>VLOOKUP($D506,'[2]product Table data'!$A$2:$G$12,M$1,FALSE)</f>
        <v>Guatemala</v>
      </c>
      <c r="N506" t="str">
        <f>VLOOKUP($D506,'[2]product Table data'!$A$2:$G$12,N$1,FALSE)</f>
        <v>Central America</v>
      </c>
      <c r="O506">
        <f>VLOOKUP($D506,'[2]product Table data'!$A$2:$G$12,O$1,FALSE)</f>
        <v>25</v>
      </c>
      <c r="P506">
        <f>VLOOKUP($D506,'[2]product Table data'!$A$2:$G$12,P$1,FALSE)</f>
        <v>30</v>
      </c>
      <c r="Q506">
        <f t="shared" si="35"/>
        <v>5</v>
      </c>
      <c r="R506" t="str">
        <f t="shared" si="36"/>
        <v>Hub Risk</v>
      </c>
      <c r="S506" t="str">
        <f t="shared" si="37"/>
        <v>Style Risk</v>
      </c>
      <c r="T506" t="str">
        <f t="shared" si="38"/>
        <v>Risk</v>
      </c>
      <c r="U506" t="str">
        <f t="shared" si="39"/>
        <v>Low Value</v>
      </c>
    </row>
    <row r="507" spans="1:21" hidden="1" x14ac:dyDescent="0.2">
      <c r="A507" s="2">
        <v>254</v>
      </c>
      <c r="B507" s="2" t="s">
        <v>9</v>
      </c>
      <c r="C507" s="2" t="s">
        <v>774</v>
      </c>
      <c r="D507" s="2" t="s">
        <v>566</v>
      </c>
      <c r="E507" s="2">
        <v>80014</v>
      </c>
      <c r="F507" s="2" t="s">
        <v>496</v>
      </c>
      <c r="G507" s="2" t="s">
        <v>36</v>
      </c>
      <c r="H507" s="2">
        <v>1</v>
      </c>
      <c r="I507" s="2" t="s">
        <v>39</v>
      </c>
      <c r="J507" s="2" t="str">
        <f>VLOOKUP(E507,[1]LL_Hub!$A$1:$B$13,2,FALSE)</f>
        <v>Denver</v>
      </c>
      <c r="K507" t="str">
        <f>VLOOKUP(D507,'[2]product Table data'!$A$2:$B$12,2,FALSE)</f>
        <v>Female</v>
      </c>
      <c r="L507" t="str">
        <f>VLOOKUP($D507,'[2]product Table data'!$A$2:$G$12,L$1,FALSE)</f>
        <v>Casual n Light</v>
      </c>
      <c r="M507" t="str">
        <f>VLOOKUP($D507,'[2]product Table data'!$A$2:$G$12,M$1,FALSE)</f>
        <v>Guatemala</v>
      </c>
      <c r="N507" t="str">
        <f>VLOOKUP($D507,'[2]product Table data'!$A$2:$G$12,N$1,FALSE)</f>
        <v>Central America</v>
      </c>
      <c r="O507">
        <f>VLOOKUP($D507,'[2]product Table data'!$A$2:$G$12,O$1,FALSE)</f>
        <v>25</v>
      </c>
      <c r="P507">
        <f>VLOOKUP($D507,'[2]product Table data'!$A$2:$G$12,P$1,FALSE)</f>
        <v>30</v>
      </c>
      <c r="Q507">
        <f t="shared" si="35"/>
        <v>5</v>
      </c>
      <c r="R507" t="str">
        <f t="shared" si="36"/>
        <v>Hub Risk</v>
      </c>
      <c r="S507" t="str">
        <f t="shared" si="37"/>
        <v>Style Risk</v>
      </c>
      <c r="T507" t="str">
        <f t="shared" si="38"/>
        <v>Risk</v>
      </c>
      <c r="U507" t="str">
        <f t="shared" si="39"/>
        <v>Low Value</v>
      </c>
    </row>
    <row r="508" spans="1:21" hidden="1" x14ac:dyDescent="0.2">
      <c r="A508" s="2">
        <v>255</v>
      </c>
      <c r="B508" s="2" t="s">
        <v>9</v>
      </c>
      <c r="C508" s="2" t="s">
        <v>775</v>
      </c>
      <c r="D508" s="2" t="s">
        <v>566</v>
      </c>
      <c r="E508" s="2">
        <v>80014</v>
      </c>
      <c r="F508" s="2" t="s">
        <v>496</v>
      </c>
      <c r="G508" s="2" t="s">
        <v>36</v>
      </c>
      <c r="H508" s="2">
        <v>1</v>
      </c>
      <c r="I508" s="2" t="s">
        <v>39</v>
      </c>
      <c r="J508" s="2" t="str">
        <f>VLOOKUP(E508,[1]LL_Hub!$A$1:$B$13,2,FALSE)</f>
        <v>Denver</v>
      </c>
      <c r="K508" t="str">
        <f>VLOOKUP(D508,'[2]product Table data'!$A$2:$B$12,2,FALSE)</f>
        <v>Female</v>
      </c>
      <c r="L508" t="str">
        <f>VLOOKUP($D508,'[2]product Table data'!$A$2:$G$12,L$1,FALSE)</f>
        <v>Casual n Light</v>
      </c>
      <c r="M508" t="str">
        <f>VLOOKUP($D508,'[2]product Table data'!$A$2:$G$12,M$1,FALSE)</f>
        <v>Guatemala</v>
      </c>
      <c r="N508" t="str">
        <f>VLOOKUP($D508,'[2]product Table data'!$A$2:$G$12,N$1,FALSE)</f>
        <v>Central America</v>
      </c>
      <c r="O508">
        <f>VLOOKUP($D508,'[2]product Table data'!$A$2:$G$12,O$1,FALSE)</f>
        <v>25</v>
      </c>
      <c r="P508">
        <f>VLOOKUP($D508,'[2]product Table data'!$A$2:$G$12,P$1,FALSE)</f>
        <v>30</v>
      </c>
      <c r="Q508">
        <f t="shared" si="35"/>
        <v>5</v>
      </c>
      <c r="R508" t="str">
        <f t="shared" si="36"/>
        <v>Hub Risk</v>
      </c>
      <c r="S508" t="str">
        <f t="shared" si="37"/>
        <v>Style Risk</v>
      </c>
      <c r="T508" t="str">
        <f t="shared" si="38"/>
        <v>Risk</v>
      </c>
      <c r="U508" t="str">
        <f t="shared" si="39"/>
        <v>Low Value</v>
      </c>
    </row>
    <row r="509" spans="1:21" hidden="1" x14ac:dyDescent="0.2">
      <c r="A509" s="2">
        <v>256</v>
      </c>
      <c r="B509" s="2" t="s">
        <v>9</v>
      </c>
      <c r="C509" s="2" t="s">
        <v>776</v>
      </c>
      <c r="D509" s="2" t="s">
        <v>566</v>
      </c>
      <c r="E509" s="2">
        <v>80014</v>
      </c>
      <c r="F509" s="2" t="s">
        <v>496</v>
      </c>
      <c r="G509" s="2" t="s">
        <v>36</v>
      </c>
      <c r="H509" s="2">
        <v>1</v>
      </c>
      <c r="I509" s="2" t="s">
        <v>39</v>
      </c>
      <c r="J509" s="2" t="str">
        <f>VLOOKUP(E509,[1]LL_Hub!$A$1:$B$13,2,FALSE)</f>
        <v>Denver</v>
      </c>
      <c r="K509" t="str">
        <f>VLOOKUP(D509,'[2]product Table data'!$A$2:$B$12,2,FALSE)</f>
        <v>Female</v>
      </c>
      <c r="L509" t="str">
        <f>VLOOKUP($D509,'[2]product Table data'!$A$2:$G$12,L$1,FALSE)</f>
        <v>Casual n Light</v>
      </c>
      <c r="M509" t="str">
        <f>VLOOKUP($D509,'[2]product Table data'!$A$2:$G$12,M$1,FALSE)</f>
        <v>Guatemala</v>
      </c>
      <c r="N509" t="str">
        <f>VLOOKUP($D509,'[2]product Table data'!$A$2:$G$12,N$1,FALSE)</f>
        <v>Central America</v>
      </c>
      <c r="O509">
        <f>VLOOKUP($D509,'[2]product Table data'!$A$2:$G$12,O$1,FALSE)</f>
        <v>25</v>
      </c>
      <c r="P509">
        <f>VLOOKUP($D509,'[2]product Table data'!$A$2:$G$12,P$1,FALSE)</f>
        <v>30</v>
      </c>
      <c r="Q509">
        <f t="shared" si="35"/>
        <v>5</v>
      </c>
      <c r="R509" t="str">
        <f t="shared" si="36"/>
        <v>Hub Risk</v>
      </c>
      <c r="S509" t="str">
        <f t="shared" si="37"/>
        <v>Style Risk</v>
      </c>
      <c r="T509" t="str">
        <f t="shared" si="38"/>
        <v>Risk</v>
      </c>
      <c r="U509" t="str">
        <f t="shared" si="39"/>
        <v>Low Value</v>
      </c>
    </row>
    <row r="510" spans="1:21" hidden="1" x14ac:dyDescent="0.2">
      <c r="A510" s="2">
        <v>257</v>
      </c>
      <c r="B510" s="2" t="s">
        <v>9</v>
      </c>
      <c r="C510" s="2" t="s">
        <v>777</v>
      </c>
      <c r="D510" s="2" t="s">
        <v>566</v>
      </c>
      <c r="E510" s="2">
        <v>80014</v>
      </c>
      <c r="F510" s="2" t="s">
        <v>496</v>
      </c>
      <c r="G510" s="2" t="s">
        <v>36</v>
      </c>
      <c r="H510" s="2">
        <v>1</v>
      </c>
      <c r="I510" s="2" t="s">
        <v>39</v>
      </c>
      <c r="J510" s="2" t="str">
        <f>VLOOKUP(E510,[1]LL_Hub!$A$1:$B$13,2,FALSE)</f>
        <v>Denver</v>
      </c>
      <c r="K510" t="str">
        <f>VLOOKUP(D510,'[2]product Table data'!$A$2:$B$12,2,FALSE)</f>
        <v>Female</v>
      </c>
      <c r="L510" t="str">
        <f>VLOOKUP($D510,'[2]product Table data'!$A$2:$G$12,L$1,FALSE)</f>
        <v>Casual n Light</v>
      </c>
      <c r="M510" t="str">
        <f>VLOOKUP($D510,'[2]product Table data'!$A$2:$G$12,M$1,FALSE)</f>
        <v>Guatemala</v>
      </c>
      <c r="N510" t="str">
        <f>VLOOKUP($D510,'[2]product Table data'!$A$2:$G$12,N$1,FALSE)</f>
        <v>Central America</v>
      </c>
      <c r="O510">
        <f>VLOOKUP($D510,'[2]product Table data'!$A$2:$G$12,O$1,FALSE)</f>
        <v>25</v>
      </c>
      <c r="P510">
        <f>VLOOKUP($D510,'[2]product Table data'!$A$2:$G$12,P$1,FALSE)</f>
        <v>30</v>
      </c>
      <c r="Q510">
        <f t="shared" si="35"/>
        <v>5</v>
      </c>
      <c r="R510" t="str">
        <f t="shared" si="36"/>
        <v>Hub Risk</v>
      </c>
      <c r="S510" t="str">
        <f t="shared" si="37"/>
        <v>Style Risk</v>
      </c>
      <c r="T510" t="str">
        <f t="shared" si="38"/>
        <v>Risk</v>
      </c>
      <c r="U510" t="str">
        <f t="shared" si="39"/>
        <v>Low Value</v>
      </c>
    </row>
    <row r="511" spans="1:21" hidden="1" x14ac:dyDescent="0.2">
      <c r="A511" s="2">
        <v>258</v>
      </c>
      <c r="B511" s="2" t="s">
        <v>9</v>
      </c>
      <c r="C511" s="2" t="s">
        <v>778</v>
      </c>
      <c r="D511" s="2" t="s">
        <v>566</v>
      </c>
      <c r="E511" s="2">
        <v>80014</v>
      </c>
      <c r="F511" s="2" t="s">
        <v>496</v>
      </c>
      <c r="G511" s="2" t="s">
        <v>36</v>
      </c>
      <c r="H511" s="2">
        <v>1</v>
      </c>
      <c r="I511" s="2" t="s">
        <v>39</v>
      </c>
      <c r="J511" s="2" t="str">
        <f>VLOOKUP(E511,[1]LL_Hub!$A$1:$B$13,2,FALSE)</f>
        <v>Denver</v>
      </c>
      <c r="K511" t="str">
        <f>VLOOKUP(D511,'[2]product Table data'!$A$2:$B$12,2,FALSE)</f>
        <v>Female</v>
      </c>
      <c r="L511" t="str">
        <f>VLOOKUP($D511,'[2]product Table data'!$A$2:$G$12,L$1,FALSE)</f>
        <v>Casual n Light</v>
      </c>
      <c r="M511" t="str">
        <f>VLOOKUP($D511,'[2]product Table data'!$A$2:$G$12,M$1,FALSE)</f>
        <v>Guatemala</v>
      </c>
      <c r="N511" t="str">
        <f>VLOOKUP($D511,'[2]product Table data'!$A$2:$G$12,N$1,FALSE)</f>
        <v>Central America</v>
      </c>
      <c r="O511">
        <f>VLOOKUP($D511,'[2]product Table data'!$A$2:$G$12,O$1,FALSE)</f>
        <v>25</v>
      </c>
      <c r="P511">
        <f>VLOOKUP($D511,'[2]product Table data'!$A$2:$G$12,P$1,FALSE)</f>
        <v>30</v>
      </c>
      <c r="Q511">
        <f t="shared" si="35"/>
        <v>5</v>
      </c>
      <c r="R511" t="str">
        <f t="shared" si="36"/>
        <v>Hub Risk</v>
      </c>
      <c r="S511" t="str">
        <f t="shared" si="37"/>
        <v>Style Risk</v>
      </c>
      <c r="T511" t="str">
        <f t="shared" si="38"/>
        <v>Risk</v>
      </c>
      <c r="U511" t="str">
        <f t="shared" si="39"/>
        <v>Low Value</v>
      </c>
    </row>
    <row r="512" spans="1:21" hidden="1" x14ac:dyDescent="0.2">
      <c r="A512" s="2">
        <v>259</v>
      </c>
      <c r="B512" s="2" t="s">
        <v>9</v>
      </c>
      <c r="C512" s="2" t="s">
        <v>779</v>
      </c>
      <c r="D512" s="2" t="s">
        <v>566</v>
      </c>
      <c r="E512" s="2">
        <v>80014</v>
      </c>
      <c r="F512" s="2" t="s">
        <v>496</v>
      </c>
      <c r="G512" s="2" t="s">
        <v>36</v>
      </c>
      <c r="H512" s="2">
        <v>1</v>
      </c>
      <c r="I512" s="2" t="s">
        <v>39</v>
      </c>
      <c r="J512" s="2" t="str">
        <f>VLOOKUP(E512,[1]LL_Hub!$A$1:$B$13,2,FALSE)</f>
        <v>Denver</v>
      </c>
      <c r="K512" t="str">
        <f>VLOOKUP(D512,'[2]product Table data'!$A$2:$B$12,2,FALSE)</f>
        <v>Female</v>
      </c>
      <c r="L512" t="str">
        <f>VLOOKUP($D512,'[2]product Table data'!$A$2:$G$12,L$1,FALSE)</f>
        <v>Casual n Light</v>
      </c>
      <c r="M512" t="str">
        <f>VLOOKUP($D512,'[2]product Table data'!$A$2:$G$12,M$1,FALSE)</f>
        <v>Guatemala</v>
      </c>
      <c r="N512" t="str">
        <f>VLOOKUP($D512,'[2]product Table data'!$A$2:$G$12,N$1,FALSE)</f>
        <v>Central America</v>
      </c>
      <c r="O512">
        <f>VLOOKUP($D512,'[2]product Table data'!$A$2:$G$12,O$1,FALSE)</f>
        <v>25</v>
      </c>
      <c r="P512">
        <f>VLOOKUP($D512,'[2]product Table data'!$A$2:$G$12,P$1,FALSE)</f>
        <v>30</v>
      </c>
      <c r="Q512">
        <f t="shared" si="35"/>
        <v>5</v>
      </c>
      <c r="R512" t="str">
        <f t="shared" si="36"/>
        <v>Hub Risk</v>
      </c>
      <c r="S512" t="str">
        <f t="shared" si="37"/>
        <v>Style Risk</v>
      </c>
      <c r="T512" t="str">
        <f t="shared" si="38"/>
        <v>Risk</v>
      </c>
      <c r="U512" t="str">
        <f t="shared" si="39"/>
        <v>Low Value</v>
      </c>
    </row>
    <row r="513" spans="1:21" hidden="1" x14ac:dyDescent="0.2">
      <c r="A513" s="2">
        <v>260</v>
      </c>
      <c r="B513" s="2" t="s">
        <v>9</v>
      </c>
      <c r="C513" s="2" t="s">
        <v>780</v>
      </c>
      <c r="D513" s="2" t="s">
        <v>566</v>
      </c>
      <c r="E513" s="2">
        <v>80014</v>
      </c>
      <c r="F513" s="2" t="s">
        <v>496</v>
      </c>
      <c r="G513" s="2" t="s">
        <v>36</v>
      </c>
      <c r="H513" s="2">
        <v>1</v>
      </c>
      <c r="I513" s="2" t="s">
        <v>39</v>
      </c>
      <c r="J513" s="2" t="str">
        <f>VLOOKUP(E513,[1]LL_Hub!$A$1:$B$13,2,FALSE)</f>
        <v>Denver</v>
      </c>
      <c r="K513" t="str">
        <f>VLOOKUP(D513,'[2]product Table data'!$A$2:$B$12,2,FALSE)</f>
        <v>Female</v>
      </c>
      <c r="L513" t="str">
        <f>VLOOKUP($D513,'[2]product Table data'!$A$2:$G$12,L$1,FALSE)</f>
        <v>Casual n Light</v>
      </c>
      <c r="M513" t="str">
        <f>VLOOKUP($D513,'[2]product Table data'!$A$2:$G$12,M$1,FALSE)</f>
        <v>Guatemala</v>
      </c>
      <c r="N513" t="str">
        <f>VLOOKUP($D513,'[2]product Table data'!$A$2:$G$12,N$1,FALSE)</f>
        <v>Central America</v>
      </c>
      <c r="O513">
        <f>VLOOKUP($D513,'[2]product Table data'!$A$2:$G$12,O$1,FALSE)</f>
        <v>25</v>
      </c>
      <c r="P513">
        <f>VLOOKUP($D513,'[2]product Table data'!$A$2:$G$12,P$1,FALSE)</f>
        <v>30</v>
      </c>
      <c r="Q513">
        <f t="shared" si="35"/>
        <v>5</v>
      </c>
      <c r="R513" t="str">
        <f t="shared" si="36"/>
        <v>Hub Risk</v>
      </c>
      <c r="S513" t="str">
        <f t="shared" si="37"/>
        <v>Style Risk</v>
      </c>
      <c r="T513" t="str">
        <f t="shared" si="38"/>
        <v>Risk</v>
      </c>
      <c r="U513" t="str">
        <f t="shared" si="39"/>
        <v>Low Value</v>
      </c>
    </row>
    <row r="514" spans="1:21" hidden="1" x14ac:dyDescent="0.2">
      <c r="A514" s="2">
        <v>261</v>
      </c>
      <c r="B514" s="2" t="s">
        <v>9</v>
      </c>
      <c r="C514" s="2" t="s">
        <v>781</v>
      </c>
      <c r="D514" s="2" t="s">
        <v>566</v>
      </c>
      <c r="E514" s="2">
        <v>80014</v>
      </c>
      <c r="F514" s="2" t="s">
        <v>496</v>
      </c>
      <c r="G514" s="2" t="s">
        <v>36</v>
      </c>
      <c r="H514" s="2">
        <v>1</v>
      </c>
      <c r="I514" s="2" t="s">
        <v>39</v>
      </c>
      <c r="J514" s="2" t="str">
        <f>VLOOKUP(E514,[1]LL_Hub!$A$1:$B$13,2,FALSE)</f>
        <v>Denver</v>
      </c>
      <c r="K514" t="str">
        <f>VLOOKUP(D514,'[2]product Table data'!$A$2:$B$12,2,FALSE)</f>
        <v>Female</v>
      </c>
      <c r="L514" t="str">
        <f>VLOOKUP($D514,'[2]product Table data'!$A$2:$G$12,L$1,FALSE)</f>
        <v>Casual n Light</v>
      </c>
      <c r="M514" t="str">
        <f>VLOOKUP($D514,'[2]product Table data'!$A$2:$G$12,M$1,FALSE)</f>
        <v>Guatemala</v>
      </c>
      <c r="N514" t="str">
        <f>VLOOKUP($D514,'[2]product Table data'!$A$2:$G$12,N$1,FALSE)</f>
        <v>Central America</v>
      </c>
      <c r="O514">
        <f>VLOOKUP($D514,'[2]product Table data'!$A$2:$G$12,O$1,FALSE)</f>
        <v>25</v>
      </c>
      <c r="P514">
        <f>VLOOKUP($D514,'[2]product Table data'!$A$2:$G$12,P$1,FALSE)</f>
        <v>30</v>
      </c>
      <c r="Q514">
        <f t="shared" si="35"/>
        <v>5</v>
      </c>
      <c r="R514" t="str">
        <f t="shared" si="36"/>
        <v>Hub Risk</v>
      </c>
      <c r="S514" t="str">
        <f t="shared" si="37"/>
        <v>Style Risk</v>
      </c>
      <c r="T514" t="str">
        <f t="shared" si="38"/>
        <v>Risk</v>
      </c>
      <c r="U514" t="str">
        <f t="shared" si="39"/>
        <v>Low Value</v>
      </c>
    </row>
    <row r="515" spans="1:21" hidden="1" x14ac:dyDescent="0.2">
      <c r="A515" s="2">
        <v>262</v>
      </c>
      <c r="B515" s="2" t="s">
        <v>9</v>
      </c>
      <c r="C515" s="2" t="s">
        <v>782</v>
      </c>
      <c r="D515" s="2" t="s">
        <v>566</v>
      </c>
      <c r="E515" s="2">
        <v>80014</v>
      </c>
      <c r="F515" s="2" t="s">
        <v>496</v>
      </c>
      <c r="G515" s="2" t="s">
        <v>36</v>
      </c>
      <c r="H515" s="2">
        <v>1</v>
      </c>
      <c r="I515" s="2" t="s">
        <v>39</v>
      </c>
      <c r="J515" s="2" t="str">
        <f>VLOOKUP(E515,[1]LL_Hub!$A$1:$B$13,2,FALSE)</f>
        <v>Denver</v>
      </c>
      <c r="K515" t="str">
        <f>VLOOKUP(D515,'[2]product Table data'!$A$2:$B$12,2,FALSE)</f>
        <v>Female</v>
      </c>
      <c r="L515" t="str">
        <f>VLOOKUP($D515,'[2]product Table data'!$A$2:$G$12,L$1,FALSE)</f>
        <v>Casual n Light</v>
      </c>
      <c r="M515" t="str">
        <f>VLOOKUP($D515,'[2]product Table data'!$A$2:$G$12,M$1,FALSE)</f>
        <v>Guatemala</v>
      </c>
      <c r="N515" t="str">
        <f>VLOOKUP($D515,'[2]product Table data'!$A$2:$G$12,N$1,FALSE)</f>
        <v>Central America</v>
      </c>
      <c r="O515">
        <f>VLOOKUP($D515,'[2]product Table data'!$A$2:$G$12,O$1,FALSE)</f>
        <v>25</v>
      </c>
      <c r="P515">
        <f>VLOOKUP($D515,'[2]product Table data'!$A$2:$G$12,P$1,FALSE)</f>
        <v>30</v>
      </c>
      <c r="Q515">
        <f t="shared" ref="Q515:Q578" si="40">P515-O515</f>
        <v>5</v>
      </c>
      <c r="R515" t="str">
        <f t="shared" ref="R515:R578" si="41">IF(OR(J515="Los Angeles",J515="Denver"),"Hub Risk","-")</f>
        <v>Hub Risk</v>
      </c>
      <c r="S515" t="str">
        <f t="shared" ref="S515:S578" si="42">IF(OR(L515="Casual n Light",L515="Fancy Sheek"),"Style Risk","-")</f>
        <v>Style Risk</v>
      </c>
      <c r="T515" t="str">
        <f t="shared" ref="T515:T578" si="43">IF(AND(R515="Hub Risk", S515="Style Risk"), "Risk", "-")</f>
        <v>Risk</v>
      </c>
      <c r="U515" t="str">
        <f t="shared" ref="U515:U578" si="44">IF(Q515&lt;=5, "Low Value", "High Value")</f>
        <v>Low Value</v>
      </c>
    </row>
    <row r="516" spans="1:21" hidden="1" x14ac:dyDescent="0.2">
      <c r="A516" s="2">
        <v>263</v>
      </c>
      <c r="B516" s="2" t="s">
        <v>9</v>
      </c>
      <c r="C516" s="2" t="s">
        <v>783</v>
      </c>
      <c r="D516" s="2" t="s">
        <v>566</v>
      </c>
      <c r="E516" s="2">
        <v>80014</v>
      </c>
      <c r="F516" s="2" t="s">
        <v>784</v>
      </c>
      <c r="G516" s="2" t="s">
        <v>13</v>
      </c>
      <c r="H516" s="2">
        <v>1</v>
      </c>
      <c r="I516" s="2" t="s">
        <v>39</v>
      </c>
      <c r="J516" s="2" t="str">
        <f>VLOOKUP(E516,[1]LL_Hub!$A$1:$B$13,2,FALSE)</f>
        <v>Denver</v>
      </c>
      <c r="K516" t="str">
        <f>VLOOKUP(D516,'[2]product Table data'!$A$2:$B$12,2,FALSE)</f>
        <v>Female</v>
      </c>
      <c r="L516" t="str">
        <f>VLOOKUP($D516,'[2]product Table data'!$A$2:$G$12,L$1,FALSE)</f>
        <v>Casual n Light</v>
      </c>
      <c r="M516" t="str">
        <f>VLOOKUP($D516,'[2]product Table data'!$A$2:$G$12,M$1,FALSE)</f>
        <v>Guatemala</v>
      </c>
      <c r="N516" t="str">
        <f>VLOOKUP($D516,'[2]product Table data'!$A$2:$G$12,N$1,FALSE)</f>
        <v>Central America</v>
      </c>
      <c r="O516">
        <f>VLOOKUP($D516,'[2]product Table data'!$A$2:$G$12,O$1,FALSE)</f>
        <v>25</v>
      </c>
      <c r="P516">
        <f>VLOOKUP($D516,'[2]product Table data'!$A$2:$G$12,P$1,FALSE)</f>
        <v>30</v>
      </c>
      <c r="Q516">
        <f t="shared" si="40"/>
        <v>5</v>
      </c>
      <c r="R516" t="str">
        <f t="shared" si="41"/>
        <v>Hub Risk</v>
      </c>
      <c r="S516" t="str">
        <f t="shared" si="42"/>
        <v>Style Risk</v>
      </c>
      <c r="T516" t="str">
        <f t="shared" si="43"/>
        <v>Risk</v>
      </c>
      <c r="U516" t="str">
        <f t="shared" si="44"/>
        <v>Low Value</v>
      </c>
    </row>
    <row r="517" spans="1:21" hidden="1" x14ac:dyDescent="0.2">
      <c r="A517" s="2">
        <v>264</v>
      </c>
      <c r="B517" s="2" t="s">
        <v>9</v>
      </c>
      <c r="C517" s="2" t="s">
        <v>785</v>
      </c>
      <c r="D517" s="2" t="s">
        <v>566</v>
      </c>
      <c r="E517" s="2">
        <v>80014</v>
      </c>
      <c r="F517" s="2" t="s">
        <v>786</v>
      </c>
      <c r="G517" s="2" t="s">
        <v>13</v>
      </c>
      <c r="H517" s="2">
        <v>1</v>
      </c>
      <c r="I517" s="2" t="s">
        <v>39</v>
      </c>
      <c r="J517" s="2" t="str">
        <f>VLOOKUP(E517,[1]LL_Hub!$A$1:$B$13,2,FALSE)</f>
        <v>Denver</v>
      </c>
      <c r="K517" t="str">
        <f>VLOOKUP(D517,'[2]product Table data'!$A$2:$B$12,2,FALSE)</f>
        <v>Female</v>
      </c>
      <c r="L517" t="str">
        <f>VLOOKUP($D517,'[2]product Table data'!$A$2:$G$12,L$1,FALSE)</f>
        <v>Casual n Light</v>
      </c>
      <c r="M517" t="str">
        <f>VLOOKUP($D517,'[2]product Table data'!$A$2:$G$12,M$1,FALSE)</f>
        <v>Guatemala</v>
      </c>
      <c r="N517" t="str">
        <f>VLOOKUP($D517,'[2]product Table data'!$A$2:$G$12,N$1,FALSE)</f>
        <v>Central America</v>
      </c>
      <c r="O517">
        <f>VLOOKUP($D517,'[2]product Table data'!$A$2:$G$12,O$1,FALSE)</f>
        <v>25</v>
      </c>
      <c r="P517">
        <f>VLOOKUP($D517,'[2]product Table data'!$A$2:$G$12,P$1,FALSE)</f>
        <v>30</v>
      </c>
      <c r="Q517">
        <f t="shared" si="40"/>
        <v>5</v>
      </c>
      <c r="R517" t="str">
        <f t="shared" si="41"/>
        <v>Hub Risk</v>
      </c>
      <c r="S517" t="str">
        <f t="shared" si="42"/>
        <v>Style Risk</v>
      </c>
      <c r="T517" t="str">
        <f t="shared" si="43"/>
        <v>Risk</v>
      </c>
      <c r="U517" t="str">
        <f t="shared" si="44"/>
        <v>Low Value</v>
      </c>
    </row>
    <row r="518" spans="1:21" hidden="1" x14ac:dyDescent="0.2">
      <c r="A518" s="2">
        <v>265</v>
      </c>
      <c r="B518" s="2" t="s">
        <v>9</v>
      </c>
      <c r="C518" s="2" t="s">
        <v>787</v>
      </c>
      <c r="D518" s="2" t="s">
        <v>566</v>
      </c>
      <c r="E518" s="2">
        <v>80014</v>
      </c>
      <c r="F518" s="2" t="s">
        <v>788</v>
      </c>
      <c r="G518" s="2" t="s">
        <v>13</v>
      </c>
      <c r="H518" s="2">
        <v>1</v>
      </c>
      <c r="I518" s="2" t="s">
        <v>39</v>
      </c>
      <c r="J518" s="2" t="str">
        <f>VLOOKUP(E518,[1]LL_Hub!$A$1:$B$13,2,FALSE)</f>
        <v>Denver</v>
      </c>
      <c r="K518" t="str">
        <f>VLOOKUP(D518,'[2]product Table data'!$A$2:$B$12,2,FALSE)</f>
        <v>Female</v>
      </c>
      <c r="L518" t="str">
        <f>VLOOKUP($D518,'[2]product Table data'!$A$2:$G$12,L$1,FALSE)</f>
        <v>Casual n Light</v>
      </c>
      <c r="M518" t="str">
        <f>VLOOKUP($D518,'[2]product Table data'!$A$2:$G$12,M$1,FALSE)</f>
        <v>Guatemala</v>
      </c>
      <c r="N518" t="str">
        <f>VLOOKUP($D518,'[2]product Table data'!$A$2:$G$12,N$1,FALSE)</f>
        <v>Central America</v>
      </c>
      <c r="O518">
        <f>VLOOKUP($D518,'[2]product Table data'!$A$2:$G$12,O$1,FALSE)</f>
        <v>25</v>
      </c>
      <c r="P518">
        <f>VLOOKUP($D518,'[2]product Table data'!$A$2:$G$12,P$1,FALSE)</f>
        <v>30</v>
      </c>
      <c r="Q518">
        <f t="shared" si="40"/>
        <v>5</v>
      </c>
      <c r="R518" t="str">
        <f t="shared" si="41"/>
        <v>Hub Risk</v>
      </c>
      <c r="S518" t="str">
        <f t="shared" si="42"/>
        <v>Style Risk</v>
      </c>
      <c r="T518" t="str">
        <f t="shared" si="43"/>
        <v>Risk</v>
      </c>
      <c r="U518" t="str">
        <f t="shared" si="44"/>
        <v>Low Value</v>
      </c>
    </row>
    <row r="519" spans="1:21" hidden="1" x14ac:dyDescent="0.2">
      <c r="A519" s="2">
        <v>266</v>
      </c>
      <c r="B519" s="2" t="s">
        <v>9</v>
      </c>
      <c r="C519" s="2" t="s">
        <v>789</v>
      </c>
      <c r="D519" s="2" t="s">
        <v>566</v>
      </c>
      <c r="E519" s="2">
        <v>80014</v>
      </c>
      <c r="F519" s="2" t="s">
        <v>790</v>
      </c>
      <c r="G519" s="2" t="s">
        <v>13</v>
      </c>
      <c r="H519" s="2">
        <v>1</v>
      </c>
      <c r="I519" s="2" t="s">
        <v>39</v>
      </c>
      <c r="J519" s="2" t="str">
        <f>VLOOKUP(E519,[1]LL_Hub!$A$1:$B$13,2,FALSE)</f>
        <v>Denver</v>
      </c>
      <c r="K519" t="str">
        <f>VLOOKUP(D519,'[2]product Table data'!$A$2:$B$12,2,FALSE)</f>
        <v>Female</v>
      </c>
      <c r="L519" t="str">
        <f>VLOOKUP($D519,'[2]product Table data'!$A$2:$G$12,L$1,FALSE)</f>
        <v>Casual n Light</v>
      </c>
      <c r="M519" t="str">
        <f>VLOOKUP($D519,'[2]product Table data'!$A$2:$G$12,M$1,FALSE)</f>
        <v>Guatemala</v>
      </c>
      <c r="N519" t="str">
        <f>VLOOKUP($D519,'[2]product Table data'!$A$2:$G$12,N$1,FALSE)</f>
        <v>Central America</v>
      </c>
      <c r="O519">
        <f>VLOOKUP($D519,'[2]product Table data'!$A$2:$G$12,O$1,FALSE)</f>
        <v>25</v>
      </c>
      <c r="P519">
        <f>VLOOKUP($D519,'[2]product Table data'!$A$2:$G$12,P$1,FALSE)</f>
        <v>30</v>
      </c>
      <c r="Q519">
        <f t="shared" si="40"/>
        <v>5</v>
      </c>
      <c r="R519" t="str">
        <f t="shared" si="41"/>
        <v>Hub Risk</v>
      </c>
      <c r="S519" t="str">
        <f t="shared" si="42"/>
        <v>Style Risk</v>
      </c>
      <c r="T519" t="str">
        <f t="shared" si="43"/>
        <v>Risk</v>
      </c>
      <c r="U519" t="str">
        <f t="shared" si="44"/>
        <v>Low Value</v>
      </c>
    </row>
    <row r="520" spans="1:21" hidden="1" x14ac:dyDescent="0.2">
      <c r="A520" s="2">
        <v>267</v>
      </c>
      <c r="B520" s="2" t="s">
        <v>9</v>
      </c>
      <c r="C520" s="2" t="s">
        <v>791</v>
      </c>
      <c r="D520" s="2" t="s">
        <v>566</v>
      </c>
      <c r="E520" s="2">
        <v>80014</v>
      </c>
      <c r="F520" s="2" t="s">
        <v>792</v>
      </c>
      <c r="G520" s="2" t="s">
        <v>13</v>
      </c>
      <c r="H520" s="2">
        <v>1</v>
      </c>
      <c r="I520" s="2" t="s">
        <v>39</v>
      </c>
      <c r="J520" s="2" t="str">
        <f>VLOOKUP(E520,[1]LL_Hub!$A$1:$B$13,2,FALSE)</f>
        <v>Denver</v>
      </c>
      <c r="K520" t="str">
        <f>VLOOKUP(D520,'[2]product Table data'!$A$2:$B$12,2,FALSE)</f>
        <v>Female</v>
      </c>
      <c r="L520" t="str">
        <f>VLOOKUP($D520,'[2]product Table data'!$A$2:$G$12,L$1,FALSE)</f>
        <v>Casual n Light</v>
      </c>
      <c r="M520" t="str">
        <f>VLOOKUP($D520,'[2]product Table data'!$A$2:$G$12,M$1,FALSE)</f>
        <v>Guatemala</v>
      </c>
      <c r="N520" t="str">
        <f>VLOOKUP($D520,'[2]product Table data'!$A$2:$G$12,N$1,FALSE)</f>
        <v>Central America</v>
      </c>
      <c r="O520">
        <f>VLOOKUP($D520,'[2]product Table data'!$A$2:$G$12,O$1,FALSE)</f>
        <v>25</v>
      </c>
      <c r="P520">
        <f>VLOOKUP($D520,'[2]product Table data'!$A$2:$G$12,P$1,FALSE)</f>
        <v>30</v>
      </c>
      <c r="Q520">
        <f t="shared" si="40"/>
        <v>5</v>
      </c>
      <c r="R520" t="str">
        <f t="shared" si="41"/>
        <v>Hub Risk</v>
      </c>
      <c r="S520" t="str">
        <f t="shared" si="42"/>
        <v>Style Risk</v>
      </c>
      <c r="T520" t="str">
        <f t="shared" si="43"/>
        <v>Risk</v>
      </c>
      <c r="U520" t="str">
        <f t="shared" si="44"/>
        <v>Low Value</v>
      </c>
    </row>
    <row r="521" spans="1:21" hidden="1" x14ac:dyDescent="0.2">
      <c r="A521" s="2">
        <v>268</v>
      </c>
      <c r="B521" s="2" t="s">
        <v>9</v>
      </c>
      <c r="C521" s="2" t="s">
        <v>793</v>
      </c>
      <c r="D521" s="2" t="s">
        <v>566</v>
      </c>
      <c r="E521" s="2">
        <v>80014</v>
      </c>
      <c r="F521" s="2" t="s">
        <v>794</v>
      </c>
      <c r="G521" s="2" t="s">
        <v>13</v>
      </c>
      <c r="H521" s="2">
        <v>1</v>
      </c>
      <c r="I521" s="2" t="s">
        <v>39</v>
      </c>
      <c r="J521" s="2" t="str">
        <f>VLOOKUP(E521,[1]LL_Hub!$A$1:$B$13,2,FALSE)</f>
        <v>Denver</v>
      </c>
      <c r="K521" t="str">
        <f>VLOOKUP(D521,'[2]product Table data'!$A$2:$B$12,2,FALSE)</f>
        <v>Female</v>
      </c>
      <c r="L521" t="str">
        <f>VLOOKUP($D521,'[2]product Table data'!$A$2:$G$12,L$1,FALSE)</f>
        <v>Casual n Light</v>
      </c>
      <c r="M521" t="str">
        <f>VLOOKUP($D521,'[2]product Table data'!$A$2:$G$12,M$1,FALSE)</f>
        <v>Guatemala</v>
      </c>
      <c r="N521" t="str">
        <f>VLOOKUP($D521,'[2]product Table data'!$A$2:$G$12,N$1,FALSE)</f>
        <v>Central America</v>
      </c>
      <c r="O521">
        <f>VLOOKUP($D521,'[2]product Table data'!$A$2:$G$12,O$1,FALSE)</f>
        <v>25</v>
      </c>
      <c r="P521">
        <f>VLOOKUP($D521,'[2]product Table data'!$A$2:$G$12,P$1,FALSE)</f>
        <v>30</v>
      </c>
      <c r="Q521">
        <f t="shared" si="40"/>
        <v>5</v>
      </c>
      <c r="R521" t="str">
        <f t="shared" si="41"/>
        <v>Hub Risk</v>
      </c>
      <c r="S521" t="str">
        <f t="shared" si="42"/>
        <v>Style Risk</v>
      </c>
      <c r="T521" t="str">
        <f t="shared" si="43"/>
        <v>Risk</v>
      </c>
      <c r="U521" t="str">
        <f t="shared" si="44"/>
        <v>Low Value</v>
      </c>
    </row>
    <row r="522" spans="1:21" hidden="1" x14ac:dyDescent="0.2">
      <c r="A522" s="2">
        <v>269</v>
      </c>
      <c r="B522" s="2" t="s">
        <v>9</v>
      </c>
      <c r="C522" s="2" t="s">
        <v>795</v>
      </c>
      <c r="D522" s="2" t="s">
        <v>566</v>
      </c>
      <c r="E522" s="2">
        <v>80014</v>
      </c>
      <c r="F522" s="2" t="s">
        <v>796</v>
      </c>
      <c r="G522" s="2" t="s">
        <v>13</v>
      </c>
      <c r="H522" s="2">
        <v>1</v>
      </c>
      <c r="I522" s="2" t="s">
        <v>39</v>
      </c>
      <c r="J522" s="2" t="str">
        <f>VLOOKUP(E522,[1]LL_Hub!$A$1:$B$13,2,FALSE)</f>
        <v>Denver</v>
      </c>
      <c r="K522" t="str">
        <f>VLOOKUP(D522,'[2]product Table data'!$A$2:$B$12,2,FALSE)</f>
        <v>Female</v>
      </c>
      <c r="L522" t="str">
        <f>VLOOKUP($D522,'[2]product Table data'!$A$2:$G$12,L$1,FALSE)</f>
        <v>Casual n Light</v>
      </c>
      <c r="M522" t="str">
        <f>VLOOKUP($D522,'[2]product Table data'!$A$2:$G$12,M$1,FALSE)</f>
        <v>Guatemala</v>
      </c>
      <c r="N522" t="str">
        <f>VLOOKUP($D522,'[2]product Table data'!$A$2:$G$12,N$1,FALSE)</f>
        <v>Central America</v>
      </c>
      <c r="O522">
        <f>VLOOKUP($D522,'[2]product Table data'!$A$2:$G$12,O$1,FALSE)</f>
        <v>25</v>
      </c>
      <c r="P522">
        <f>VLOOKUP($D522,'[2]product Table data'!$A$2:$G$12,P$1,FALSE)</f>
        <v>30</v>
      </c>
      <c r="Q522">
        <f t="shared" si="40"/>
        <v>5</v>
      </c>
      <c r="R522" t="str">
        <f t="shared" si="41"/>
        <v>Hub Risk</v>
      </c>
      <c r="S522" t="str">
        <f t="shared" si="42"/>
        <v>Style Risk</v>
      </c>
      <c r="T522" t="str">
        <f t="shared" si="43"/>
        <v>Risk</v>
      </c>
      <c r="U522" t="str">
        <f t="shared" si="44"/>
        <v>Low Value</v>
      </c>
    </row>
    <row r="523" spans="1:21" hidden="1" x14ac:dyDescent="0.2">
      <c r="A523" s="2">
        <v>270</v>
      </c>
      <c r="B523" s="2" t="s">
        <v>9</v>
      </c>
      <c r="C523" s="2" t="s">
        <v>797</v>
      </c>
      <c r="D523" s="2" t="s">
        <v>566</v>
      </c>
      <c r="E523" s="2">
        <v>80014</v>
      </c>
      <c r="F523" s="2" t="s">
        <v>798</v>
      </c>
      <c r="G523" s="2" t="s">
        <v>13</v>
      </c>
      <c r="H523" s="2">
        <v>1</v>
      </c>
      <c r="I523" s="2" t="s">
        <v>39</v>
      </c>
      <c r="J523" s="2" t="str">
        <f>VLOOKUP(E523,[1]LL_Hub!$A$1:$B$13,2,FALSE)</f>
        <v>Denver</v>
      </c>
      <c r="K523" t="str">
        <f>VLOOKUP(D523,'[2]product Table data'!$A$2:$B$12,2,FALSE)</f>
        <v>Female</v>
      </c>
      <c r="L523" t="str">
        <f>VLOOKUP($D523,'[2]product Table data'!$A$2:$G$12,L$1,FALSE)</f>
        <v>Casual n Light</v>
      </c>
      <c r="M523" t="str">
        <f>VLOOKUP($D523,'[2]product Table data'!$A$2:$G$12,M$1,FALSE)</f>
        <v>Guatemala</v>
      </c>
      <c r="N523" t="str">
        <f>VLOOKUP($D523,'[2]product Table data'!$A$2:$G$12,N$1,FALSE)</f>
        <v>Central America</v>
      </c>
      <c r="O523">
        <f>VLOOKUP($D523,'[2]product Table data'!$A$2:$G$12,O$1,FALSE)</f>
        <v>25</v>
      </c>
      <c r="P523">
        <f>VLOOKUP($D523,'[2]product Table data'!$A$2:$G$12,P$1,FALSE)</f>
        <v>30</v>
      </c>
      <c r="Q523">
        <f t="shared" si="40"/>
        <v>5</v>
      </c>
      <c r="R523" t="str">
        <f t="shared" si="41"/>
        <v>Hub Risk</v>
      </c>
      <c r="S523" t="str">
        <f t="shared" si="42"/>
        <v>Style Risk</v>
      </c>
      <c r="T523" t="str">
        <f t="shared" si="43"/>
        <v>Risk</v>
      </c>
      <c r="U523" t="str">
        <f t="shared" si="44"/>
        <v>Low Value</v>
      </c>
    </row>
    <row r="524" spans="1:21" hidden="1" x14ac:dyDescent="0.2">
      <c r="A524" s="2">
        <v>271</v>
      </c>
      <c r="B524" s="2" t="s">
        <v>9</v>
      </c>
      <c r="C524" s="2" t="s">
        <v>799</v>
      </c>
      <c r="D524" s="2" t="s">
        <v>566</v>
      </c>
      <c r="E524" s="2">
        <v>80208</v>
      </c>
      <c r="F524" s="2" t="s">
        <v>800</v>
      </c>
      <c r="G524" s="2" t="s">
        <v>13</v>
      </c>
      <c r="H524" s="2">
        <v>1</v>
      </c>
      <c r="I524" s="2" t="s">
        <v>39</v>
      </c>
      <c r="J524" s="2" t="str">
        <f>VLOOKUP(E524,[1]LL_Hub!$A$1:$B$13,2,FALSE)</f>
        <v>Denver</v>
      </c>
      <c r="K524" t="str">
        <f>VLOOKUP(D524,'[2]product Table data'!$A$2:$B$12,2,FALSE)</f>
        <v>Female</v>
      </c>
      <c r="L524" t="str">
        <f>VLOOKUP($D524,'[2]product Table data'!$A$2:$G$12,L$1,FALSE)</f>
        <v>Casual n Light</v>
      </c>
      <c r="M524" t="str">
        <f>VLOOKUP($D524,'[2]product Table data'!$A$2:$G$12,M$1,FALSE)</f>
        <v>Guatemala</v>
      </c>
      <c r="N524" t="str">
        <f>VLOOKUP($D524,'[2]product Table data'!$A$2:$G$12,N$1,FALSE)</f>
        <v>Central America</v>
      </c>
      <c r="O524">
        <f>VLOOKUP($D524,'[2]product Table data'!$A$2:$G$12,O$1,FALSE)</f>
        <v>25</v>
      </c>
      <c r="P524">
        <f>VLOOKUP($D524,'[2]product Table data'!$A$2:$G$12,P$1,FALSE)</f>
        <v>30</v>
      </c>
      <c r="Q524">
        <f t="shared" si="40"/>
        <v>5</v>
      </c>
      <c r="R524" t="str">
        <f t="shared" si="41"/>
        <v>Hub Risk</v>
      </c>
      <c r="S524" t="str">
        <f t="shared" si="42"/>
        <v>Style Risk</v>
      </c>
      <c r="T524" t="str">
        <f t="shared" si="43"/>
        <v>Risk</v>
      </c>
      <c r="U524" t="str">
        <f t="shared" si="44"/>
        <v>Low Value</v>
      </c>
    </row>
    <row r="525" spans="1:21" hidden="1" x14ac:dyDescent="0.2">
      <c r="A525" s="2">
        <v>272</v>
      </c>
      <c r="B525" s="2" t="s">
        <v>9</v>
      </c>
      <c r="C525" s="2" t="s">
        <v>801</v>
      </c>
      <c r="D525" s="2" t="s">
        <v>566</v>
      </c>
      <c r="E525" s="2">
        <v>80208</v>
      </c>
      <c r="F525" s="2" t="s">
        <v>802</v>
      </c>
      <c r="G525" s="2" t="s">
        <v>13</v>
      </c>
      <c r="H525" s="2">
        <v>1</v>
      </c>
      <c r="I525" s="2" t="s">
        <v>39</v>
      </c>
      <c r="J525" s="2" t="str">
        <f>VLOOKUP(E525,[1]LL_Hub!$A$1:$B$13,2,FALSE)</f>
        <v>Denver</v>
      </c>
      <c r="K525" t="str">
        <f>VLOOKUP(D525,'[2]product Table data'!$A$2:$B$12,2,FALSE)</f>
        <v>Female</v>
      </c>
      <c r="L525" t="str">
        <f>VLOOKUP($D525,'[2]product Table data'!$A$2:$G$12,L$1,FALSE)</f>
        <v>Casual n Light</v>
      </c>
      <c r="M525" t="str">
        <f>VLOOKUP($D525,'[2]product Table data'!$A$2:$G$12,M$1,FALSE)</f>
        <v>Guatemala</v>
      </c>
      <c r="N525" t="str">
        <f>VLOOKUP($D525,'[2]product Table data'!$A$2:$G$12,N$1,FALSE)</f>
        <v>Central America</v>
      </c>
      <c r="O525">
        <f>VLOOKUP($D525,'[2]product Table data'!$A$2:$G$12,O$1,FALSE)</f>
        <v>25</v>
      </c>
      <c r="P525">
        <f>VLOOKUP($D525,'[2]product Table data'!$A$2:$G$12,P$1,FALSE)</f>
        <v>30</v>
      </c>
      <c r="Q525">
        <f t="shared" si="40"/>
        <v>5</v>
      </c>
      <c r="R525" t="str">
        <f t="shared" si="41"/>
        <v>Hub Risk</v>
      </c>
      <c r="S525" t="str">
        <f t="shared" si="42"/>
        <v>Style Risk</v>
      </c>
      <c r="T525" t="str">
        <f t="shared" si="43"/>
        <v>Risk</v>
      </c>
      <c r="U525" t="str">
        <f t="shared" si="44"/>
        <v>Low Value</v>
      </c>
    </row>
    <row r="526" spans="1:21" hidden="1" x14ac:dyDescent="0.2">
      <c r="A526" s="2">
        <v>273</v>
      </c>
      <c r="B526" s="2" t="s">
        <v>9</v>
      </c>
      <c r="C526" s="2" t="s">
        <v>803</v>
      </c>
      <c r="D526" s="2" t="s">
        <v>566</v>
      </c>
      <c r="E526" s="2">
        <v>80208</v>
      </c>
      <c r="F526" s="2" t="s">
        <v>804</v>
      </c>
      <c r="G526" s="2" t="s">
        <v>13</v>
      </c>
      <c r="H526" s="2">
        <v>1</v>
      </c>
      <c r="I526" s="2" t="s">
        <v>39</v>
      </c>
      <c r="J526" s="2" t="str">
        <f>VLOOKUP(E526,[1]LL_Hub!$A$1:$B$13,2,FALSE)</f>
        <v>Denver</v>
      </c>
      <c r="K526" t="str">
        <f>VLOOKUP(D526,'[2]product Table data'!$A$2:$B$12,2,FALSE)</f>
        <v>Female</v>
      </c>
      <c r="L526" t="str">
        <f>VLOOKUP($D526,'[2]product Table data'!$A$2:$G$12,L$1,FALSE)</f>
        <v>Casual n Light</v>
      </c>
      <c r="M526" t="str">
        <f>VLOOKUP($D526,'[2]product Table data'!$A$2:$G$12,M$1,FALSE)</f>
        <v>Guatemala</v>
      </c>
      <c r="N526" t="str">
        <f>VLOOKUP($D526,'[2]product Table data'!$A$2:$G$12,N$1,FALSE)</f>
        <v>Central America</v>
      </c>
      <c r="O526">
        <f>VLOOKUP($D526,'[2]product Table data'!$A$2:$G$12,O$1,FALSE)</f>
        <v>25</v>
      </c>
      <c r="P526">
        <f>VLOOKUP($D526,'[2]product Table data'!$A$2:$G$12,P$1,FALSE)</f>
        <v>30</v>
      </c>
      <c r="Q526">
        <f t="shared" si="40"/>
        <v>5</v>
      </c>
      <c r="R526" t="str">
        <f t="shared" si="41"/>
        <v>Hub Risk</v>
      </c>
      <c r="S526" t="str">
        <f t="shared" si="42"/>
        <v>Style Risk</v>
      </c>
      <c r="T526" t="str">
        <f t="shared" si="43"/>
        <v>Risk</v>
      </c>
      <c r="U526" t="str">
        <f t="shared" si="44"/>
        <v>Low Value</v>
      </c>
    </row>
    <row r="527" spans="1:21" hidden="1" x14ac:dyDescent="0.2">
      <c r="A527" s="2">
        <v>274</v>
      </c>
      <c r="B527" s="2" t="s">
        <v>9</v>
      </c>
      <c r="C527" s="2" t="s">
        <v>805</v>
      </c>
      <c r="D527" s="2" t="s">
        <v>566</v>
      </c>
      <c r="E527" s="2">
        <v>80208</v>
      </c>
      <c r="F527" s="2" t="s">
        <v>806</v>
      </c>
      <c r="G527" s="2" t="s">
        <v>13</v>
      </c>
      <c r="H527" s="2">
        <v>1</v>
      </c>
      <c r="I527" s="2" t="s">
        <v>39</v>
      </c>
      <c r="J527" s="2" t="str">
        <f>VLOOKUP(E527,[1]LL_Hub!$A$1:$B$13,2,FALSE)</f>
        <v>Denver</v>
      </c>
      <c r="K527" t="str">
        <f>VLOOKUP(D527,'[2]product Table data'!$A$2:$B$12,2,FALSE)</f>
        <v>Female</v>
      </c>
      <c r="L527" t="str">
        <f>VLOOKUP($D527,'[2]product Table data'!$A$2:$G$12,L$1,FALSE)</f>
        <v>Casual n Light</v>
      </c>
      <c r="M527" t="str">
        <f>VLOOKUP($D527,'[2]product Table data'!$A$2:$G$12,M$1,FALSE)</f>
        <v>Guatemala</v>
      </c>
      <c r="N527" t="str">
        <f>VLOOKUP($D527,'[2]product Table data'!$A$2:$G$12,N$1,FALSE)</f>
        <v>Central America</v>
      </c>
      <c r="O527">
        <f>VLOOKUP($D527,'[2]product Table data'!$A$2:$G$12,O$1,FALSE)</f>
        <v>25</v>
      </c>
      <c r="P527">
        <f>VLOOKUP($D527,'[2]product Table data'!$A$2:$G$12,P$1,FALSE)</f>
        <v>30</v>
      </c>
      <c r="Q527">
        <f t="shared" si="40"/>
        <v>5</v>
      </c>
      <c r="R527" t="str">
        <f t="shared" si="41"/>
        <v>Hub Risk</v>
      </c>
      <c r="S527" t="str">
        <f t="shared" si="42"/>
        <v>Style Risk</v>
      </c>
      <c r="T527" t="str">
        <f t="shared" si="43"/>
        <v>Risk</v>
      </c>
      <c r="U527" t="str">
        <f t="shared" si="44"/>
        <v>Low Value</v>
      </c>
    </row>
    <row r="528" spans="1:21" hidden="1" x14ac:dyDescent="0.2">
      <c r="A528" s="2">
        <v>275</v>
      </c>
      <c r="B528" s="2" t="s">
        <v>9</v>
      </c>
      <c r="C528" s="2" t="s">
        <v>807</v>
      </c>
      <c r="D528" s="2" t="s">
        <v>566</v>
      </c>
      <c r="E528" s="2">
        <v>80208</v>
      </c>
      <c r="F528" s="2" t="s">
        <v>808</v>
      </c>
      <c r="G528" s="2" t="s">
        <v>13</v>
      </c>
      <c r="H528" s="2">
        <v>1</v>
      </c>
      <c r="I528" s="2" t="s">
        <v>39</v>
      </c>
      <c r="J528" s="2" t="str">
        <f>VLOOKUP(E528,[1]LL_Hub!$A$1:$B$13,2,FALSE)</f>
        <v>Denver</v>
      </c>
      <c r="K528" t="str">
        <f>VLOOKUP(D528,'[2]product Table data'!$A$2:$B$12,2,FALSE)</f>
        <v>Female</v>
      </c>
      <c r="L528" t="str">
        <f>VLOOKUP($D528,'[2]product Table data'!$A$2:$G$12,L$1,FALSE)</f>
        <v>Casual n Light</v>
      </c>
      <c r="M528" t="str">
        <f>VLOOKUP($D528,'[2]product Table data'!$A$2:$G$12,M$1,FALSE)</f>
        <v>Guatemala</v>
      </c>
      <c r="N528" t="str">
        <f>VLOOKUP($D528,'[2]product Table data'!$A$2:$G$12,N$1,FALSE)</f>
        <v>Central America</v>
      </c>
      <c r="O528">
        <f>VLOOKUP($D528,'[2]product Table data'!$A$2:$G$12,O$1,FALSE)</f>
        <v>25</v>
      </c>
      <c r="P528">
        <f>VLOOKUP($D528,'[2]product Table data'!$A$2:$G$12,P$1,FALSE)</f>
        <v>30</v>
      </c>
      <c r="Q528">
        <f t="shared" si="40"/>
        <v>5</v>
      </c>
      <c r="R528" t="str">
        <f t="shared" si="41"/>
        <v>Hub Risk</v>
      </c>
      <c r="S528" t="str">
        <f t="shared" si="42"/>
        <v>Style Risk</v>
      </c>
      <c r="T528" t="str">
        <f t="shared" si="43"/>
        <v>Risk</v>
      </c>
      <c r="U528" t="str">
        <f t="shared" si="44"/>
        <v>Low Value</v>
      </c>
    </row>
    <row r="529" spans="1:21" hidden="1" x14ac:dyDescent="0.2">
      <c r="A529" s="2">
        <v>276</v>
      </c>
      <c r="B529" s="2" t="s">
        <v>9</v>
      </c>
      <c r="C529" s="2" t="s">
        <v>809</v>
      </c>
      <c r="D529" s="2" t="s">
        <v>566</v>
      </c>
      <c r="E529" s="2">
        <v>80208</v>
      </c>
      <c r="F529" s="2" t="s">
        <v>810</v>
      </c>
      <c r="G529" s="2" t="s">
        <v>13</v>
      </c>
      <c r="H529" s="2">
        <v>1</v>
      </c>
      <c r="I529" s="2" t="s">
        <v>39</v>
      </c>
      <c r="J529" s="2" t="str">
        <f>VLOOKUP(E529,[1]LL_Hub!$A$1:$B$13,2,FALSE)</f>
        <v>Denver</v>
      </c>
      <c r="K529" t="str">
        <f>VLOOKUP(D529,'[2]product Table data'!$A$2:$B$12,2,FALSE)</f>
        <v>Female</v>
      </c>
      <c r="L529" t="str">
        <f>VLOOKUP($D529,'[2]product Table data'!$A$2:$G$12,L$1,FALSE)</f>
        <v>Casual n Light</v>
      </c>
      <c r="M529" t="str">
        <f>VLOOKUP($D529,'[2]product Table data'!$A$2:$G$12,M$1,FALSE)</f>
        <v>Guatemala</v>
      </c>
      <c r="N529" t="str">
        <f>VLOOKUP($D529,'[2]product Table data'!$A$2:$G$12,N$1,FALSE)</f>
        <v>Central America</v>
      </c>
      <c r="O529">
        <f>VLOOKUP($D529,'[2]product Table data'!$A$2:$G$12,O$1,FALSE)</f>
        <v>25</v>
      </c>
      <c r="P529">
        <f>VLOOKUP($D529,'[2]product Table data'!$A$2:$G$12,P$1,FALSE)</f>
        <v>30</v>
      </c>
      <c r="Q529">
        <f t="shared" si="40"/>
        <v>5</v>
      </c>
      <c r="R529" t="str">
        <f t="shared" si="41"/>
        <v>Hub Risk</v>
      </c>
      <c r="S529" t="str">
        <f t="shared" si="42"/>
        <v>Style Risk</v>
      </c>
      <c r="T529" t="str">
        <f t="shared" si="43"/>
        <v>Risk</v>
      </c>
      <c r="U529" t="str">
        <f t="shared" si="44"/>
        <v>Low Value</v>
      </c>
    </row>
    <row r="530" spans="1:21" hidden="1" x14ac:dyDescent="0.2">
      <c r="A530" s="2">
        <v>277</v>
      </c>
      <c r="B530" s="2" t="s">
        <v>9</v>
      </c>
      <c r="C530" s="2" t="s">
        <v>811</v>
      </c>
      <c r="D530" s="2" t="s">
        <v>566</v>
      </c>
      <c r="E530" s="2">
        <v>80208</v>
      </c>
      <c r="F530" s="2" t="s">
        <v>812</v>
      </c>
      <c r="G530" s="2" t="s">
        <v>13</v>
      </c>
      <c r="H530" s="2">
        <v>1</v>
      </c>
      <c r="I530" s="2" t="s">
        <v>39</v>
      </c>
      <c r="J530" s="2" t="str">
        <f>VLOOKUP(E530,[1]LL_Hub!$A$1:$B$13,2,FALSE)</f>
        <v>Denver</v>
      </c>
      <c r="K530" t="str">
        <f>VLOOKUP(D530,'[2]product Table data'!$A$2:$B$12,2,FALSE)</f>
        <v>Female</v>
      </c>
      <c r="L530" t="str">
        <f>VLOOKUP($D530,'[2]product Table data'!$A$2:$G$12,L$1,FALSE)</f>
        <v>Casual n Light</v>
      </c>
      <c r="M530" t="str">
        <f>VLOOKUP($D530,'[2]product Table data'!$A$2:$G$12,M$1,FALSE)</f>
        <v>Guatemala</v>
      </c>
      <c r="N530" t="str">
        <f>VLOOKUP($D530,'[2]product Table data'!$A$2:$G$12,N$1,FALSE)</f>
        <v>Central America</v>
      </c>
      <c r="O530">
        <f>VLOOKUP($D530,'[2]product Table data'!$A$2:$G$12,O$1,FALSE)</f>
        <v>25</v>
      </c>
      <c r="P530">
        <f>VLOOKUP($D530,'[2]product Table data'!$A$2:$G$12,P$1,FALSE)</f>
        <v>30</v>
      </c>
      <c r="Q530">
        <f t="shared" si="40"/>
        <v>5</v>
      </c>
      <c r="R530" t="str">
        <f t="shared" si="41"/>
        <v>Hub Risk</v>
      </c>
      <c r="S530" t="str">
        <f t="shared" si="42"/>
        <v>Style Risk</v>
      </c>
      <c r="T530" t="str">
        <f t="shared" si="43"/>
        <v>Risk</v>
      </c>
      <c r="U530" t="str">
        <f t="shared" si="44"/>
        <v>Low Value</v>
      </c>
    </row>
    <row r="531" spans="1:21" hidden="1" x14ac:dyDescent="0.2">
      <c r="A531" s="2">
        <v>278</v>
      </c>
      <c r="B531" s="2" t="s">
        <v>9</v>
      </c>
      <c r="C531" s="2" t="s">
        <v>813</v>
      </c>
      <c r="D531" s="2" t="s">
        <v>566</v>
      </c>
      <c r="E531" s="2">
        <v>80208</v>
      </c>
      <c r="F531" s="2" t="s">
        <v>814</v>
      </c>
      <c r="G531" s="2" t="s">
        <v>13</v>
      </c>
      <c r="H531" s="2">
        <v>1</v>
      </c>
      <c r="I531" s="2" t="s">
        <v>39</v>
      </c>
      <c r="J531" s="2" t="str">
        <f>VLOOKUP(E531,[1]LL_Hub!$A$1:$B$13,2,FALSE)</f>
        <v>Denver</v>
      </c>
      <c r="K531" t="str">
        <f>VLOOKUP(D531,'[2]product Table data'!$A$2:$B$12,2,FALSE)</f>
        <v>Female</v>
      </c>
      <c r="L531" t="str">
        <f>VLOOKUP($D531,'[2]product Table data'!$A$2:$G$12,L$1,FALSE)</f>
        <v>Casual n Light</v>
      </c>
      <c r="M531" t="str">
        <f>VLOOKUP($D531,'[2]product Table data'!$A$2:$G$12,M$1,FALSE)</f>
        <v>Guatemala</v>
      </c>
      <c r="N531" t="str">
        <f>VLOOKUP($D531,'[2]product Table data'!$A$2:$G$12,N$1,FALSE)</f>
        <v>Central America</v>
      </c>
      <c r="O531">
        <f>VLOOKUP($D531,'[2]product Table data'!$A$2:$G$12,O$1,FALSE)</f>
        <v>25</v>
      </c>
      <c r="P531">
        <f>VLOOKUP($D531,'[2]product Table data'!$A$2:$G$12,P$1,FALSE)</f>
        <v>30</v>
      </c>
      <c r="Q531">
        <f t="shared" si="40"/>
        <v>5</v>
      </c>
      <c r="R531" t="str">
        <f t="shared" si="41"/>
        <v>Hub Risk</v>
      </c>
      <c r="S531" t="str">
        <f t="shared" si="42"/>
        <v>Style Risk</v>
      </c>
      <c r="T531" t="str">
        <f t="shared" si="43"/>
        <v>Risk</v>
      </c>
      <c r="U531" t="str">
        <f t="shared" si="44"/>
        <v>Low Value</v>
      </c>
    </row>
    <row r="532" spans="1:21" hidden="1" x14ac:dyDescent="0.2">
      <c r="A532" s="2">
        <v>279</v>
      </c>
      <c r="B532" s="2" t="s">
        <v>9</v>
      </c>
      <c r="C532" s="2" t="s">
        <v>815</v>
      </c>
      <c r="D532" s="2" t="s">
        <v>566</v>
      </c>
      <c r="E532" s="2">
        <v>80208</v>
      </c>
      <c r="F532" s="2" t="s">
        <v>816</v>
      </c>
      <c r="G532" s="2" t="s">
        <v>13</v>
      </c>
      <c r="H532" s="2">
        <v>1</v>
      </c>
      <c r="I532" s="2" t="s">
        <v>39</v>
      </c>
      <c r="J532" s="2" t="str">
        <f>VLOOKUP(E532,[1]LL_Hub!$A$1:$B$13,2,FALSE)</f>
        <v>Denver</v>
      </c>
      <c r="K532" t="str">
        <f>VLOOKUP(D532,'[2]product Table data'!$A$2:$B$12,2,FALSE)</f>
        <v>Female</v>
      </c>
      <c r="L532" t="str">
        <f>VLOOKUP($D532,'[2]product Table data'!$A$2:$G$12,L$1,FALSE)</f>
        <v>Casual n Light</v>
      </c>
      <c r="M532" t="str">
        <f>VLOOKUP($D532,'[2]product Table data'!$A$2:$G$12,M$1,FALSE)</f>
        <v>Guatemala</v>
      </c>
      <c r="N532" t="str">
        <f>VLOOKUP($D532,'[2]product Table data'!$A$2:$G$12,N$1,FALSE)</f>
        <v>Central America</v>
      </c>
      <c r="O532">
        <f>VLOOKUP($D532,'[2]product Table data'!$A$2:$G$12,O$1,FALSE)</f>
        <v>25</v>
      </c>
      <c r="P532">
        <f>VLOOKUP($D532,'[2]product Table data'!$A$2:$G$12,P$1,FALSE)</f>
        <v>30</v>
      </c>
      <c r="Q532">
        <f t="shared" si="40"/>
        <v>5</v>
      </c>
      <c r="R532" t="str">
        <f t="shared" si="41"/>
        <v>Hub Risk</v>
      </c>
      <c r="S532" t="str">
        <f t="shared" si="42"/>
        <v>Style Risk</v>
      </c>
      <c r="T532" t="str">
        <f t="shared" si="43"/>
        <v>Risk</v>
      </c>
      <c r="U532" t="str">
        <f t="shared" si="44"/>
        <v>Low Value</v>
      </c>
    </row>
    <row r="533" spans="1:21" hidden="1" x14ac:dyDescent="0.2">
      <c r="A533" s="2">
        <v>280</v>
      </c>
      <c r="B533" s="2" t="s">
        <v>9</v>
      </c>
      <c r="C533" s="2" t="s">
        <v>817</v>
      </c>
      <c r="D533" s="2" t="s">
        <v>566</v>
      </c>
      <c r="E533" s="2">
        <v>80208</v>
      </c>
      <c r="F533" s="2" t="s">
        <v>818</v>
      </c>
      <c r="G533" s="2" t="s">
        <v>13</v>
      </c>
      <c r="H533" s="2">
        <v>1</v>
      </c>
      <c r="I533" s="2" t="s">
        <v>39</v>
      </c>
      <c r="J533" s="2" t="str">
        <f>VLOOKUP(E533,[1]LL_Hub!$A$1:$B$13,2,FALSE)</f>
        <v>Denver</v>
      </c>
      <c r="K533" t="str">
        <f>VLOOKUP(D533,'[2]product Table data'!$A$2:$B$12,2,FALSE)</f>
        <v>Female</v>
      </c>
      <c r="L533" t="str">
        <f>VLOOKUP($D533,'[2]product Table data'!$A$2:$G$12,L$1,FALSE)</f>
        <v>Casual n Light</v>
      </c>
      <c r="M533" t="str">
        <f>VLOOKUP($D533,'[2]product Table data'!$A$2:$G$12,M$1,FALSE)</f>
        <v>Guatemala</v>
      </c>
      <c r="N533" t="str">
        <f>VLOOKUP($D533,'[2]product Table data'!$A$2:$G$12,N$1,FALSE)</f>
        <v>Central America</v>
      </c>
      <c r="O533">
        <f>VLOOKUP($D533,'[2]product Table data'!$A$2:$G$12,O$1,FALSE)</f>
        <v>25</v>
      </c>
      <c r="P533">
        <f>VLOOKUP($D533,'[2]product Table data'!$A$2:$G$12,P$1,FALSE)</f>
        <v>30</v>
      </c>
      <c r="Q533">
        <f t="shared" si="40"/>
        <v>5</v>
      </c>
      <c r="R533" t="str">
        <f t="shared" si="41"/>
        <v>Hub Risk</v>
      </c>
      <c r="S533" t="str">
        <f t="shared" si="42"/>
        <v>Style Risk</v>
      </c>
      <c r="T533" t="str">
        <f t="shared" si="43"/>
        <v>Risk</v>
      </c>
      <c r="U533" t="str">
        <f t="shared" si="44"/>
        <v>Low Value</v>
      </c>
    </row>
    <row r="534" spans="1:21" hidden="1" x14ac:dyDescent="0.2">
      <c r="A534" s="2">
        <v>281</v>
      </c>
      <c r="B534" s="2" t="s">
        <v>9</v>
      </c>
      <c r="C534" s="2" t="s">
        <v>819</v>
      </c>
      <c r="D534" s="2" t="s">
        <v>566</v>
      </c>
      <c r="E534" s="2">
        <v>80208</v>
      </c>
      <c r="F534" s="2" t="s">
        <v>496</v>
      </c>
      <c r="G534" s="2" t="s">
        <v>36</v>
      </c>
      <c r="H534" s="2">
        <v>1</v>
      </c>
      <c r="I534" s="2" t="s">
        <v>39</v>
      </c>
      <c r="J534" s="2" t="str">
        <f>VLOOKUP(E534,[1]LL_Hub!$A$1:$B$13,2,FALSE)</f>
        <v>Denver</v>
      </c>
      <c r="K534" t="str">
        <f>VLOOKUP(D534,'[2]product Table data'!$A$2:$B$12,2,FALSE)</f>
        <v>Female</v>
      </c>
      <c r="L534" t="str">
        <f>VLOOKUP($D534,'[2]product Table data'!$A$2:$G$12,L$1,FALSE)</f>
        <v>Casual n Light</v>
      </c>
      <c r="M534" t="str">
        <f>VLOOKUP($D534,'[2]product Table data'!$A$2:$G$12,M$1,FALSE)</f>
        <v>Guatemala</v>
      </c>
      <c r="N534" t="str">
        <f>VLOOKUP($D534,'[2]product Table data'!$A$2:$G$12,N$1,FALSE)</f>
        <v>Central America</v>
      </c>
      <c r="O534">
        <f>VLOOKUP($D534,'[2]product Table data'!$A$2:$G$12,O$1,FALSE)</f>
        <v>25</v>
      </c>
      <c r="P534">
        <f>VLOOKUP($D534,'[2]product Table data'!$A$2:$G$12,P$1,FALSE)</f>
        <v>30</v>
      </c>
      <c r="Q534">
        <f t="shared" si="40"/>
        <v>5</v>
      </c>
      <c r="R534" t="str">
        <f t="shared" si="41"/>
        <v>Hub Risk</v>
      </c>
      <c r="S534" t="str">
        <f t="shared" si="42"/>
        <v>Style Risk</v>
      </c>
      <c r="T534" t="str">
        <f t="shared" si="43"/>
        <v>Risk</v>
      </c>
      <c r="U534" t="str">
        <f t="shared" si="44"/>
        <v>Low Value</v>
      </c>
    </row>
    <row r="535" spans="1:21" hidden="1" x14ac:dyDescent="0.2">
      <c r="A535" s="2">
        <v>282</v>
      </c>
      <c r="B535" s="2" t="s">
        <v>9</v>
      </c>
      <c r="C535" s="2" t="s">
        <v>820</v>
      </c>
      <c r="D535" s="2" t="s">
        <v>566</v>
      </c>
      <c r="E535" s="2">
        <v>80208</v>
      </c>
      <c r="F535" s="2" t="s">
        <v>496</v>
      </c>
      <c r="G535" s="2" t="s">
        <v>36</v>
      </c>
      <c r="H535" s="2">
        <v>1</v>
      </c>
      <c r="I535" s="2" t="s">
        <v>39</v>
      </c>
      <c r="J535" s="2" t="str">
        <f>VLOOKUP(E535,[1]LL_Hub!$A$1:$B$13,2,FALSE)</f>
        <v>Denver</v>
      </c>
      <c r="K535" t="str">
        <f>VLOOKUP(D535,'[2]product Table data'!$A$2:$B$12,2,FALSE)</f>
        <v>Female</v>
      </c>
      <c r="L535" t="str">
        <f>VLOOKUP($D535,'[2]product Table data'!$A$2:$G$12,L$1,FALSE)</f>
        <v>Casual n Light</v>
      </c>
      <c r="M535" t="str">
        <f>VLOOKUP($D535,'[2]product Table data'!$A$2:$G$12,M$1,FALSE)</f>
        <v>Guatemala</v>
      </c>
      <c r="N535" t="str">
        <f>VLOOKUP($D535,'[2]product Table data'!$A$2:$G$12,N$1,FALSE)</f>
        <v>Central America</v>
      </c>
      <c r="O535">
        <f>VLOOKUP($D535,'[2]product Table data'!$A$2:$G$12,O$1,FALSE)</f>
        <v>25</v>
      </c>
      <c r="P535">
        <f>VLOOKUP($D535,'[2]product Table data'!$A$2:$G$12,P$1,FALSE)</f>
        <v>30</v>
      </c>
      <c r="Q535">
        <f t="shared" si="40"/>
        <v>5</v>
      </c>
      <c r="R535" t="str">
        <f t="shared" si="41"/>
        <v>Hub Risk</v>
      </c>
      <c r="S535" t="str">
        <f t="shared" si="42"/>
        <v>Style Risk</v>
      </c>
      <c r="T535" t="str">
        <f t="shared" si="43"/>
        <v>Risk</v>
      </c>
      <c r="U535" t="str">
        <f t="shared" si="44"/>
        <v>Low Value</v>
      </c>
    </row>
    <row r="536" spans="1:21" hidden="1" x14ac:dyDescent="0.2">
      <c r="A536" s="2">
        <v>283</v>
      </c>
      <c r="B536" s="2" t="s">
        <v>9</v>
      </c>
      <c r="C536" s="2" t="s">
        <v>821</v>
      </c>
      <c r="D536" s="2" t="s">
        <v>566</v>
      </c>
      <c r="E536" s="2">
        <v>80208</v>
      </c>
      <c r="F536" s="2" t="s">
        <v>496</v>
      </c>
      <c r="G536" s="2" t="s">
        <v>36</v>
      </c>
      <c r="H536" s="2">
        <v>1</v>
      </c>
      <c r="I536" s="2" t="s">
        <v>39</v>
      </c>
      <c r="J536" s="2" t="str">
        <f>VLOOKUP(E536,[1]LL_Hub!$A$1:$B$13,2,FALSE)</f>
        <v>Denver</v>
      </c>
      <c r="K536" t="str">
        <f>VLOOKUP(D536,'[2]product Table data'!$A$2:$B$12,2,FALSE)</f>
        <v>Female</v>
      </c>
      <c r="L536" t="str">
        <f>VLOOKUP($D536,'[2]product Table data'!$A$2:$G$12,L$1,FALSE)</f>
        <v>Casual n Light</v>
      </c>
      <c r="M536" t="str">
        <f>VLOOKUP($D536,'[2]product Table data'!$A$2:$G$12,M$1,FALSE)</f>
        <v>Guatemala</v>
      </c>
      <c r="N536" t="str">
        <f>VLOOKUP($D536,'[2]product Table data'!$A$2:$G$12,N$1,FALSE)</f>
        <v>Central America</v>
      </c>
      <c r="O536">
        <f>VLOOKUP($D536,'[2]product Table data'!$A$2:$G$12,O$1,FALSE)</f>
        <v>25</v>
      </c>
      <c r="P536">
        <f>VLOOKUP($D536,'[2]product Table data'!$A$2:$G$12,P$1,FALSE)</f>
        <v>30</v>
      </c>
      <c r="Q536">
        <f t="shared" si="40"/>
        <v>5</v>
      </c>
      <c r="R536" t="str">
        <f t="shared" si="41"/>
        <v>Hub Risk</v>
      </c>
      <c r="S536" t="str">
        <f t="shared" si="42"/>
        <v>Style Risk</v>
      </c>
      <c r="T536" t="str">
        <f t="shared" si="43"/>
        <v>Risk</v>
      </c>
      <c r="U536" t="str">
        <f t="shared" si="44"/>
        <v>Low Value</v>
      </c>
    </row>
    <row r="537" spans="1:21" hidden="1" x14ac:dyDescent="0.2">
      <c r="A537" s="2">
        <v>284</v>
      </c>
      <c r="B537" s="2" t="s">
        <v>9</v>
      </c>
      <c r="C537" s="2" t="s">
        <v>822</v>
      </c>
      <c r="D537" s="2" t="s">
        <v>566</v>
      </c>
      <c r="E537" s="2">
        <v>80208</v>
      </c>
      <c r="F537" s="2" t="s">
        <v>496</v>
      </c>
      <c r="G537" s="2" t="s">
        <v>36</v>
      </c>
      <c r="H537" s="2">
        <v>1</v>
      </c>
      <c r="I537" s="2" t="s">
        <v>39</v>
      </c>
      <c r="J537" s="2" t="str">
        <f>VLOOKUP(E537,[1]LL_Hub!$A$1:$B$13,2,FALSE)</f>
        <v>Denver</v>
      </c>
      <c r="K537" t="str">
        <f>VLOOKUP(D537,'[2]product Table data'!$A$2:$B$12,2,FALSE)</f>
        <v>Female</v>
      </c>
      <c r="L537" t="str">
        <f>VLOOKUP($D537,'[2]product Table data'!$A$2:$G$12,L$1,FALSE)</f>
        <v>Casual n Light</v>
      </c>
      <c r="M537" t="str">
        <f>VLOOKUP($D537,'[2]product Table data'!$A$2:$G$12,M$1,FALSE)</f>
        <v>Guatemala</v>
      </c>
      <c r="N537" t="str">
        <f>VLOOKUP($D537,'[2]product Table data'!$A$2:$G$12,N$1,FALSE)</f>
        <v>Central America</v>
      </c>
      <c r="O537">
        <f>VLOOKUP($D537,'[2]product Table data'!$A$2:$G$12,O$1,FALSE)</f>
        <v>25</v>
      </c>
      <c r="P537">
        <f>VLOOKUP($D537,'[2]product Table data'!$A$2:$G$12,P$1,FALSE)</f>
        <v>30</v>
      </c>
      <c r="Q537">
        <f t="shared" si="40"/>
        <v>5</v>
      </c>
      <c r="R537" t="str">
        <f t="shared" si="41"/>
        <v>Hub Risk</v>
      </c>
      <c r="S537" t="str">
        <f t="shared" si="42"/>
        <v>Style Risk</v>
      </c>
      <c r="T537" t="str">
        <f t="shared" si="43"/>
        <v>Risk</v>
      </c>
      <c r="U537" t="str">
        <f t="shared" si="44"/>
        <v>Low Value</v>
      </c>
    </row>
    <row r="538" spans="1:21" hidden="1" x14ac:dyDescent="0.2">
      <c r="A538" s="2">
        <v>285</v>
      </c>
      <c r="B538" s="2" t="s">
        <v>9</v>
      </c>
      <c r="C538" s="2" t="s">
        <v>823</v>
      </c>
      <c r="D538" s="2" t="s">
        <v>566</v>
      </c>
      <c r="E538" s="2">
        <v>80208</v>
      </c>
      <c r="F538" s="2" t="s">
        <v>496</v>
      </c>
      <c r="G538" s="2" t="s">
        <v>36</v>
      </c>
      <c r="H538" s="2">
        <v>1</v>
      </c>
      <c r="I538" s="2" t="s">
        <v>39</v>
      </c>
      <c r="J538" s="2" t="str">
        <f>VLOOKUP(E538,[1]LL_Hub!$A$1:$B$13,2,FALSE)</f>
        <v>Denver</v>
      </c>
      <c r="K538" t="str">
        <f>VLOOKUP(D538,'[2]product Table data'!$A$2:$B$12,2,FALSE)</f>
        <v>Female</v>
      </c>
      <c r="L538" t="str">
        <f>VLOOKUP($D538,'[2]product Table data'!$A$2:$G$12,L$1,FALSE)</f>
        <v>Casual n Light</v>
      </c>
      <c r="M538" t="str">
        <f>VLOOKUP($D538,'[2]product Table data'!$A$2:$G$12,M$1,FALSE)</f>
        <v>Guatemala</v>
      </c>
      <c r="N538" t="str">
        <f>VLOOKUP($D538,'[2]product Table data'!$A$2:$G$12,N$1,FALSE)</f>
        <v>Central America</v>
      </c>
      <c r="O538">
        <f>VLOOKUP($D538,'[2]product Table data'!$A$2:$G$12,O$1,FALSE)</f>
        <v>25</v>
      </c>
      <c r="P538">
        <f>VLOOKUP($D538,'[2]product Table data'!$A$2:$G$12,P$1,FALSE)</f>
        <v>30</v>
      </c>
      <c r="Q538">
        <f t="shared" si="40"/>
        <v>5</v>
      </c>
      <c r="R538" t="str">
        <f t="shared" si="41"/>
        <v>Hub Risk</v>
      </c>
      <c r="S538" t="str">
        <f t="shared" si="42"/>
        <v>Style Risk</v>
      </c>
      <c r="T538" t="str">
        <f t="shared" si="43"/>
        <v>Risk</v>
      </c>
      <c r="U538" t="str">
        <f t="shared" si="44"/>
        <v>Low Value</v>
      </c>
    </row>
    <row r="539" spans="1:21" hidden="1" x14ac:dyDescent="0.2">
      <c r="A539" s="2">
        <v>286</v>
      </c>
      <c r="B539" s="2" t="s">
        <v>9</v>
      </c>
      <c r="C539" s="2" t="s">
        <v>824</v>
      </c>
      <c r="D539" s="2" t="s">
        <v>566</v>
      </c>
      <c r="E539" s="2">
        <v>80208</v>
      </c>
      <c r="F539" s="2" t="s">
        <v>496</v>
      </c>
      <c r="G539" s="2" t="s">
        <v>36</v>
      </c>
      <c r="H539" s="2">
        <v>1</v>
      </c>
      <c r="I539" s="2" t="s">
        <v>39</v>
      </c>
      <c r="J539" s="2" t="str">
        <f>VLOOKUP(E539,[1]LL_Hub!$A$1:$B$13,2,FALSE)</f>
        <v>Denver</v>
      </c>
      <c r="K539" t="str">
        <f>VLOOKUP(D539,'[2]product Table data'!$A$2:$B$12,2,FALSE)</f>
        <v>Female</v>
      </c>
      <c r="L539" t="str">
        <f>VLOOKUP($D539,'[2]product Table data'!$A$2:$G$12,L$1,FALSE)</f>
        <v>Casual n Light</v>
      </c>
      <c r="M539" t="str">
        <f>VLOOKUP($D539,'[2]product Table data'!$A$2:$G$12,M$1,FALSE)</f>
        <v>Guatemala</v>
      </c>
      <c r="N539" t="str">
        <f>VLOOKUP($D539,'[2]product Table data'!$A$2:$G$12,N$1,FALSE)</f>
        <v>Central America</v>
      </c>
      <c r="O539">
        <f>VLOOKUP($D539,'[2]product Table data'!$A$2:$G$12,O$1,FALSE)</f>
        <v>25</v>
      </c>
      <c r="P539">
        <f>VLOOKUP($D539,'[2]product Table data'!$A$2:$G$12,P$1,FALSE)</f>
        <v>30</v>
      </c>
      <c r="Q539">
        <f t="shared" si="40"/>
        <v>5</v>
      </c>
      <c r="R539" t="str">
        <f t="shared" si="41"/>
        <v>Hub Risk</v>
      </c>
      <c r="S539" t="str">
        <f t="shared" si="42"/>
        <v>Style Risk</v>
      </c>
      <c r="T539" t="str">
        <f t="shared" si="43"/>
        <v>Risk</v>
      </c>
      <c r="U539" t="str">
        <f t="shared" si="44"/>
        <v>Low Value</v>
      </c>
    </row>
    <row r="540" spans="1:21" hidden="1" x14ac:dyDescent="0.2">
      <c r="A540" s="2">
        <v>287</v>
      </c>
      <c r="B540" s="2" t="s">
        <v>9</v>
      </c>
      <c r="C540" s="2" t="s">
        <v>825</v>
      </c>
      <c r="D540" s="2" t="s">
        <v>566</v>
      </c>
      <c r="E540" s="2">
        <v>80208</v>
      </c>
      <c r="F540" s="2" t="s">
        <v>496</v>
      </c>
      <c r="G540" s="2" t="s">
        <v>36</v>
      </c>
      <c r="H540" s="2">
        <v>1</v>
      </c>
      <c r="I540" s="2" t="s">
        <v>39</v>
      </c>
      <c r="J540" s="2" t="str">
        <f>VLOOKUP(E540,[1]LL_Hub!$A$1:$B$13,2,FALSE)</f>
        <v>Denver</v>
      </c>
      <c r="K540" t="str">
        <f>VLOOKUP(D540,'[2]product Table data'!$A$2:$B$12,2,FALSE)</f>
        <v>Female</v>
      </c>
      <c r="L540" t="str">
        <f>VLOOKUP($D540,'[2]product Table data'!$A$2:$G$12,L$1,FALSE)</f>
        <v>Casual n Light</v>
      </c>
      <c r="M540" t="str">
        <f>VLOOKUP($D540,'[2]product Table data'!$A$2:$G$12,M$1,FALSE)</f>
        <v>Guatemala</v>
      </c>
      <c r="N540" t="str">
        <f>VLOOKUP($D540,'[2]product Table data'!$A$2:$G$12,N$1,FALSE)</f>
        <v>Central America</v>
      </c>
      <c r="O540">
        <f>VLOOKUP($D540,'[2]product Table data'!$A$2:$G$12,O$1,FALSE)</f>
        <v>25</v>
      </c>
      <c r="P540">
        <f>VLOOKUP($D540,'[2]product Table data'!$A$2:$G$12,P$1,FALSE)</f>
        <v>30</v>
      </c>
      <c r="Q540">
        <f t="shared" si="40"/>
        <v>5</v>
      </c>
      <c r="R540" t="str">
        <f t="shared" si="41"/>
        <v>Hub Risk</v>
      </c>
      <c r="S540" t="str">
        <f t="shared" si="42"/>
        <v>Style Risk</v>
      </c>
      <c r="T540" t="str">
        <f t="shared" si="43"/>
        <v>Risk</v>
      </c>
      <c r="U540" t="str">
        <f t="shared" si="44"/>
        <v>Low Value</v>
      </c>
    </row>
    <row r="541" spans="1:21" hidden="1" x14ac:dyDescent="0.2">
      <c r="A541" s="2">
        <v>288</v>
      </c>
      <c r="B541" s="2" t="s">
        <v>9</v>
      </c>
      <c r="C541" s="2" t="s">
        <v>826</v>
      </c>
      <c r="D541" s="2" t="s">
        <v>566</v>
      </c>
      <c r="E541" s="2">
        <v>80208</v>
      </c>
      <c r="F541" s="2" t="s">
        <v>496</v>
      </c>
      <c r="G541" s="2" t="s">
        <v>36</v>
      </c>
      <c r="H541" s="2">
        <v>1</v>
      </c>
      <c r="I541" s="2" t="s">
        <v>39</v>
      </c>
      <c r="J541" s="2" t="str">
        <f>VLOOKUP(E541,[1]LL_Hub!$A$1:$B$13,2,FALSE)</f>
        <v>Denver</v>
      </c>
      <c r="K541" t="str">
        <f>VLOOKUP(D541,'[2]product Table data'!$A$2:$B$12,2,FALSE)</f>
        <v>Female</v>
      </c>
      <c r="L541" t="str">
        <f>VLOOKUP($D541,'[2]product Table data'!$A$2:$G$12,L$1,FALSE)</f>
        <v>Casual n Light</v>
      </c>
      <c r="M541" t="str">
        <f>VLOOKUP($D541,'[2]product Table data'!$A$2:$G$12,M$1,FALSE)</f>
        <v>Guatemala</v>
      </c>
      <c r="N541" t="str">
        <f>VLOOKUP($D541,'[2]product Table data'!$A$2:$G$12,N$1,FALSE)</f>
        <v>Central America</v>
      </c>
      <c r="O541">
        <f>VLOOKUP($D541,'[2]product Table data'!$A$2:$G$12,O$1,FALSE)</f>
        <v>25</v>
      </c>
      <c r="P541">
        <f>VLOOKUP($D541,'[2]product Table data'!$A$2:$G$12,P$1,FALSE)</f>
        <v>30</v>
      </c>
      <c r="Q541">
        <f t="shared" si="40"/>
        <v>5</v>
      </c>
      <c r="R541" t="str">
        <f t="shared" si="41"/>
        <v>Hub Risk</v>
      </c>
      <c r="S541" t="str">
        <f t="shared" si="42"/>
        <v>Style Risk</v>
      </c>
      <c r="T541" t="str">
        <f t="shared" si="43"/>
        <v>Risk</v>
      </c>
      <c r="U541" t="str">
        <f t="shared" si="44"/>
        <v>Low Value</v>
      </c>
    </row>
    <row r="542" spans="1:21" hidden="1" x14ac:dyDescent="0.2">
      <c r="A542" s="2">
        <v>289</v>
      </c>
      <c r="B542" s="2" t="s">
        <v>9</v>
      </c>
      <c r="C542" s="2" t="s">
        <v>827</v>
      </c>
      <c r="D542" s="2" t="s">
        <v>566</v>
      </c>
      <c r="E542" s="2">
        <v>80208</v>
      </c>
      <c r="F542" s="2" t="s">
        <v>496</v>
      </c>
      <c r="G542" s="2" t="s">
        <v>36</v>
      </c>
      <c r="H542" s="2">
        <v>1</v>
      </c>
      <c r="I542" s="2" t="s">
        <v>39</v>
      </c>
      <c r="J542" s="2" t="str">
        <f>VLOOKUP(E542,[1]LL_Hub!$A$1:$B$13,2,FALSE)</f>
        <v>Denver</v>
      </c>
      <c r="K542" t="str">
        <f>VLOOKUP(D542,'[2]product Table data'!$A$2:$B$12,2,FALSE)</f>
        <v>Female</v>
      </c>
      <c r="L542" t="str">
        <f>VLOOKUP($D542,'[2]product Table data'!$A$2:$G$12,L$1,FALSE)</f>
        <v>Casual n Light</v>
      </c>
      <c r="M542" t="str">
        <f>VLOOKUP($D542,'[2]product Table data'!$A$2:$G$12,M$1,FALSE)</f>
        <v>Guatemala</v>
      </c>
      <c r="N542" t="str">
        <f>VLOOKUP($D542,'[2]product Table data'!$A$2:$G$12,N$1,FALSE)</f>
        <v>Central America</v>
      </c>
      <c r="O542">
        <f>VLOOKUP($D542,'[2]product Table data'!$A$2:$G$12,O$1,FALSE)</f>
        <v>25</v>
      </c>
      <c r="P542">
        <f>VLOOKUP($D542,'[2]product Table data'!$A$2:$G$12,P$1,FALSE)</f>
        <v>30</v>
      </c>
      <c r="Q542">
        <f t="shared" si="40"/>
        <v>5</v>
      </c>
      <c r="R542" t="str">
        <f t="shared" si="41"/>
        <v>Hub Risk</v>
      </c>
      <c r="S542" t="str">
        <f t="shared" si="42"/>
        <v>Style Risk</v>
      </c>
      <c r="T542" t="str">
        <f t="shared" si="43"/>
        <v>Risk</v>
      </c>
      <c r="U542" t="str">
        <f t="shared" si="44"/>
        <v>Low Value</v>
      </c>
    </row>
    <row r="543" spans="1:21" hidden="1" x14ac:dyDescent="0.2">
      <c r="A543" s="2">
        <v>290</v>
      </c>
      <c r="B543" s="2" t="s">
        <v>9</v>
      </c>
      <c r="C543" s="2" t="s">
        <v>828</v>
      </c>
      <c r="D543" s="2" t="s">
        <v>566</v>
      </c>
      <c r="E543" s="2">
        <v>80208</v>
      </c>
      <c r="F543" s="2" t="s">
        <v>496</v>
      </c>
      <c r="G543" s="2" t="s">
        <v>36</v>
      </c>
      <c r="H543" s="2">
        <v>1</v>
      </c>
      <c r="I543" s="2" t="s">
        <v>39</v>
      </c>
      <c r="J543" s="2" t="str">
        <f>VLOOKUP(E543,[1]LL_Hub!$A$1:$B$13,2,FALSE)</f>
        <v>Denver</v>
      </c>
      <c r="K543" t="str">
        <f>VLOOKUP(D543,'[2]product Table data'!$A$2:$B$12,2,FALSE)</f>
        <v>Female</v>
      </c>
      <c r="L543" t="str">
        <f>VLOOKUP($D543,'[2]product Table data'!$A$2:$G$12,L$1,FALSE)</f>
        <v>Casual n Light</v>
      </c>
      <c r="M543" t="str">
        <f>VLOOKUP($D543,'[2]product Table data'!$A$2:$G$12,M$1,FALSE)</f>
        <v>Guatemala</v>
      </c>
      <c r="N543" t="str">
        <f>VLOOKUP($D543,'[2]product Table data'!$A$2:$G$12,N$1,FALSE)</f>
        <v>Central America</v>
      </c>
      <c r="O543">
        <f>VLOOKUP($D543,'[2]product Table data'!$A$2:$G$12,O$1,FALSE)</f>
        <v>25</v>
      </c>
      <c r="P543">
        <f>VLOOKUP($D543,'[2]product Table data'!$A$2:$G$12,P$1,FALSE)</f>
        <v>30</v>
      </c>
      <c r="Q543">
        <f t="shared" si="40"/>
        <v>5</v>
      </c>
      <c r="R543" t="str">
        <f t="shared" si="41"/>
        <v>Hub Risk</v>
      </c>
      <c r="S543" t="str">
        <f t="shared" si="42"/>
        <v>Style Risk</v>
      </c>
      <c r="T543" t="str">
        <f t="shared" si="43"/>
        <v>Risk</v>
      </c>
      <c r="U543" t="str">
        <f t="shared" si="44"/>
        <v>Low Value</v>
      </c>
    </row>
    <row r="544" spans="1:21" hidden="1" x14ac:dyDescent="0.2">
      <c r="A544" s="2">
        <v>291</v>
      </c>
      <c r="B544" s="2" t="s">
        <v>9</v>
      </c>
      <c r="C544" s="2" t="s">
        <v>829</v>
      </c>
      <c r="D544" s="2" t="s">
        <v>566</v>
      </c>
      <c r="E544" s="2">
        <v>80208</v>
      </c>
      <c r="F544" s="2" t="s">
        <v>496</v>
      </c>
      <c r="G544" s="2" t="s">
        <v>36</v>
      </c>
      <c r="H544" s="2">
        <v>1</v>
      </c>
      <c r="I544" s="2" t="s">
        <v>39</v>
      </c>
      <c r="J544" s="2" t="str">
        <f>VLOOKUP(E544,[1]LL_Hub!$A$1:$B$13,2,FALSE)</f>
        <v>Denver</v>
      </c>
      <c r="K544" t="str">
        <f>VLOOKUP(D544,'[2]product Table data'!$A$2:$B$12,2,FALSE)</f>
        <v>Female</v>
      </c>
      <c r="L544" t="str">
        <f>VLOOKUP($D544,'[2]product Table data'!$A$2:$G$12,L$1,FALSE)</f>
        <v>Casual n Light</v>
      </c>
      <c r="M544" t="str">
        <f>VLOOKUP($D544,'[2]product Table data'!$A$2:$G$12,M$1,FALSE)</f>
        <v>Guatemala</v>
      </c>
      <c r="N544" t="str">
        <f>VLOOKUP($D544,'[2]product Table data'!$A$2:$G$12,N$1,FALSE)</f>
        <v>Central America</v>
      </c>
      <c r="O544">
        <f>VLOOKUP($D544,'[2]product Table data'!$A$2:$G$12,O$1,FALSE)</f>
        <v>25</v>
      </c>
      <c r="P544">
        <f>VLOOKUP($D544,'[2]product Table data'!$A$2:$G$12,P$1,FALSE)</f>
        <v>30</v>
      </c>
      <c r="Q544">
        <f t="shared" si="40"/>
        <v>5</v>
      </c>
      <c r="R544" t="str">
        <f t="shared" si="41"/>
        <v>Hub Risk</v>
      </c>
      <c r="S544" t="str">
        <f t="shared" si="42"/>
        <v>Style Risk</v>
      </c>
      <c r="T544" t="str">
        <f t="shared" si="43"/>
        <v>Risk</v>
      </c>
      <c r="U544" t="str">
        <f t="shared" si="44"/>
        <v>Low Value</v>
      </c>
    </row>
    <row r="545" spans="1:21" hidden="1" x14ac:dyDescent="0.2">
      <c r="A545" s="2">
        <v>292</v>
      </c>
      <c r="B545" s="2" t="s">
        <v>9</v>
      </c>
      <c r="C545" s="2" t="s">
        <v>830</v>
      </c>
      <c r="D545" s="2" t="s">
        <v>566</v>
      </c>
      <c r="E545" s="2">
        <v>80208</v>
      </c>
      <c r="F545" s="2" t="s">
        <v>496</v>
      </c>
      <c r="G545" s="2" t="s">
        <v>36</v>
      </c>
      <c r="H545" s="2">
        <v>1</v>
      </c>
      <c r="I545" s="2" t="s">
        <v>39</v>
      </c>
      <c r="J545" s="2" t="str">
        <f>VLOOKUP(E545,[1]LL_Hub!$A$1:$B$13,2,FALSE)</f>
        <v>Denver</v>
      </c>
      <c r="K545" t="str">
        <f>VLOOKUP(D545,'[2]product Table data'!$A$2:$B$12,2,FALSE)</f>
        <v>Female</v>
      </c>
      <c r="L545" t="str">
        <f>VLOOKUP($D545,'[2]product Table data'!$A$2:$G$12,L$1,FALSE)</f>
        <v>Casual n Light</v>
      </c>
      <c r="M545" t="str">
        <f>VLOOKUP($D545,'[2]product Table data'!$A$2:$G$12,M$1,FALSE)</f>
        <v>Guatemala</v>
      </c>
      <c r="N545" t="str">
        <f>VLOOKUP($D545,'[2]product Table data'!$A$2:$G$12,N$1,FALSE)</f>
        <v>Central America</v>
      </c>
      <c r="O545">
        <f>VLOOKUP($D545,'[2]product Table data'!$A$2:$G$12,O$1,FALSE)</f>
        <v>25</v>
      </c>
      <c r="P545">
        <f>VLOOKUP($D545,'[2]product Table data'!$A$2:$G$12,P$1,FALSE)</f>
        <v>30</v>
      </c>
      <c r="Q545">
        <f t="shared" si="40"/>
        <v>5</v>
      </c>
      <c r="R545" t="str">
        <f t="shared" si="41"/>
        <v>Hub Risk</v>
      </c>
      <c r="S545" t="str">
        <f t="shared" si="42"/>
        <v>Style Risk</v>
      </c>
      <c r="T545" t="str">
        <f t="shared" si="43"/>
        <v>Risk</v>
      </c>
      <c r="U545" t="str">
        <f t="shared" si="44"/>
        <v>Low Value</v>
      </c>
    </row>
    <row r="546" spans="1:21" hidden="1" x14ac:dyDescent="0.2">
      <c r="A546" s="2">
        <v>293</v>
      </c>
      <c r="B546" s="2" t="s">
        <v>9</v>
      </c>
      <c r="C546" s="2" t="s">
        <v>831</v>
      </c>
      <c r="D546" s="2" t="s">
        <v>566</v>
      </c>
      <c r="E546" s="2">
        <v>80208</v>
      </c>
      <c r="F546" s="2" t="s">
        <v>496</v>
      </c>
      <c r="G546" s="2" t="s">
        <v>36</v>
      </c>
      <c r="H546" s="2">
        <v>1</v>
      </c>
      <c r="I546" s="2" t="s">
        <v>39</v>
      </c>
      <c r="J546" s="2" t="str">
        <f>VLOOKUP(E546,[1]LL_Hub!$A$1:$B$13,2,FALSE)</f>
        <v>Denver</v>
      </c>
      <c r="K546" t="str">
        <f>VLOOKUP(D546,'[2]product Table data'!$A$2:$B$12,2,FALSE)</f>
        <v>Female</v>
      </c>
      <c r="L546" t="str">
        <f>VLOOKUP($D546,'[2]product Table data'!$A$2:$G$12,L$1,FALSE)</f>
        <v>Casual n Light</v>
      </c>
      <c r="M546" t="str">
        <f>VLOOKUP($D546,'[2]product Table data'!$A$2:$G$12,M$1,FALSE)</f>
        <v>Guatemala</v>
      </c>
      <c r="N546" t="str">
        <f>VLOOKUP($D546,'[2]product Table data'!$A$2:$G$12,N$1,FALSE)</f>
        <v>Central America</v>
      </c>
      <c r="O546">
        <f>VLOOKUP($D546,'[2]product Table data'!$A$2:$G$12,O$1,FALSE)</f>
        <v>25</v>
      </c>
      <c r="P546">
        <f>VLOOKUP($D546,'[2]product Table data'!$A$2:$G$12,P$1,FALSE)</f>
        <v>30</v>
      </c>
      <c r="Q546">
        <f t="shared" si="40"/>
        <v>5</v>
      </c>
      <c r="R546" t="str">
        <f t="shared" si="41"/>
        <v>Hub Risk</v>
      </c>
      <c r="S546" t="str">
        <f t="shared" si="42"/>
        <v>Style Risk</v>
      </c>
      <c r="T546" t="str">
        <f t="shared" si="43"/>
        <v>Risk</v>
      </c>
      <c r="U546" t="str">
        <f t="shared" si="44"/>
        <v>Low Value</v>
      </c>
    </row>
    <row r="547" spans="1:21" hidden="1" x14ac:dyDescent="0.2">
      <c r="A547" s="2">
        <v>294</v>
      </c>
      <c r="B547" s="2" t="s">
        <v>9</v>
      </c>
      <c r="C547" s="2" t="s">
        <v>832</v>
      </c>
      <c r="D547" s="2" t="s">
        <v>566</v>
      </c>
      <c r="E547" s="2">
        <v>80208</v>
      </c>
      <c r="F547" s="2" t="s">
        <v>496</v>
      </c>
      <c r="G547" s="2" t="s">
        <v>36</v>
      </c>
      <c r="H547" s="2">
        <v>1</v>
      </c>
      <c r="I547" s="2" t="s">
        <v>39</v>
      </c>
      <c r="J547" s="2" t="str">
        <f>VLOOKUP(E547,[1]LL_Hub!$A$1:$B$13,2,FALSE)</f>
        <v>Denver</v>
      </c>
      <c r="K547" t="str">
        <f>VLOOKUP(D547,'[2]product Table data'!$A$2:$B$12,2,FALSE)</f>
        <v>Female</v>
      </c>
      <c r="L547" t="str">
        <f>VLOOKUP($D547,'[2]product Table data'!$A$2:$G$12,L$1,FALSE)</f>
        <v>Casual n Light</v>
      </c>
      <c r="M547" t="str">
        <f>VLOOKUP($D547,'[2]product Table data'!$A$2:$G$12,M$1,FALSE)</f>
        <v>Guatemala</v>
      </c>
      <c r="N547" t="str">
        <f>VLOOKUP($D547,'[2]product Table data'!$A$2:$G$12,N$1,FALSE)</f>
        <v>Central America</v>
      </c>
      <c r="O547">
        <f>VLOOKUP($D547,'[2]product Table data'!$A$2:$G$12,O$1,FALSE)</f>
        <v>25</v>
      </c>
      <c r="P547">
        <f>VLOOKUP($D547,'[2]product Table data'!$A$2:$G$12,P$1,FALSE)</f>
        <v>30</v>
      </c>
      <c r="Q547">
        <f t="shared" si="40"/>
        <v>5</v>
      </c>
      <c r="R547" t="str">
        <f t="shared" si="41"/>
        <v>Hub Risk</v>
      </c>
      <c r="S547" t="str">
        <f t="shared" si="42"/>
        <v>Style Risk</v>
      </c>
      <c r="T547" t="str">
        <f t="shared" si="43"/>
        <v>Risk</v>
      </c>
      <c r="U547" t="str">
        <f t="shared" si="44"/>
        <v>Low Value</v>
      </c>
    </row>
    <row r="548" spans="1:21" hidden="1" x14ac:dyDescent="0.2">
      <c r="A548" s="2">
        <v>295</v>
      </c>
      <c r="B548" s="2" t="s">
        <v>9</v>
      </c>
      <c r="C548" s="2" t="s">
        <v>833</v>
      </c>
      <c r="D548" s="2" t="s">
        <v>566</v>
      </c>
      <c r="E548" s="2">
        <v>80208</v>
      </c>
      <c r="F548" s="2" t="s">
        <v>496</v>
      </c>
      <c r="G548" s="2" t="s">
        <v>36</v>
      </c>
      <c r="H548" s="2">
        <v>1</v>
      </c>
      <c r="I548" s="2" t="s">
        <v>39</v>
      </c>
      <c r="J548" s="2" t="str">
        <f>VLOOKUP(E548,[1]LL_Hub!$A$1:$B$13,2,FALSE)</f>
        <v>Denver</v>
      </c>
      <c r="K548" t="str">
        <f>VLOOKUP(D548,'[2]product Table data'!$A$2:$B$12,2,FALSE)</f>
        <v>Female</v>
      </c>
      <c r="L548" t="str">
        <f>VLOOKUP($D548,'[2]product Table data'!$A$2:$G$12,L$1,FALSE)</f>
        <v>Casual n Light</v>
      </c>
      <c r="M548" t="str">
        <f>VLOOKUP($D548,'[2]product Table data'!$A$2:$G$12,M$1,FALSE)</f>
        <v>Guatemala</v>
      </c>
      <c r="N548" t="str">
        <f>VLOOKUP($D548,'[2]product Table data'!$A$2:$G$12,N$1,FALSE)</f>
        <v>Central America</v>
      </c>
      <c r="O548">
        <f>VLOOKUP($D548,'[2]product Table data'!$A$2:$G$12,O$1,FALSE)</f>
        <v>25</v>
      </c>
      <c r="P548">
        <f>VLOOKUP($D548,'[2]product Table data'!$A$2:$G$12,P$1,FALSE)</f>
        <v>30</v>
      </c>
      <c r="Q548">
        <f t="shared" si="40"/>
        <v>5</v>
      </c>
      <c r="R548" t="str">
        <f t="shared" si="41"/>
        <v>Hub Risk</v>
      </c>
      <c r="S548" t="str">
        <f t="shared" si="42"/>
        <v>Style Risk</v>
      </c>
      <c r="T548" t="str">
        <f t="shared" si="43"/>
        <v>Risk</v>
      </c>
      <c r="U548" t="str">
        <f t="shared" si="44"/>
        <v>Low Value</v>
      </c>
    </row>
    <row r="549" spans="1:21" hidden="1" x14ac:dyDescent="0.2">
      <c r="A549" s="2">
        <v>296</v>
      </c>
      <c r="B549" s="2" t="s">
        <v>9</v>
      </c>
      <c r="C549" s="2" t="s">
        <v>834</v>
      </c>
      <c r="D549" s="2" t="s">
        <v>566</v>
      </c>
      <c r="E549" s="2">
        <v>80208</v>
      </c>
      <c r="F549" s="2" t="s">
        <v>496</v>
      </c>
      <c r="G549" s="2" t="s">
        <v>36</v>
      </c>
      <c r="H549" s="2">
        <v>1</v>
      </c>
      <c r="I549" s="2" t="s">
        <v>39</v>
      </c>
      <c r="J549" s="2" t="str">
        <f>VLOOKUP(E549,[1]LL_Hub!$A$1:$B$13,2,FALSE)</f>
        <v>Denver</v>
      </c>
      <c r="K549" t="str">
        <f>VLOOKUP(D549,'[2]product Table data'!$A$2:$B$12,2,FALSE)</f>
        <v>Female</v>
      </c>
      <c r="L549" t="str">
        <f>VLOOKUP($D549,'[2]product Table data'!$A$2:$G$12,L$1,FALSE)</f>
        <v>Casual n Light</v>
      </c>
      <c r="M549" t="str">
        <f>VLOOKUP($D549,'[2]product Table data'!$A$2:$G$12,M$1,FALSE)</f>
        <v>Guatemala</v>
      </c>
      <c r="N549" t="str">
        <f>VLOOKUP($D549,'[2]product Table data'!$A$2:$G$12,N$1,FALSE)</f>
        <v>Central America</v>
      </c>
      <c r="O549">
        <f>VLOOKUP($D549,'[2]product Table data'!$A$2:$G$12,O$1,FALSE)</f>
        <v>25</v>
      </c>
      <c r="P549">
        <f>VLOOKUP($D549,'[2]product Table data'!$A$2:$G$12,P$1,FALSE)</f>
        <v>30</v>
      </c>
      <c r="Q549">
        <f t="shared" si="40"/>
        <v>5</v>
      </c>
      <c r="R549" t="str">
        <f t="shared" si="41"/>
        <v>Hub Risk</v>
      </c>
      <c r="S549" t="str">
        <f t="shared" si="42"/>
        <v>Style Risk</v>
      </c>
      <c r="T549" t="str">
        <f t="shared" si="43"/>
        <v>Risk</v>
      </c>
      <c r="U549" t="str">
        <f t="shared" si="44"/>
        <v>Low Value</v>
      </c>
    </row>
    <row r="550" spans="1:21" hidden="1" x14ac:dyDescent="0.2">
      <c r="A550" s="2">
        <v>297</v>
      </c>
      <c r="B550" s="2" t="s">
        <v>9</v>
      </c>
      <c r="C550" s="2" t="s">
        <v>835</v>
      </c>
      <c r="D550" s="2" t="s">
        <v>566</v>
      </c>
      <c r="E550" s="2">
        <v>80208</v>
      </c>
      <c r="F550" s="2" t="s">
        <v>496</v>
      </c>
      <c r="G550" s="2" t="s">
        <v>36</v>
      </c>
      <c r="H550" s="2">
        <v>1</v>
      </c>
      <c r="I550" s="2" t="s">
        <v>39</v>
      </c>
      <c r="J550" s="2" t="str">
        <f>VLOOKUP(E550,[1]LL_Hub!$A$1:$B$13,2,FALSE)</f>
        <v>Denver</v>
      </c>
      <c r="K550" t="str">
        <f>VLOOKUP(D550,'[2]product Table data'!$A$2:$B$12,2,FALSE)</f>
        <v>Female</v>
      </c>
      <c r="L550" t="str">
        <f>VLOOKUP($D550,'[2]product Table data'!$A$2:$G$12,L$1,FALSE)</f>
        <v>Casual n Light</v>
      </c>
      <c r="M550" t="str">
        <f>VLOOKUP($D550,'[2]product Table data'!$A$2:$G$12,M$1,FALSE)</f>
        <v>Guatemala</v>
      </c>
      <c r="N550" t="str">
        <f>VLOOKUP($D550,'[2]product Table data'!$A$2:$G$12,N$1,FALSE)</f>
        <v>Central America</v>
      </c>
      <c r="O550">
        <f>VLOOKUP($D550,'[2]product Table data'!$A$2:$G$12,O$1,FALSE)</f>
        <v>25</v>
      </c>
      <c r="P550">
        <f>VLOOKUP($D550,'[2]product Table data'!$A$2:$G$12,P$1,FALSE)</f>
        <v>30</v>
      </c>
      <c r="Q550">
        <f t="shared" si="40"/>
        <v>5</v>
      </c>
      <c r="R550" t="str">
        <f t="shared" si="41"/>
        <v>Hub Risk</v>
      </c>
      <c r="S550" t="str">
        <f t="shared" si="42"/>
        <v>Style Risk</v>
      </c>
      <c r="T550" t="str">
        <f t="shared" si="43"/>
        <v>Risk</v>
      </c>
      <c r="U550" t="str">
        <f t="shared" si="44"/>
        <v>Low Value</v>
      </c>
    </row>
    <row r="551" spans="1:21" hidden="1" x14ac:dyDescent="0.2">
      <c r="A551" s="2">
        <v>298</v>
      </c>
      <c r="B551" s="2" t="s">
        <v>9</v>
      </c>
      <c r="C551" s="2" t="s">
        <v>836</v>
      </c>
      <c r="D551" s="2" t="s">
        <v>566</v>
      </c>
      <c r="E551" s="2">
        <v>80208</v>
      </c>
      <c r="F551" s="2" t="s">
        <v>496</v>
      </c>
      <c r="G551" s="2" t="s">
        <v>36</v>
      </c>
      <c r="H551" s="2">
        <v>1</v>
      </c>
      <c r="I551" s="2" t="s">
        <v>39</v>
      </c>
      <c r="J551" s="2" t="str">
        <f>VLOOKUP(E551,[1]LL_Hub!$A$1:$B$13,2,FALSE)</f>
        <v>Denver</v>
      </c>
      <c r="K551" t="str">
        <f>VLOOKUP(D551,'[2]product Table data'!$A$2:$B$12,2,FALSE)</f>
        <v>Female</v>
      </c>
      <c r="L551" t="str">
        <f>VLOOKUP($D551,'[2]product Table data'!$A$2:$G$12,L$1,FALSE)</f>
        <v>Casual n Light</v>
      </c>
      <c r="M551" t="str">
        <f>VLOOKUP($D551,'[2]product Table data'!$A$2:$G$12,M$1,FALSE)</f>
        <v>Guatemala</v>
      </c>
      <c r="N551" t="str">
        <f>VLOOKUP($D551,'[2]product Table data'!$A$2:$G$12,N$1,FALSE)</f>
        <v>Central America</v>
      </c>
      <c r="O551">
        <f>VLOOKUP($D551,'[2]product Table data'!$A$2:$G$12,O$1,FALSE)</f>
        <v>25</v>
      </c>
      <c r="P551">
        <f>VLOOKUP($D551,'[2]product Table data'!$A$2:$G$12,P$1,FALSE)</f>
        <v>30</v>
      </c>
      <c r="Q551">
        <f t="shared" si="40"/>
        <v>5</v>
      </c>
      <c r="R551" t="str">
        <f t="shared" si="41"/>
        <v>Hub Risk</v>
      </c>
      <c r="S551" t="str">
        <f t="shared" si="42"/>
        <v>Style Risk</v>
      </c>
      <c r="T551" t="str">
        <f t="shared" si="43"/>
        <v>Risk</v>
      </c>
      <c r="U551" t="str">
        <f t="shared" si="44"/>
        <v>Low Value</v>
      </c>
    </row>
    <row r="552" spans="1:21" hidden="1" x14ac:dyDescent="0.2">
      <c r="A552" s="2">
        <v>299</v>
      </c>
      <c r="B552" s="2" t="s">
        <v>9</v>
      </c>
      <c r="C552" s="2" t="s">
        <v>837</v>
      </c>
      <c r="D552" s="2" t="s">
        <v>566</v>
      </c>
      <c r="E552" s="2">
        <v>80208</v>
      </c>
      <c r="F552" s="2" t="s">
        <v>496</v>
      </c>
      <c r="G552" s="2" t="s">
        <v>36</v>
      </c>
      <c r="H552" s="2">
        <v>1</v>
      </c>
      <c r="I552" s="2" t="s">
        <v>39</v>
      </c>
      <c r="J552" s="2" t="str">
        <f>VLOOKUP(E552,[1]LL_Hub!$A$1:$B$13,2,FALSE)</f>
        <v>Denver</v>
      </c>
      <c r="K552" t="str">
        <f>VLOOKUP(D552,'[2]product Table data'!$A$2:$B$12,2,FALSE)</f>
        <v>Female</v>
      </c>
      <c r="L552" t="str">
        <f>VLOOKUP($D552,'[2]product Table data'!$A$2:$G$12,L$1,FALSE)</f>
        <v>Casual n Light</v>
      </c>
      <c r="M552" t="str">
        <f>VLOOKUP($D552,'[2]product Table data'!$A$2:$G$12,M$1,FALSE)</f>
        <v>Guatemala</v>
      </c>
      <c r="N552" t="str">
        <f>VLOOKUP($D552,'[2]product Table data'!$A$2:$G$12,N$1,FALSE)</f>
        <v>Central America</v>
      </c>
      <c r="O552">
        <f>VLOOKUP($D552,'[2]product Table data'!$A$2:$G$12,O$1,FALSE)</f>
        <v>25</v>
      </c>
      <c r="P552">
        <f>VLOOKUP($D552,'[2]product Table data'!$A$2:$G$12,P$1,FALSE)</f>
        <v>30</v>
      </c>
      <c r="Q552">
        <f t="shared" si="40"/>
        <v>5</v>
      </c>
      <c r="R552" t="str">
        <f t="shared" si="41"/>
        <v>Hub Risk</v>
      </c>
      <c r="S552" t="str">
        <f t="shared" si="42"/>
        <v>Style Risk</v>
      </c>
      <c r="T552" t="str">
        <f t="shared" si="43"/>
        <v>Risk</v>
      </c>
      <c r="U552" t="str">
        <f t="shared" si="44"/>
        <v>Low Value</v>
      </c>
    </row>
    <row r="553" spans="1:21" hidden="1" x14ac:dyDescent="0.2">
      <c r="A553" s="2">
        <v>300</v>
      </c>
      <c r="B553" s="2" t="s">
        <v>9</v>
      </c>
      <c r="C553" s="2" t="s">
        <v>838</v>
      </c>
      <c r="D553" s="2" t="s">
        <v>566</v>
      </c>
      <c r="E553" s="2">
        <v>80208</v>
      </c>
      <c r="F553" s="2" t="s">
        <v>496</v>
      </c>
      <c r="G553" s="2" t="s">
        <v>36</v>
      </c>
      <c r="H553" s="2">
        <v>1</v>
      </c>
      <c r="I553" s="2" t="s">
        <v>39</v>
      </c>
      <c r="J553" s="2" t="str">
        <f>VLOOKUP(E553,[1]LL_Hub!$A$1:$B$13,2,FALSE)</f>
        <v>Denver</v>
      </c>
      <c r="K553" t="str">
        <f>VLOOKUP(D553,'[2]product Table data'!$A$2:$B$12,2,FALSE)</f>
        <v>Female</v>
      </c>
      <c r="L553" t="str">
        <f>VLOOKUP($D553,'[2]product Table data'!$A$2:$G$12,L$1,FALSE)</f>
        <v>Casual n Light</v>
      </c>
      <c r="M553" t="str">
        <f>VLOOKUP($D553,'[2]product Table data'!$A$2:$G$12,M$1,FALSE)</f>
        <v>Guatemala</v>
      </c>
      <c r="N553" t="str">
        <f>VLOOKUP($D553,'[2]product Table data'!$A$2:$G$12,N$1,FALSE)</f>
        <v>Central America</v>
      </c>
      <c r="O553">
        <f>VLOOKUP($D553,'[2]product Table data'!$A$2:$G$12,O$1,FALSE)</f>
        <v>25</v>
      </c>
      <c r="P553">
        <f>VLOOKUP($D553,'[2]product Table data'!$A$2:$G$12,P$1,FALSE)</f>
        <v>30</v>
      </c>
      <c r="Q553">
        <f t="shared" si="40"/>
        <v>5</v>
      </c>
      <c r="R553" t="str">
        <f t="shared" si="41"/>
        <v>Hub Risk</v>
      </c>
      <c r="S553" t="str">
        <f t="shared" si="42"/>
        <v>Style Risk</v>
      </c>
      <c r="T553" t="str">
        <f t="shared" si="43"/>
        <v>Risk</v>
      </c>
      <c r="U553" t="str">
        <f t="shared" si="44"/>
        <v>Low Value</v>
      </c>
    </row>
    <row r="554" spans="1:21" hidden="1" x14ac:dyDescent="0.2">
      <c r="A554" s="2">
        <v>301</v>
      </c>
      <c r="B554" s="2" t="s">
        <v>9</v>
      </c>
      <c r="C554" s="2" t="s">
        <v>839</v>
      </c>
      <c r="D554" s="2" t="s">
        <v>566</v>
      </c>
      <c r="E554" s="2">
        <v>80208</v>
      </c>
      <c r="F554" s="2" t="s">
        <v>496</v>
      </c>
      <c r="G554" s="2" t="s">
        <v>36</v>
      </c>
      <c r="H554" s="2">
        <v>1</v>
      </c>
      <c r="I554" s="2" t="s">
        <v>39</v>
      </c>
      <c r="J554" s="2" t="str">
        <f>VLOOKUP(E554,[1]LL_Hub!$A$1:$B$13,2,FALSE)</f>
        <v>Denver</v>
      </c>
      <c r="K554" t="str">
        <f>VLOOKUP(D554,'[2]product Table data'!$A$2:$B$12,2,FALSE)</f>
        <v>Female</v>
      </c>
      <c r="L554" t="str">
        <f>VLOOKUP($D554,'[2]product Table data'!$A$2:$G$12,L$1,FALSE)</f>
        <v>Casual n Light</v>
      </c>
      <c r="M554" t="str">
        <f>VLOOKUP($D554,'[2]product Table data'!$A$2:$G$12,M$1,FALSE)</f>
        <v>Guatemala</v>
      </c>
      <c r="N554" t="str">
        <f>VLOOKUP($D554,'[2]product Table data'!$A$2:$G$12,N$1,FALSE)</f>
        <v>Central America</v>
      </c>
      <c r="O554">
        <f>VLOOKUP($D554,'[2]product Table data'!$A$2:$G$12,O$1,FALSE)</f>
        <v>25</v>
      </c>
      <c r="P554">
        <f>VLOOKUP($D554,'[2]product Table data'!$A$2:$G$12,P$1,FALSE)</f>
        <v>30</v>
      </c>
      <c r="Q554">
        <f t="shared" si="40"/>
        <v>5</v>
      </c>
      <c r="R554" t="str">
        <f t="shared" si="41"/>
        <v>Hub Risk</v>
      </c>
      <c r="S554" t="str">
        <f t="shared" si="42"/>
        <v>Style Risk</v>
      </c>
      <c r="T554" t="str">
        <f t="shared" si="43"/>
        <v>Risk</v>
      </c>
      <c r="U554" t="str">
        <f t="shared" si="44"/>
        <v>Low Value</v>
      </c>
    </row>
    <row r="555" spans="1:21" hidden="1" x14ac:dyDescent="0.2">
      <c r="A555" s="2">
        <v>302</v>
      </c>
      <c r="B555" s="2" t="s">
        <v>9</v>
      </c>
      <c r="C555" s="2" t="s">
        <v>840</v>
      </c>
      <c r="D555" s="2" t="s">
        <v>566</v>
      </c>
      <c r="E555" s="2">
        <v>80208</v>
      </c>
      <c r="F555" s="2" t="s">
        <v>841</v>
      </c>
      <c r="G555" s="2" t="s">
        <v>13</v>
      </c>
      <c r="H555" s="2">
        <v>1</v>
      </c>
      <c r="I555" s="2" t="s">
        <v>39</v>
      </c>
      <c r="J555" s="2" t="str">
        <f>VLOOKUP(E555,[1]LL_Hub!$A$1:$B$13,2,FALSE)</f>
        <v>Denver</v>
      </c>
      <c r="K555" t="str">
        <f>VLOOKUP(D555,'[2]product Table data'!$A$2:$B$12,2,FALSE)</f>
        <v>Female</v>
      </c>
      <c r="L555" t="str">
        <f>VLOOKUP($D555,'[2]product Table data'!$A$2:$G$12,L$1,FALSE)</f>
        <v>Casual n Light</v>
      </c>
      <c r="M555" t="str">
        <f>VLOOKUP($D555,'[2]product Table data'!$A$2:$G$12,M$1,FALSE)</f>
        <v>Guatemala</v>
      </c>
      <c r="N555" t="str">
        <f>VLOOKUP($D555,'[2]product Table data'!$A$2:$G$12,N$1,FALSE)</f>
        <v>Central America</v>
      </c>
      <c r="O555">
        <f>VLOOKUP($D555,'[2]product Table data'!$A$2:$G$12,O$1,FALSE)</f>
        <v>25</v>
      </c>
      <c r="P555">
        <f>VLOOKUP($D555,'[2]product Table data'!$A$2:$G$12,P$1,FALSE)</f>
        <v>30</v>
      </c>
      <c r="Q555">
        <f t="shared" si="40"/>
        <v>5</v>
      </c>
      <c r="R555" t="str">
        <f t="shared" si="41"/>
        <v>Hub Risk</v>
      </c>
      <c r="S555" t="str">
        <f t="shared" si="42"/>
        <v>Style Risk</v>
      </c>
      <c r="T555" t="str">
        <f t="shared" si="43"/>
        <v>Risk</v>
      </c>
      <c r="U555" t="str">
        <f t="shared" si="44"/>
        <v>Low Value</v>
      </c>
    </row>
    <row r="556" spans="1:21" hidden="1" x14ac:dyDescent="0.2">
      <c r="A556" s="2">
        <v>303</v>
      </c>
      <c r="B556" s="2" t="s">
        <v>9</v>
      </c>
      <c r="C556" s="2" t="s">
        <v>842</v>
      </c>
      <c r="D556" s="2" t="s">
        <v>566</v>
      </c>
      <c r="E556" s="2">
        <v>80208</v>
      </c>
      <c r="F556" s="2" t="s">
        <v>843</v>
      </c>
      <c r="G556" s="2" t="s">
        <v>13</v>
      </c>
      <c r="H556" s="2">
        <v>1</v>
      </c>
      <c r="I556" s="2" t="s">
        <v>39</v>
      </c>
      <c r="J556" s="2" t="str">
        <f>VLOOKUP(E556,[1]LL_Hub!$A$1:$B$13,2,FALSE)</f>
        <v>Denver</v>
      </c>
      <c r="K556" t="str">
        <f>VLOOKUP(D556,'[2]product Table data'!$A$2:$B$12,2,FALSE)</f>
        <v>Female</v>
      </c>
      <c r="L556" t="str">
        <f>VLOOKUP($D556,'[2]product Table data'!$A$2:$G$12,L$1,FALSE)</f>
        <v>Casual n Light</v>
      </c>
      <c r="M556" t="str">
        <f>VLOOKUP($D556,'[2]product Table data'!$A$2:$G$12,M$1,FALSE)</f>
        <v>Guatemala</v>
      </c>
      <c r="N556" t="str">
        <f>VLOOKUP($D556,'[2]product Table data'!$A$2:$G$12,N$1,FALSE)</f>
        <v>Central America</v>
      </c>
      <c r="O556">
        <f>VLOOKUP($D556,'[2]product Table data'!$A$2:$G$12,O$1,FALSE)</f>
        <v>25</v>
      </c>
      <c r="P556">
        <f>VLOOKUP($D556,'[2]product Table data'!$A$2:$G$12,P$1,FALSE)</f>
        <v>30</v>
      </c>
      <c r="Q556">
        <f t="shared" si="40"/>
        <v>5</v>
      </c>
      <c r="R556" t="str">
        <f t="shared" si="41"/>
        <v>Hub Risk</v>
      </c>
      <c r="S556" t="str">
        <f t="shared" si="42"/>
        <v>Style Risk</v>
      </c>
      <c r="T556" t="str">
        <f t="shared" si="43"/>
        <v>Risk</v>
      </c>
      <c r="U556" t="str">
        <f t="shared" si="44"/>
        <v>Low Value</v>
      </c>
    </row>
    <row r="557" spans="1:21" hidden="1" x14ac:dyDescent="0.2">
      <c r="A557" s="2">
        <v>304</v>
      </c>
      <c r="B557" s="2" t="s">
        <v>9</v>
      </c>
      <c r="C557" s="2" t="s">
        <v>844</v>
      </c>
      <c r="D557" s="2" t="s">
        <v>566</v>
      </c>
      <c r="E557" s="2">
        <v>80208</v>
      </c>
      <c r="F557" s="2" t="s">
        <v>845</v>
      </c>
      <c r="G557" s="2" t="s">
        <v>13</v>
      </c>
      <c r="H557" s="2">
        <v>1</v>
      </c>
      <c r="I557" s="2" t="s">
        <v>39</v>
      </c>
      <c r="J557" s="2" t="str">
        <f>VLOOKUP(E557,[1]LL_Hub!$A$1:$B$13,2,FALSE)</f>
        <v>Denver</v>
      </c>
      <c r="K557" t="str">
        <f>VLOOKUP(D557,'[2]product Table data'!$A$2:$B$12,2,FALSE)</f>
        <v>Female</v>
      </c>
      <c r="L557" t="str">
        <f>VLOOKUP($D557,'[2]product Table data'!$A$2:$G$12,L$1,FALSE)</f>
        <v>Casual n Light</v>
      </c>
      <c r="M557" t="str">
        <f>VLOOKUP($D557,'[2]product Table data'!$A$2:$G$12,M$1,FALSE)</f>
        <v>Guatemala</v>
      </c>
      <c r="N557" t="str">
        <f>VLOOKUP($D557,'[2]product Table data'!$A$2:$G$12,N$1,FALSE)</f>
        <v>Central America</v>
      </c>
      <c r="O557">
        <f>VLOOKUP($D557,'[2]product Table data'!$A$2:$G$12,O$1,FALSE)</f>
        <v>25</v>
      </c>
      <c r="P557">
        <f>VLOOKUP($D557,'[2]product Table data'!$A$2:$G$12,P$1,FALSE)</f>
        <v>30</v>
      </c>
      <c r="Q557">
        <f t="shared" si="40"/>
        <v>5</v>
      </c>
      <c r="R557" t="str">
        <f t="shared" si="41"/>
        <v>Hub Risk</v>
      </c>
      <c r="S557" t="str">
        <f t="shared" si="42"/>
        <v>Style Risk</v>
      </c>
      <c r="T557" t="str">
        <f t="shared" si="43"/>
        <v>Risk</v>
      </c>
      <c r="U557" t="str">
        <f t="shared" si="44"/>
        <v>Low Value</v>
      </c>
    </row>
    <row r="558" spans="1:21" hidden="1" x14ac:dyDescent="0.2">
      <c r="A558" s="2">
        <v>305</v>
      </c>
      <c r="B558" s="2" t="s">
        <v>9</v>
      </c>
      <c r="C558" s="2" t="s">
        <v>846</v>
      </c>
      <c r="D558" s="2" t="s">
        <v>566</v>
      </c>
      <c r="E558" s="2">
        <v>80208</v>
      </c>
      <c r="F558" s="2" t="s">
        <v>847</v>
      </c>
      <c r="G558" s="2" t="s">
        <v>13</v>
      </c>
      <c r="H558" s="2">
        <v>1</v>
      </c>
      <c r="I558" s="2" t="s">
        <v>39</v>
      </c>
      <c r="J558" s="2" t="str">
        <f>VLOOKUP(E558,[1]LL_Hub!$A$1:$B$13,2,FALSE)</f>
        <v>Denver</v>
      </c>
      <c r="K558" t="str">
        <f>VLOOKUP(D558,'[2]product Table data'!$A$2:$B$12,2,FALSE)</f>
        <v>Female</v>
      </c>
      <c r="L558" t="str">
        <f>VLOOKUP($D558,'[2]product Table data'!$A$2:$G$12,L$1,FALSE)</f>
        <v>Casual n Light</v>
      </c>
      <c r="M558" t="str">
        <f>VLOOKUP($D558,'[2]product Table data'!$A$2:$G$12,M$1,FALSE)</f>
        <v>Guatemala</v>
      </c>
      <c r="N558" t="str">
        <f>VLOOKUP($D558,'[2]product Table data'!$A$2:$G$12,N$1,FALSE)</f>
        <v>Central America</v>
      </c>
      <c r="O558">
        <f>VLOOKUP($D558,'[2]product Table data'!$A$2:$G$12,O$1,FALSE)</f>
        <v>25</v>
      </c>
      <c r="P558">
        <f>VLOOKUP($D558,'[2]product Table data'!$A$2:$G$12,P$1,FALSE)</f>
        <v>30</v>
      </c>
      <c r="Q558">
        <f t="shared" si="40"/>
        <v>5</v>
      </c>
      <c r="R558" t="str">
        <f t="shared" si="41"/>
        <v>Hub Risk</v>
      </c>
      <c r="S558" t="str">
        <f t="shared" si="42"/>
        <v>Style Risk</v>
      </c>
      <c r="T558" t="str">
        <f t="shared" si="43"/>
        <v>Risk</v>
      </c>
      <c r="U558" t="str">
        <f t="shared" si="44"/>
        <v>Low Value</v>
      </c>
    </row>
    <row r="559" spans="1:21" hidden="1" x14ac:dyDescent="0.2">
      <c r="A559" s="2">
        <v>306</v>
      </c>
      <c r="B559" s="2" t="s">
        <v>9</v>
      </c>
      <c r="C559" s="2" t="s">
        <v>848</v>
      </c>
      <c r="D559" s="2" t="s">
        <v>566</v>
      </c>
      <c r="E559" s="2">
        <v>80208</v>
      </c>
      <c r="F559" s="2" t="s">
        <v>849</v>
      </c>
      <c r="G559" s="2" t="s">
        <v>13</v>
      </c>
      <c r="H559" s="2">
        <v>1</v>
      </c>
      <c r="I559" s="2" t="s">
        <v>39</v>
      </c>
      <c r="J559" s="2" t="str">
        <f>VLOOKUP(E559,[1]LL_Hub!$A$1:$B$13,2,FALSE)</f>
        <v>Denver</v>
      </c>
      <c r="K559" t="str">
        <f>VLOOKUP(D559,'[2]product Table data'!$A$2:$B$12,2,FALSE)</f>
        <v>Female</v>
      </c>
      <c r="L559" t="str">
        <f>VLOOKUP($D559,'[2]product Table data'!$A$2:$G$12,L$1,FALSE)</f>
        <v>Casual n Light</v>
      </c>
      <c r="M559" t="str">
        <f>VLOOKUP($D559,'[2]product Table data'!$A$2:$G$12,M$1,FALSE)</f>
        <v>Guatemala</v>
      </c>
      <c r="N559" t="str">
        <f>VLOOKUP($D559,'[2]product Table data'!$A$2:$G$12,N$1,FALSE)</f>
        <v>Central America</v>
      </c>
      <c r="O559">
        <f>VLOOKUP($D559,'[2]product Table data'!$A$2:$G$12,O$1,FALSE)</f>
        <v>25</v>
      </c>
      <c r="P559">
        <f>VLOOKUP($D559,'[2]product Table data'!$A$2:$G$12,P$1,FALSE)</f>
        <v>30</v>
      </c>
      <c r="Q559">
        <f t="shared" si="40"/>
        <v>5</v>
      </c>
      <c r="R559" t="str">
        <f t="shared" si="41"/>
        <v>Hub Risk</v>
      </c>
      <c r="S559" t="str">
        <f t="shared" si="42"/>
        <v>Style Risk</v>
      </c>
      <c r="T559" t="str">
        <f t="shared" si="43"/>
        <v>Risk</v>
      </c>
      <c r="U559" t="str">
        <f t="shared" si="44"/>
        <v>Low Value</v>
      </c>
    </row>
    <row r="560" spans="1:21" hidden="1" x14ac:dyDescent="0.2">
      <c r="A560" s="2">
        <v>307</v>
      </c>
      <c r="B560" s="2" t="s">
        <v>9</v>
      </c>
      <c r="C560" s="2" t="s">
        <v>850</v>
      </c>
      <c r="D560" s="2" t="s">
        <v>566</v>
      </c>
      <c r="E560" s="2">
        <v>80208</v>
      </c>
      <c r="F560" s="2" t="s">
        <v>851</v>
      </c>
      <c r="G560" s="2" t="s">
        <v>13</v>
      </c>
      <c r="H560" s="2">
        <v>1</v>
      </c>
      <c r="I560" s="2" t="s">
        <v>39</v>
      </c>
      <c r="J560" s="2" t="str">
        <f>VLOOKUP(E560,[1]LL_Hub!$A$1:$B$13,2,FALSE)</f>
        <v>Denver</v>
      </c>
      <c r="K560" t="str">
        <f>VLOOKUP(D560,'[2]product Table data'!$A$2:$B$12,2,FALSE)</f>
        <v>Female</v>
      </c>
      <c r="L560" t="str">
        <f>VLOOKUP($D560,'[2]product Table data'!$A$2:$G$12,L$1,FALSE)</f>
        <v>Casual n Light</v>
      </c>
      <c r="M560" t="str">
        <f>VLOOKUP($D560,'[2]product Table data'!$A$2:$G$12,M$1,FALSE)</f>
        <v>Guatemala</v>
      </c>
      <c r="N560" t="str">
        <f>VLOOKUP($D560,'[2]product Table data'!$A$2:$G$12,N$1,FALSE)</f>
        <v>Central America</v>
      </c>
      <c r="O560">
        <f>VLOOKUP($D560,'[2]product Table data'!$A$2:$G$12,O$1,FALSE)</f>
        <v>25</v>
      </c>
      <c r="P560">
        <f>VLOOKUP($D560,'[2]product Table data'!$A$2:$G$12,P$1,FALSE)</f>
        <v>30</v>
      </c>
      <c r="Q560">
        <f t="shared" si="40"/>
        <v>5</v>
      </c>
      <c r="R560" t="str">
        <f t="shared" si="41"/>
        <v>Hub Risk</v>
      </c>
      <c r="S560" t="str">
        <f t="shared" si="42"/>
        <v>Style Risk</v>
      </c>
      <c r="T560" t="str">
        <f t="shared" si="43"/>
        <v>Risk</v>
      </c>
      <c r="U560" t="str">
        <f t="shared" si="44"/>
        <v>Low Value</v>
      </c>
    </row>
    <row r="561" spans="1:21" hidden="1" x14ac:dyDescent="0.2">
      <c r="A561" s="2">
        <v>308</v>
      </c>
      <c r="B561" s="2" t="s">
        <v>9</v>
      </c>
      <c r="C561" s="2" t="s">
        <v>852</v>
      </c>
      <c r="D561" s="2" t="s">
        <v>566</v>
      </c>
      <c r="E561" s="2">
        <v>80208</v>
      </c>
      <c r="F561" s="2" t="s">
        <v>853</v>
      </c>
      <c r="G561" s="2" t="s">
        <v>13</v>
      </c>
      <c r="H561" s="2">
        <v>1</v>
      </c>
      <c r="I561" s="2" t="s">
        <v>39</v>
      </c>
      <c r="J561" s="2" t="str">
        <f>VLOOKUP(E561,[1]LL_Hub!$A$1:$B$13,2,FALSE)</f>
        <v>Denver</v>
      </c>
      <c r="K561" t="str">
        <f>VLOOKUP(D561,'[2]product Table data'!$A$2:$B$12,2,FALSE)</f>
        <v>Female</v>
      </c>
      <c r="L561" t="str">
        <f>VLOOKUP($D561,'[2]product Table data'!$A$2:$G$12,L$1,FALSE)</f>
        <v>Casual n Light</v>
      </c>
      <c r="M561" t="str">
        <f>VLOOKUP($D561,'[2]product Table data'!$A$2:$G$12,M$1,FALSE)</f>
        <v>Guatemala</v>
      </c>
      <c r="N561" t="str">
        <f>VLOOKUP($D561,'[2]product Table data'!$A$2:$G$12,N$1,FALSE)</f>
        <v>Central America</v>
      </c>
      <c r="O561">
        <f>VLOOKUP($D561,'[2]product Table data'!$A$2:$G$12,O$1,FALSE)</f>
        <v>25</v>
      </c>
      <c r="P561">
        <f>VLOOKUP($D561,'[2]product Table data'!$A$2:$G$12,P$1,FALSE)</f>
        <v>30</v>
      </c>
      <c r="Q561">
        <f t="shared" si="40"/>
        <v>5</v>
      </c>
      <c r="R561" t="str">
        <f t="shared" si="41"/>
        <v>Hub Risk</v>
      </c>
      <c r="S561" t="str">
        <f t="shared" si="42"/>
        <v>Style Risk</v>
      </c>
      <c r="T561" t="str">
        <f t="shared" si="43"/>
        <v>Risk</v>
      </c>
      <c r="U561" t="str">
        <f t="shared" si="44"/>
        <v>Low Value</v>
      </c>
    </row>
    <row r="562" spans="1:21" hidden="1" x14ac:dyDescent="0.2">
      <c r="A562" s="2">
        <v>309</v>
      </c>
      <c r="B562" s="2" t="s">
        <v>9</v>
      </c>
      <c r="C562" s="2" t="s">
        <v>854</v>
      </c>
      <c r="D562" s="2" t="s">
        <v>566</v>
      </c>
      <c r="E562" s="2">
        <v>80208</v>
      </c>
      <c r="F562" s="2" t="s">
        <v>855</v>
      </c>
      <c r="G562" s="2" t="s">
        <v>13</v>
      </c>
      <c r="H562" s="2">
        <v>1</v>
      </c>
      <c r="I562" s="2" t="s">
        <v>39</v>
      </c>
      <c r="J562" s="2" t="str">
        <f>VLOOKUP(E562,[1]LL_Hub!$A$1:$B$13,2,FALSE)</f>
        <v>Denver</v>
      </c>
      <c r="K562" t="str">
        <f>VLOOKUP(D562,'[2]product Table data'!$A$2:$B$12,2,FALSE)</f>
        <v>Female</v>
      </c>
      <c r="L562" t="str">
        <f>VLOOKUP($D562,'[2]product Table data'!$A$2:$G$12,L$1,FALSE)</f>
        <v>Casual n Light</v>
      </c>
      <c r="M562" t="str">
        <f>VLOOKUP($D562,'[2]product Table data'!$A$2:$G$12,M$1,FALSE)</f>
        <v>Guatemala</v>
      </c>
      <c r="N562" t="str">
        <f>VLOOKUP($D562,'[2]product Table data'!$A$2:$G$12,N$1,FALSE)</f>
        <v>Central America</v>
      </c>
      <c r="O562">
        <f>VLOOKUP($D562,'[2]product Table data'!$A$2:$G$12,O$1,FALSE)</f>
        <v>25</v>
      </c>
      <c r="P562">
        <f>VLOOKUP($D562,'[2]product Table data'!$A$2:$G$12,P$1,FALSE)</f>
        <v>30</v>
      </c>
      <c r="Q562">
        <f t="shared" si="40"/>
        <v>5</v>
      </c>
      <c r="R562" t="str">
        <f t="shared" si="41"/>
        <v>Hub Risk</v>
      </c>
      <c r="S562" t="str">
        <f t="shared" si="42"/>
        <v>Style Risk</v>
      </c>
      <c r="T562" t="str">
        <f t="shared" si="43"/>
        <v>Risk</v>
      </c>
      <c r="U562" t="str">
        <f t="shared" si="44"/>
        <v>Low Value</v>
      </c>
    </row>
    <row r="563" spans="1:21" hidden="1" x14ac:dyDescent="0.2">
      <c r="A563" s="2">
        <v>310</v>
      </c>
      <c r="B563" s="2" t="s">
        <v>9</v>
      </c>
      <c r="C563" s="2" t="s">
        <v>856</v>
      </c>
      <c r="D563" s="2" t="s">
        <v>566</v>
      </c>
      <c r="E563" s="2">
        <v>80208</v>
      </c>
      <c r="F563" s="2" t="s">
        <v>857</v>
      </c>
      <c r="G563" s="2" t="s">
        <v>13</v>
      </c>
      <c r="H563" s="2">
        <v>1</v>
      </c>
      <c r="I563" s="2" t="s">
        <v>39</v>
      </c>
      <c r="J563" s="2" t="str">
        <f>VLOOKUP(E563,[1]LL_Hub!$A$1:$B$13,2,FALSE)</f>
        <v>Denver</v>
      </c>
      <c r="K563" t="str">
        <f>VLOOKUP(D563,'[2]product Table data'!$A$2:$B$12,2,FALSE)</f>
        <v>Female</v>
      </c>
      <c r="L563" t="str">
        <f>VLOOKUP($D563,'[2]product Table data'!$A$2:$G$12,L$1,FALSE)</f>
        <v>Casual n Light</v>
      </c>
      <c r="M563" t="str">
        <f>VLOOKUP($D563,'[2]product Table data'!$A$2:$G$12,M$1,FALSE)</f>
        <v>Guatemala</v>
      </c>
      <c r="N563" t="str">
        <f>VLOOKUP($D563,'[2]product Table data'!$A$2:$G$12,N$1,FALSE)</f>
        <v>Central America</v>
      </c>
      <c r="O563">
        <f>VLOOKUP($D563,'[2]product Table data'!$A$2:$G$12,O$1,FALSE)</f>
        <v>25</v>
      </c>
      <c r="P563">
        <f>VLOOKUP($D563,'[2]product Table data'!$A$2:$G$12,P$1,FALSE)</f>
        <v>30</v>
      </c>
      <c r="Q563">
        <f t="shared" si="40"/>
        <v>5</v>
      </c>
      <c r="R563" t="str">
        <f t="shared" si="41"/>
        <v>Hub Risk</v>
      </c>
      <c r="S563" t="str">
        <f t="shared" si="42"/>
        <v>Style Risk</v>
      </c>
      <c r="T563" t="str">
        <f t="shared" si="43"/>
        <v>Risk</v>
      </c>
      <c r="U563" t="str">
        <f t="shared" si="44"/>
        <v>Low Value</v>
      </c>
    </row>
    <row r="564" spans="1:21" hidden="1" x14ac:dyDescent="0.2">
      <c r="A564" s="2">
        <v>311</v>
      </c>
      <c r="B564" s="2" t="s">
        <v>9</v>
      </c>
      <c r="C564" s="2" t="s">
        <v>858</v>
      </c>
      <c r="D564" s="2" t="s">
        <v>566</v>
      </c>
      <c r="E564" s="2">
        <v>80208</v>
      </c>
      <c r="F564" s="2" t="s">
        <v>859</v>
      </c>
      <c r="G564" s="2" t="s">
        <v>13</v>
      </c>
      <c r="H564" s="2">
        <v>1</v>
      </c>
      <c r="I564" s="2" t="s">
        <v>39</v>
      </c>
      <c r="J564" s="2" t="str">
        <f>VLOOKUP(E564,[1]LL_Hub!$A$1:$B$13,2,FALSE)</f>
        <v>Denver</v>
      </c>
      <c r="K564" t="str">
        <f>VLOOKUP(D564,'[2]product Table data'!$A$2:$B$12,2,FALSE)</f>
        <v>Female</v>
      </c>
      <c r="L564" t="str">
        <f>VLOOKUP($D564,'[2]product Table data'!$A$2:$G$12,L$1,FALSE)</f>
        <v>Casual n Light</v>
      </c>
      <c r="M564" t="str">
        <f>VLOOKUP($D564,'[2]product Table data'!$A$2:$G$12,M$1,FALSE)</f>
        <v>Guatemala</v>
      </c>
      <c r="N564" t="str">
        <f>VLOOKUP($D564,'[2]product Table data'!$A$2:$G$12,N$1,FALSE)</f>
        <v>Central America</v>
      </c>
      <c r="O564">
        <f>VLOOKUP($D564,'[2]product Table data'!$A$2:$G$12,O$1,FALSE)</f>
        <v>25</v>
      </c>
      <c r="P564">
        <f>VLOOKUP($D564,'[2]product Table data'!$A$2:$G$12,P$1,FALSE)</f>
        <v>30</v>
      </c>
      <c r="Q564">
        <f t="shared" si="40"/>
        <v>5</v>
      </c>
      <c r="R564" t="str">
        <f t="shared" si="41"/>
        <v>Hub Risk</v>
      </c>
      <c r="S564" t="str">
        <f t="shared" si="42"/>
        <v>Style Risk</v>
      </c>
      <c r="T564" t="str">
        <f t="shared" si="43"/>
        <v>Risk</v>
      </c>
      <c r="U564" t="str">
        <f t="shared" si="44"/>
        <v>Low Value</v>
      </c>
    </row>
    <row r="565" spans="1:21" hidden="1" x14ac:dyDescent="0.2">
      <c r="A565" s="2">
        <v>312</v>
      </c>
      <c r="B565" s="2" t="s">
        <v>9</v>
      </c>
      <c r="C565" s="2" t="s">
        <v>860</v>
      </c>
      <c r="D565" s="2" t="s">
        <v>566</v>
      </c>
      <c r="E565" s="2">
        <v>80208</v>
      </c>
      <c r="F565" s="2" t="s">
        <v>861</v>
      </c>
      <c r="G565" s="2" t="s">
        <v>13</v>
      </c>
      <c r="H565" s="2">
        <v>1</v>
      </c>
      <c r="I565" s="2" t="s">
        <v>39</v>
      </c>
      <c r="J565" s="2" t="str">
        <f>VLOOKUP(E565,[1]LL_Hub!$A$1:$B$13,2,FALSE)</f>
        <v>Denver</v>
      </c>
      <c r="K565" t="str">
        <f>VLOOKUP(D565,'[2]product Table data'!$A$2:$B$12,2,FALSE)</f>
        <v>Female</v>
      </c>
      <c r="L565" t="str">
        <f>VLOOKUP($D565,'[2]product Table data'!$A$2:$G$12,L$1,FALSE)</f>
        <v>Casual n Light</v>
      </c>
      <c r="M565" t="str">
        <f>VLOOKUP($D565,'[2]product Table data'!$A$2:$G$12,M$1,FALSE)</f>
        <v>Guatemala</v>
      </c>
      <c r="N565" t="str">
        <f>VLOOKUP($D565,'[2]product Table data'!$A$2:$G$12,N$1,FALSE)</f>
        <v>Central America</v>
      </c>
      <c r="O565">
        <f>VLOOKUP($D565,'[2]product Table data'!$A$2:$G$12,O$1,FALSE)</f>
        <v>25</v>
      </c>
      <c r="P565">
        <f>VLOOKUP($D565,'[2]product Table data'!$A$2:$G$12,P$1,FALSE)</f>
        <v>30</v>
      </c>
      <c r="Q565">
        <f t="shared" si="40"/>
        <v>5</v>
      </c>
      <c r="R565" t="str">
        <f t="shared" si="41"/>
        <v>Hub Risk</v>
      </c>
      <c r="S565" t="str">
        <f t="shared" si="42"/>
        <v>Style Risk</v>
      </c>
      <c r="T565" t="str">
        <f t="shared" si="43"/>
        <v>Risk</v>
      </c>
      <c r="U565" t="str">
        <f t="shared" si="44"/>
        <v>Low Value</v>
      </c>
    </row>
    <row r="566" spans="1:21" hidden="1" x14ac:dyDescent="0.2">
      <c r="A566" s="2">
        <v>313</v>
      </c>
      <c r="B566" s="2" t="s">
        <v>9</v>
      </c>
      <c r="C566" s="2" t="s">
        <v>862</v>
      </c>
      <c r="D566" s="2" t="s">
        <v>566</v>
      </c>
      <c r="E566" s="2">
        <v>80208</v>
      </c>
      <c r="F566" s="2" t="s">
        <v>863</v>
      </c>
      <c r="G566" s="2" t="s">
        <v>13</v>
      </c>
      <c r="H566" s="2">
        <v>1</v>
      </c>
      <c r="I566" s="2" t="s">
        <v>39</v>
      </c>
      <c r="J566" s="2" t="str">
        <f>VLOOKUP(E566,[1]LL_Hub!$A$1:$B$13,2,FALSE)</f>
        <v>Denver</v>
      </c>
      <c r="K566" t="str">
        <f>VLOOKUP(D566,'[2]product Table data'!$A$2:$B$12,2,FALSE)</f>
        <v>Female</v>
      </c>
      <c r="L566" t="str">
        <f>VLOOKUP($D566,'[2]product Table data'!$A$2:$G$12,L$1,FALSE)</f>
        <v>Casual n Light</v>
      </c>
      <c r="M566" t="str">
        <f>VLOOKUP($D566,'[2]product Table data'!$A$2:$G$12,M$1,FALSE)</f>
        <v>Guatemala</v>
      </c>
      <c r="N566" t="str">
        <f>VLOOKUP($D566,'[2]product Table data'!$A$2:$G$12,N$1,FALSE)</f>
        <v>Central America</v>
      </c>
      <c r="O566">
        <f>VLOOKUP($D566,'[2]product Table data'!$A$2:$G$12,O$1,FALSE)</f>
        <v>25</v>
      </c>
      <c r="P566">
        <f>VLOOKUP($D566,'[2]product Table data'!$A$2:$G$12,P$1,FALSE)</f>
        <v>30</v>
      </c>
      <c r="Q566">
        <f t="shared" si="40"/>
        <v>5</v>
      </c>
      <c r="R566" t="str">
        <f t="shared" si="41"/>
        <v>Hub Risk</v>
      </c>
      <c r="S566" t="str">
        <f t="shared" si="42"/>
        <v>Style Risk</v>
      </c>
      <c r="T566" t="str">
        <f t="shared" si="43"/>
        <v>Risk</v>
      </c>
      <c r="U566" t="str">
        <f t="shared" si="44"/>
        <v>Low Value</v>
      </c>
    </row>
    <row r="567" spans="1:21" hidden="1" x14ac:dyDescent="0.2">
      <c r="A567" s="2">
        <v>314</v>
      </c>
      <c r="B567" s="2" t="s">
        <v>9</v>
      </c>
      <c r="C567" s="2" t="s">
        <v>864</v>
      </c>
      <c r="D567" s="2" t="s">
        <v>566</v>
      </c>
      <c r="E567" s="2">
        <v>80208</v>
      </c>
      <c r="F567" s="2" t="s">
        <v>865</v>
      </c>
      <c r="G567" s="2" t="s">
        <v>13</v>
      </c>
      <c r="H567" s="2">
        <v>1</v>
      </c>
      <c r="I567" s="2" t="s">
        <v>39</v>
      </c>
      <c r="J567" s="2" t="str">
        <f>VLOOKUP(E567,[1]LL_Hub!$A$1:$B$13,2,FALSE)</f>
        <v>Denver</v>
      </c>
      <c r="K567" t="str">
        <f>VLOOKUP(D567,'[2]product Table data'!$A$2:$B$12,2,FALSE)</f>
        <v>Female</v>
      </c>
      <c r="L567" t="str">
        <f>VLOOKUP($D567,'[2]product Table data'!$A$2:$G$12,L$1,FALSE)</f>
        <v>Casual n Light</v>
      </c>
      <c r="M567" t="str">
        <f>VLOOKUP($D567,'[2]product Table data'!$A$2:$G$12,M$1,FALSE)</f>
        <v>Guatemala</v>
      </c>
      <c r="N567" t="str">
        <f>VLOOKUP($D567,'[2]product Table data'!$A$2:$G$12,N$1,FALSE)</f>
        <v>Central America</v>
      </c>
      <c r="O567">
        <f>VLOOKUP($D567,'[2]product Table data'!$A$2:$G$12,O$1,FALSE)</f>
        <v>25</v>
      </c>
      <c r="P567">
        <f>VLOOKUP($D567,'[2]product Table data'!$A$2:$G$12,P$1,FALSE)</f>
        <v>30</v>
      </c>
      <c r="Q567">
        <f t="shared" si="40"/>
        <v>5</v>
      </c>
      <c r="R567" t="str">
        <f t="shared" si="41"/>
        <v>Hub Risk</v>
      </c>
      <c r="S567" t="str">
        <f t="shared" si="42"/>
        <v>Style Risk</v>
      </c>
      <c r="T567" t="str">
        <f t="shared" si="43"/>
        <v>Risk</v>
      </c>
      <c r="U567" t="str">
        <f t="shared" si="44"/>
        <v>Low Value</v>
      </c>
    </row>
    <row r="568" spans="1:21" hidden="1" x14ac:dyDescent="0.2">
      <c r="A568" s="2">
        <v>315</v>
      </c>
      <c r="B568" s="2" t="s">
        <v>9</v>
      </c>
      <c r="C568" s="2" t="s">
        <v>866</v>
      </c>
      <c r="D568" s="2" t="s">
        <v>566</v>
      </c>
      <c r="E568" s="2">
        <v>80208</v>
      </c>
      <c r="F568" s="2" t="s">
        <v>867</v>
      </c>
      <c r="G568" s="2" t="s">
        <v>13</v>
      </c>
      <c r="H568" s="2">
        <v>1</v>
      </c>
      <c r="I568" s="2" t="s">
        <v>39</v>
      </c>
      <c r="J568" s="2" t="str">
        <f>VLOOKUP(E568,[1]LL_Hub!$A$1:$B$13,2,FALSE)</f>
        <v>Denver</v>
      </c>
      <c r="K568" t="str">
        <f>VLOOKUP(D568,'[2]product Table data'!$A$2:$B$12,2,FALSE)</f>
        <v>Female</v>
      </c>
      <c r="L568" t="str">
        <f>VLOOKUP($D568,'[2]product Table data'!$A$2:$G$12,L$1,FALSE)</f>
        <v>Casual n Light</v>
      </c>
      <c r="M568" t="str">
        <f>VLOOKUP($D568,'[2]product Table data'!$A$2:$G$12,M$1,FALSE)</f>
        <v>Guatemala</v>
      </c>
      <c r="N568" t="str">
        <f>VLOOKUP($D568,'[2]product Table data'!$A$2:$G$12,N$1,FALSE)</f>
        <v>Central America</v>
      </c>
      <c r="O568">
        <f>VLOOKUP($D568,'[2]product Table data'!$A$2:$G$12,O$1,FALSE)</f>
        <v>25</v>
      </c>
      <c r="P568">
        <f>VLOOKUP($D568,'[2]product Table data'!$A$2:$G$12,P$1,FALSE)</f>
        <v>30</v>
      </c>
      <c r="Q568">
        <f t="shared" si="40"/>
        <v>5</v>
      </c>
      <c r="R568" t="str">
        <f t="shared" si="41"/>
        <v>Hub Risk</v>
      </c>
      <c r="S568" t="str">
        <f t="shared" si="42"/>
        <v>Style Risk</v>
      </c>
      <c r="T568" t="str">
        <f t="shared" si="43"/>
        <v>Risk</v>
      </c>
      <c r="U568" t="str">
        <f t="shared" si="44"/>
        <v>Low Value</v>
      </c>
    </row>
    <row r="569" spans="1:21" hidden="1" x14ac:dyDescent="0.2">
      <c r="A569" s="2">
        <v>316</v>
      </c>
      <c r="B569" s="2" t="s">
        <v>9</v>
      </c>
      <c r="C569" s="2" t="s">
        <v>868</v>
      </c>
      <c r="D569" s="2" t="s">
        <v>566</v>
      </c>
      <c r="E569" s="2">
        <v>80208</v>
      </c>
      <c r="F569" s="2" t="s">
        <v>496</v>
      </c>
      <c r="G569" s="2" t="s">
        <v>36</v>
      </c>
      <c r="H569" s="2">
        <v>1</v>
      </c>
      <c r="I569" s="2" t="s">
        <v>39</v>
      </c>
      <c r="J569" s="2" t="str">
        <f>VLOOKUP(E569,[1]LL_Hub!$A$1:$B$13,2,FALSE)</f>
        <v>Denver</v>
      </c>
      <c r="K569" t="str">
        <f>VLOOKUP(D569,'[2]product Table data'!$A$2:$B$12,2,FALSE)</f>
        <v>Female</v>
      </c>
      <c r="L569" t="str">
        <f>VLOOKUP($D569,'[2]product Table data'!$A$2:$G$12,L$1,FALSE)</f>
        <v>Casual n Light</v>
      </c>
      <c r="M569" t="str">
        <f>VLOOKUP($D569,'[2]product Table data'!$A$2:$G$12,M$1,FALSE)</f>
        <v>Guatemala</v>
      </c>
      <c r="N569" t="str">
        <f>VLOOKUP($D569,'[2]product Table data'!$A$2:$G$12,N$1,FALSE)</f>
        <v>Central America</v>
      </c>
      <c r="O569">
        <f>VLOOKUP($D569,'[2]product Table data'!$A$2:$G$12,O$1,FALSE)</f>
        <v>25</v>
      </c>
      <c r="P569">
        <f>VLOOKUP($D569,'[2]product Table data'!$A$2:$G$12,P$1,FALSE)</f>
        <v>30</v>
      </c>
      <c r="Q569">
        <f t="shared" si="40"/>
        <v>5</v>
      </c>
      <c r="R569" t="str">
        <f t="shared" si="41"/>
        <v>Hub Risk</v>
      </c>
      <c r="S569" t="str">
        <f t="shared" si="42"/>
        <v>Style Risk</v>
      </c>
      <c r="T569" t="str">
        <f t="shared" si="43"/>
        <v>Risk</v>
      </c>
      <c r="U569" t="str">
        <f t="shared" si="44"/>
        <v>Low Value</v>
      </c>
    </row>
    <row r="570" spans="1:21" hidden="1" x14ac:dyDescent="0.2">
      <c r="A570" s="2">
        <v>317</v>
      </c>
      <c r="B570" s="2" t="s">
        <v>9</v>
      </c>
      <c r="C570" s="2" t="s">
        <v>869</v>
      </c>
      <c r="D570" s="2" t="s">
        <v>566</v>
      </c>
      <c r="E570" s="2">
        <v>80208</v>
      </c>
      <c r="F570" s="2" t="s">
        <v>496</v>
      </c>
      <c r="G570" s="2" t="s">
        <v>36</v>
      </c>
      <c r="H570" s="2">
        <v>1</v>
      </c>
      <c r="I570" s="2" t="s">
        <v>39</v>
      </c>
      <c r="J570" s="2" t="str">
        <f>VLOOKUP(E570,[1]LL_Hub!$A$1:$B$13,2,FALSE)</f>
        <v>Denver</v>
      </c>
      <c r="K570" t="str">
        <f>VLOOKUP(D570,'[2]product Table data'!$A$2:$B$12,2,FALSE)</f>
        <v>Female</v>
      </c>
      <c r="L570" t="str">
        <f>VLOOKUP($D570,'[2]product Table data'!$A$2:$G$12,L$1,FALSE)</f>
        <v>Casual n Light</v>
      </c>
      <c r="M570" t="str">
        <f>VLOOKUP($D570,'[2]product Table data'!$A$2:$G$12,M$1,FALSE)</f>
        <v>Guatemala</v>
      </c>
      <c r="N570" t="str">
        <f>VLOOKUP($D570,'[2]product Table data'!$A$2:$G$12,N$1,FALSE)</f>
        <v>Central America</v>
      </c>
      <c r="O570">
        <f>VLOOKUP($D570,'[2]product Table data'!$A$2:$G$12,O$1,FALSE)</f>
        <v>25</v>
      </c>
      <c r="P570">
        <f>VLOOKUP($D570,'[2]product Table data'!$A$2:$G$12,P$1,FALSE)</f>
        <v>30</v>
      </c>
      <c r="Q570">
        <f t="shared" si="40"/>
        <v>5</v>
      </c>
      <c r="R570" t="str">
        <f t="shared" si="41"/>
        <v>Hub Risk</v>
      </c>
      <c r="S570" t="str">
        <f t="shared" si="42"/>
        <v>Style Risk</v>
      </c>
      <c r="T570" t="str">
        <f t="shared" si="43"/>
        <v>Risk</v>
      </c>
      <c r="U570" t="str">
        <f t="shared" si="44"/>
        <v>Low Value</v>
      </c>
    </row>
    <row r="571" spans="1:21" hidden="1" x14ac:dyDescent="0.2">
      <c r="A571" s="2">
        <v>318</v>
      </c>
      <c r="B571" s="2" t="s">
        <v>9</v>
      </c>
      <c r="C571" s="2" t="s">
        <v>870</v>
      </c>
      <c r="D571" s="2" t="s">
        <v>566</v>
      </c>
      <c r="E571" s="2">
        <v>80208</v>
      </c>
      <c r="F571" s="2" t="s">
        <v>496</v>
      </c>
      <c r="G571" s="2" t="s">
        <v>36</v>
      </c>
      <c r="H571" s="2">
        <v>1</v>
      </c>
      <c r="I571" s="2" t="s">
        <v>39</v>
      </c>
      <c r="J571" s="2" t="str">
        <f>VLOOKUP(E571,[1]LL_Hub!$A$1:$B$13,2,FALSE)</f>
        <v>Denver</v>
      </c>
      <c r="K571" t="str">
        <f>VLOOKUP(D571,'[2]product Table data'!$A$2:$B$12,2,FALSE)</f>
        <v>Female</v>
      </c>
      <c r="L571" t="str">
        <f>VLOOKUP($D571,'[2]product Table data'!$A$2:$G$12,L$1,FALSE)</f>
        <v>Casual n Light</v>
      </c>
      <c r="M571" t="str">
        <f>VLOOKUP($D571,'[2]product Table data'!$A$2:$G$12,M$1,FALSE)</f>
        <v>Guatemala</v>
      </c>
      <c r="N571" t="str">
        <f>VLOOKUP($D571,'[2]product Table data'!$A$2:$G$12,N$1,FALSE)</f>
        <v>Central America</v>
      </c>
      <c r="O571">
        <f>VLOOKUP($D571,'[2]product Table data'!$A$2:$G$12,O$1,FALSE)</f>
        <v>25</v>
      </c>
      <c r="P571">
        <f>VLOOKUP($D571,'[2]product Table data'!$A$2:$G$12,P$1,FALSE)</f>
        <v>30</v>
      </c>
      <c r="Q571">
        <f t="shared" si="40"/>
        <v>5</v>
      </c>
      <c r="R571" t="str">
        <f t="shared" si="41"/>
        <v>Hub Risk</v>
      </c>
      <c r="S571" t="str">
        <f t="shared" si="42"/>
        <v>Style Risk</v>
      </c>
      <c r="T571" t="str">
        <f t="shared" si="43"/>
        <v>Risk</v>
      </c>
      <c r="U571" t="str">
        <f t="shared" si="44"/>
        <v>Low Value</v>
      </c>
    </row>
    <row r="572" spans="1:21" hidden="1" x14ac:dyDescent="0.2">
      <c r="A572" s="2">
        <v>319</v>
      </c>
      <c r="B572" s="2" t="s">
        <v>9</v>
      </c>
      <c r="C572" s="2" t="s">
        <v>871</v>
      </c>
      <c r="D572" s="2" t="s">
        <v>566</v>
      </c>
      <c r="E572" s="2">
        <v>80208</v>
      </c>
      <c r="F572" s="2" t="s">
        <v>496</v>
      </c>
      <c r="G572" s="2" t="s">
        <v>36</v>
      </c>
      <c r="H572" s="2">
        <v>1</v>
      </c>
      <c r="I572" s="2" t="s">
        <v>39</v>
      </c>
      <c r="J572" s="2" t="str">
        <f>VLOOKUP(E572,[1]LL_Hub!$A$1:$B$13,2,FALSE)</f>
        <v>Denver</v>
      </c>
      <c r="K572" t="str">
        <f>VLOOKUP(D572,'[2]product Table data'!$A$2:$B$12,2,FALSE)</f>
        <v>Female</v>
      </c>
      <c r="L572" t="str">
        <f>VLOOKUP($D572,'[2]product Table data'!$A$2:$G$12,L$1,FALSE)</f>
        <v>Casual n Light</v>
      </c>
      <c r="M572" t="str">
        <f>VLOOKUP($D572,'[2]product Table data'!$A$2:$G$12,M$1,FALSE)</f>
        <v>Guatemala</v>
      </c>
      <c r="N572" t="str">
        <f>VLOOKUP($D572,'[2]product Table data'!$A$2:$G$12,N$1,FALSE)</f>
        <v>Central America</v>
      </c>
      <c r="O572">
        <f>VLOOKUP($D572,'[2]product Table data'!$A$2:$G$12,O$1,FALSE)</f>
        <v>25</v>
      </c>
      <c r="P572">
        <f>VLOOKUP($D572,'[2]product Table data'!$A$2:$G$12,P$1,FALSE)</f>
        <v>30</v>
      </c>
      <c r="Q572">
        <f t="shared" si="40"/>
        <v>5</v>
      </c>
      <c r="R572" t="str">
        <f t="shared" si="41"/>
        <v>Hub Risk</v>
      </c>
      <c r="S572" t="str">
        <f t="shared" si="42"/>
        <v>Style Risk</v>
      </c>
      <c r="T572" t="str">
        <f t="shared" si="43"/>
        <v>Risk</v>
      </c>
      <c r="U572" t="str">
        <f t="shared" si="44"/>
        <v>Low Value</v>
      </c>
    </row>
    <row r="573" spans="1:21" hidden="1" x14ac:dyDescent="0.2">
      <c r="A573" s="2">
        <v>320</v>
      </c>
      <c r="B573" s="2" t="s">
        <v>9</v>
      </c>
      <c r="C573" s="2" t="s">
        <v>872</v>
      </c>
      <c r="D573" s="2" t="s">
        <v>566</v>
      </c>
      <c r="E573" s="2">
        <v>80208</v>
      </c>
      <c r="F573" s="2" t="s">
        <v>496</v>
      </c>
      <c r="G573" s="2" t="s">
        <v>36</v>
      </c>
      <c r="H573" s="2">
        <v>1</v>
      </c>
      <c r="I573" s="2" t="s">
        <v>39</v>
      </c>
      <c r="J573" s="2" t="str">
        <f>VLOOKUP(E573,[1]LL_Hub!$A$1:$B$13,2,FALSE)</f>
        <v>Denver</v>
      </c>
      <c r="K573" t="str">
        <f>VLOOKUP(D573,'[2]product Table data'!$A$2:$B$12,2,FALSE)</f>
        <v>Female</v>
      </c>
      <c r="L573" t="str">
        <f>VLOOKUP($D573,'[2]product Table data'!$A$2:$G$12,L$1,FALSE)</f>
        <v>Casual n Light</v>
      </c>
      <c r="M573" t="str">
        <f>VLOOKUP($D573,'[2]product Table data'!$A$2:$G$12,M$1,FALSE)</f>
        <v>Guatemala</v>
      </c>
      <c r="N573" t="str">
        <f>VLOOKUP($D573,'[2]product Table data'!$A$2:$G$12,N$1,FALSE)</f>
        <v>Central America</v>
      </c>
      <c r="O573">
        <f>VLOOKUP($D573,'[2]product Table data'!$A$2:$G$12,O$1,FALSE)</f>
        <v>25</v>
      </c>
      <c r="P573">
        <f>VLOOKUP($D573,'[2]product Table data'!$A$2:$G$12,P$1,FALSE)</f>
        <v>30</v>
      </c>
      <c r="Q573">
        <f t="shared" si="40"/>
        <v>5</v>
      </c>
      <c r="R573" t="str">
        <f t="shared" si="41"/>
        <v>Hub Risk</v>
      </c>
      <c r="S573" t="str">
        <f t="shared" si="42"/>
        <v>Style Risk</v>
      </c>
      <c r="T573" t="str">
        <f t="shared" si="43"/>
        <v>Risk</v>
      </c>
      <c r="U573" t="str">
        <f t="shared" si="44"/>
        <v>Low Value</v>
      </c>
    </row>
    <row r="574" spans="1:21" hidden="1" x14ac:dyDescent="0.2">
      <c r="A574" s="2">
        <v>321</v>
      </c>
      <c r="B574" s="2" t="s">
        <v>9</v>
      </c>
      <c r="C574" s="2" t="s">
        <v>873</v>
      </c>
      <c r="D574" s="2" t="s">
        <v>566</v>
      </c>
      <c r="E574" s="2">
        <v>80208</v>
      </c>
      <c r="F574" s="2" t="s">
        <v>496</v>
      </c>
      <c r="G574" s="2" t="s">
        <v>36</v>
      </c>
      <c r="H574" s="2">
        <v>1</v>
      </c>
      <c r="I574" s="2" t="s">
        <v>39</v>
      </c>
      <c r="J574" s="2" t="str">
        <f>VLOOKUP(E574,[1]LL_Hub!$A$1:$B$13,2,FALSE)</f>
        <v>Denver</v>
      </c>
      <c r="K574" t="str">
        <f>VLOOKUP(D574,'[2]product Table data'!$A$2:$B$12,2,FALSE)</f>
        <v>Female</v>
      </c>
      <c r="L574" t="str">
        <f>VLOOKUP($D574,'[2]product Table data'!$A$2:$G$12,L$1,FALSE)</f>
        <v>Casual n Light</v>
      </c>
      <c r="M574" t="str">
        <f>VLOOKUP($D574,'[2]product Table data'!$A$2:$G$12,M$1,FALSE)</f>
        <v>Guatemala</v>
      </c>
      <c r="N574" t="str">
        <f>VLOOKUP($D574,'[2]product Table data'!$A$2:$G$12,N$1,FALSE)</f>
        <v>Central America</v>
      </c>
      <c r="O574">
        <f>VLOOKUP($D574,'[2]product Table data'!$A$2:$G$12,O$1,FALSE)</f>
        <v>25</v>
      </c>
      <c r="P574">
        <f>VLOOKUP($D574,'[2]product Table data'!$A$2:$G$12,P$1,FALSE)</f>
        <v>30</v>
      </c>
      <c r="Q574">
        <f t="shared" si="40"/>
        <v>5</v>
      </c>
      <c r="R574" t="str">
        <f t="shared" si="41"/>
        <v>Hub Risk</v>
      </c>
      <c r="S574" t="str">
        <f t="shared" si="42"/>
        <v>Style Risk</v>
      </c>
      <c r="T574" t="str">
        <f t="shared" si="43"/>
        <v>Risk</v>
      </c>
      <c r="U574" t="str">
        <f t="shared" si="44"/>
        <v>Low Value</v>
      </c>
    </row>
    <row r="575" spans="1:21" hidden="1" x14ac:dyDescent="0.2">
      <c r="A575" s="2">
        <v>322</v>
      </c>
      <c r="B575" s="2" t="s">
        <v>9</v>
      </c>
      <c r="C575" s="2" t="s">
        <v>874</v>
      </c>
      <c r="D575" s="2" t="s">
        <v>566</v>
      </c>
      <c r="E575" s="2">
        <v>80208</v>
      </c>
      <c r="F575" s="2" t="s">
        <v>496</v>
      </c>
      <c r="G575" s="2" t="s">
        <v>36</v>
      </c>
      <c r="H575" s="2">
        <v>1</v>
      </c>
      <c r="I575" s="2" t="s">
        <v>39</v>
      </c>
      <c r="J575" s="2" t="str">
        <f>VLOOKUP(E575,[1]LL_Hub!$A$1:$B$13,2,FALSE)</f>
        <v>Denver</v>
      </c>
      <c r="K575" t="str">
        <f>VLOOKUP(D575,'[2]product Table data'!$A$2:$B$12,2,FALSE)</f>
        <v>Female</v>
      </c>
      <c r="L575" t="str">
        <f>VLOOKUP($D575,'[2]product Table data'!$A$2:$G$12,L$1,FALSE)</f>
        <v>Casual n Light</v>
      </c>
      <c r="M575" t="str">
        <f>VLOOKUP($D575,'[2]product Table data'!$A$2:$G$12,M$1,FALSE)</f>
        <v>Guatemala</v>
      </c>
      <c r="N575" t="str">
        <f>VLOOKUP($D575,'[2]product Table data'!$A$2:$G$12,N$1,FALSE)</f>
        <v>Central America</v>
      </c>
      <c r="O575">
        <f>VLOOKUP($D575,'[2]product Table data'!$A$2:$G$12,O$1,FALSE)</f>
        <v>25</v>
      </c>
      <c r="P575">
        <f>VLOOKUP($D575,'[2]product Table data'!$A$2:$G$12,P$1,FALSE)</f>
        <v>30</v>
      </c>
      <c r="Q575">
        <f t="shared" si="40"/>
        <v>5</v>
      </c>
      <c r="R575" t="str">
        <f t="shared" si="41"/>
        <v>Hub Risk</v>
      </c>
      <c r="S575" t="str">
        <f t="shared" si="42"/>
        <v>Style Risk</v>
      </c>
      <c r="T575" t="str">
        <f t="shared" si="43"/>
        <v>Risk</v>
      </c>
      <c r="U575" t="str">
        <f t="shared" si="44"/>
        <v>Low Value</v>
      </c>
    </row>
    <row r="576" spans="1:21" hidden="1" x14ac:dyDescent="0.2">
      <c r="A576" s="2">
        <v>323</v>
      </c>
      <c r="B576" s="2" t="s">
        <v>9</v>
      </c>
      <c r="C576" s="2" t="s">
        <v>875</v>
      </c>
      <c r="D576" s="2" t="s">
        <v>566</v>
      </c>
      <c r="E576" s="2">
        <v>80208</v>
      </c>
      <c r="F576" s="2" t="s">
        <v>496</v>
      </c>
      <c r="G576" s="2" t="s">
        <v>36</v>
      </c>
      <c r="H576" s="2">
        <v>1</v>
      </c>
      <c r="I576" s="2" t="s">
        <v>39</v>
      </c>
      <c r="J576" s="2" t="str">
        <f>VLOOKUP(E576,[1]LL_Hub!$A$1:$B$13,2,FALSE)</f>
        <v>Denver</v>
      </c>
      <c r="K576" t="str">
        <f>VLOOKUP(D576,'[2]product Table data'!$A$2:$B$12,2,FALSE)</f>
        <v>Female</v>
      </c>
      <c r="L576" t="str">
        <f>VLOOKUP($D576,'[2]product Table data'!$A$2:$G$12,L$1,FALSE)</f>
        <v>Casual n Light</v>
      </c>
      <c r="M576" t="str">
        <f>VLOOKUP($D576,'[2]product Table data'!$A$2:$G$12,M$1,FALSE)</f>
        <v>Guatemala</v>
      </c>
      <c r="N576" t="str">
        <f>VLOOKUP($D576,'[2]product Table data'!$A$2:$G$12,N$1,FALSE)</f>
        <v>Central America</v>
      </c>
      <c r="O576">
        <f>VLOOKUP($D576,'[2]product Table data'!$A$2:$G$12,O$1,FALSE)</f>
        <v>25</v>
      </c>
      <c r="P576">
        <f>VLOOKUP($D576,'[2]product Table data'!$A$2:$G$12,P$1,FALSE)</f>
        <v>30</v>
      </c>
      <c r="Q576">
        <f t="shared" si="40"/>
        <v>5</v>
      </c>
      <c r="R576" t="str">
        <f t="shared" si="41"/>
        <v>Hub Risk</v>
      </c>
      <c r="S576" t="str">
        <f t="shared" si="42"/>
        <v>Style Risk</v>
      </c>
      <c r="T576" t="str">
        <f t="shared" si="43"/>
        <v>Risk</v>
      </c>
      <c r="U576" t="str">
        <f t="shared" si="44"/>
        <v>Low Value</v>
      </c>
    </row>
    <row r="577" spans="1:21" hidden="1" x14ac:dyDescent="0.2">
      <c r="A577" s="2">
        <v>324</v>
      </c>
      <c r="B577" s="2" t="s">
        <v>9</v>
      </c>
      <c r="C577" s="2" t="s">
        <v>876</v>
      </c>
      <c r="D577" s="2" t="s">
        <v>566</v>
      </c>
      <c r="E577" s="2">
        <v>80208</v>
      </c>
      <c r="F577" s="2" t="s">
        <v>496</v>
      </c>
      <c r="G577" s="2" t="s">
        <v>36</v>
      </c>
      <c r="H577" s="2">
        <v>1</v>
      </c>
      <c r="I577" s="2" t="s">
        <v>39</v>
      </c>
      <c r="J577" s="2" t="str">
        <f>VLOOKUP(E577,[1]LL_Hub!$A$1:$B$13,2,FALSE)</f>
        <v>Denver</v>
      </c>
      <c r="K577" t="str">
        <f>VLOOKUP(D577,'[2]product Table data'!$A$2:$B$12,2,FALSE)</f>
        <v>Female</v>
      </c>
      <c r="L577" t="str">
        <f>VLOOKUP($D577,'[2]product Table data'!$A$2:$G$12,L$1,FALSE)</f>
        <v>Casual n Light</v>
      </c>
      <c r="M577" t="str">
        <f>VLOOKUP($D577,'[2]product Table data'!$A$2:$G$12,M$1,FALSE)</f>
        <v>Guatemala</v>
      </c>
      <c r="N577" t="str">
        <f>VLOOKUP($D577,'[2]product Table data'!$A$2:$G$12,N$1,FALSE)</f>
        <v>Central America</v>
      </c>
      <c r="O577">
        <f>VLOOKUP($D577,'[2]product Table data'!$A$2:$G$12,O$1,FALSE)</f>
        <v>25</v>
      </c>
      <c r="P577">
        <f>VLOOKUP($D577,'[2]product Table data'!$A$2:$G$12,P$1,FALSE)</f>
        <v>30</v>
      </c>
      <c r="Q577">
        <f t="shared" si="40"/>
        <v>5</v>
      </c>
      <c r="R577" t="str">
        <f t="shared" si="41"/>
        <v>Hub Risk</v>
      </c>
      <c r="S577" t="str">
        <f t="shared" si="42"/>
        <v>Style Risk</v>
      </c>
      <c r="T577" t="str">
        <f t="shared" si="43"/>
        <v>Risk</v>
      </c>
      <c r="U577" t="str">
        <f t="shared" si="44"/>
        <v>Low Value</v>
      </c>
    </row>
    <row r="578" spans="1:21" hidden="1" x14ac:dyDescent="0.2">
      <c r="A578" s="2">
        <v>325</v>
      </c>
      <c r="B578" s="2" t="s">
        <v>9</v>
      </c>
      <c r="C578" s="2" t="s">
        <v>877</v>
      </c>
      <c r="D578" s="2" t="s">
        <v>566</v>
      </c>
      <c r="E578" s="2">
        <v>80208</v>
      </c>
      <c r="F578" s="2" t="s">
        <v>496</v>
      </c>
      <c r="G578" s="2" t="s">
        <v>36</v>
      </c>
      <c r="H578" s="2">
        <v>1</v>
      </c>
      <c r="I578" s="2" t="s">
        <v>39</v>
      </c>
      <c r="J578" s="2" t="str">
        <f>VLOOKUP(E578,[1]LL_Hub!$A$1:$B$13,2,FALSE)</f>
        <v>Denver</v>
      </c>
      <c r="K578" t="str">
        <f>VLOOKUP(D578,'[2]product Table data'!$A$2:$B$12,2,FALSE)</f>
        <v>Female</v>
      </c>
      <c r="L578" t="str">
        <f>VLOOKUP($D578,'[2]product Table data'!$A$2:$G$12,L$1,FALSE)</f>
        <v>Casual n Light</v>
      </c>
      <c r="M578" t="str">
        <f>VLOOKUP($D578,'[2]product Table data'!$A$2:$G$12,M$1,FALSE)</f>
        <v>Guatemala</v>
      </c>
      <c r="N578" t="str">
        <f>VLOOKUP($D578,'[2]product Table data'!$A$2:$G$12,N$1,FALSE)</f>
        <v>Central America</v>
      </c>
      <c r="O578">
        <f>VLOOKUP($D578,'[2]product Table data'!$A$2:$G$12,O$1,FALSE)</f>
        <v>25</v>
      </c>
      <c r="P578">
        <f>VLOOKUP($D578,'[2]product Table data'!$A$2:$G$12,P$1,FALSE)</f>
        <v>30</v>
      </c>
      <c r="Q578">
        <f t="shared" si="40"/>
        <v>5</v>
      </c>
      <c r="R578" t="str">
        <f t="shared" si="41"/>
        <v>Hub Risk</v>
      </c>
      <c r="S578" t="str">
        <f t="shared" si="42"/>
        <v>Style Risk</v>
      </c>
      <c r="T578" t="str">
        <f t="shared" si="43"/>
        <v>Risk</v>
      </c>
      <c r="U578" t="str">
        <f t="shared" si="44"/>
        <v>Low Value</v>
      </c>
    </row>
    <row r="579" spans="1:21" hidden="1" x14ac:dyDescent="0.2">
      <c r="A579" s="2">
        <v>326</v>
      </c>
      <c r="B579" s="2" t="s">
        <v>9</v>
      </c>
      <c r="C579" s="2" t="s">
        <v>878</v>
      </c>
      <c r="D579" s="2" t="s">
        <v>566</v>
      </c>
      <c r="E579" s="2">
        <v>80208</v>
      </c>
      <c r="F579" s="2" t="s">
        <v>496</v>
      </c>
      <c r="G579" s="2" t="s">
        <v>36</v>
      </c>
      <c r="H579" s="2">
        <v>1</v>
      </c>
      <c r="I579" s="2" t="s">
        <v>39</v>
      </c>
      <c r="J579" s="2" t="str">
        <f>VLOOKUP(E579,[1]LL_Hub!$A$1:$B$13,2,FALSE)</f>
        <v>Denver</v>
      </c>
      <c r="K579" t="str">
        <f>VLOOKUP(D579,'[2]product Table data'!$A$2:$B$12,2,FALSE)</f>
        <v>Female</v>
      </c>
      <c r="L579" t="str">
        <f>VLOOKUP($D579,'[2]product Table data'!$A$2:$G$12,L$1,FALSE)</f>
        <v>Casual n Light</v>
      </c>
      <c r="M579" t="str">
        <f>VLOOKUP($D579,'[2]product Table data'!$A$2:$G$12,M$1,FALSE)</f>
        <v>Guatemala</v>
      </c>
      <c r="N579" t="str">
        <f>VLOOKUP($D579,'[2]product Table data'!$A$2:$G$12,N$1,FALSE)</f>
        <v>Central America</v>
      </c>
      <c r="O579">
        <f>VLOOKUP($D579,'[2]product Table data'!$A$2:$G$12,O$1,FALSE)</f>
        <v>25</v>
      </c>
      <c r="P579">
        <f>VLOOKUP($D579,'[2]product Table data'!$A$2:$G$12,P$1,FALSE)</f>
        <v>30</v>
      </c>
      <c r="Q579">
        <f t="shared" ref="Q579:Q642" si="45">P579-O579</f>
        <v>5</v>
      </c>
      <c r="R579" t="str">
        <f t="shared" ref="R579:R642" si="46">IF(OR(J579="Los Angeles",J579="Denver"),"Hub Risk","-")</f>
        <v>Hub Risk</v>
      </c>
      <c r="S579" t="str">
        <f t="shared" ref="S579:S642" si="47">IF(OR(L579="Casual n Light",L579="Fancy Sheek"),"Style Risk","-")</f>
        <v>Style Risk</v>
      </c>
      <c r="T579" t="str">
        <f t="shared" ref="T579:T642" si="48">IF(AND(R579="Hub Risk", S579="Style Risk"), "Risk", "-")</f>
        <v>Risk</v>
      </c>
      <c r="U579" t="str">
        <f t="shared" ref="U579:U642" si="49">IF(Q579&lt;=5, "Low Value", "High Value")</f>
        <v>Low Value</v>
      </c>
    </row>
    <row r="580" spans="1:21" hidden="1" x14ac:dyDescent="0.2">
      <c r="A580" s="2">
        <v>327</v>
      </c>
      <c r="B580" s="2" t="s">
        <v>9</v>
      </c>
      <c r="C580" s="2" t="s">
        <v>879</v>
      </c>
      <c r="D580" s="2" t="s">
        <v>566</v>
      </c>
      <c r="E580" s="2">
        <v>80208</v>
      </c>
      <c r="F580" s="2" t="s">
        <v>496</v>
      </c>
      <c r="G580" s="2" t="s">
        <v>36</v>
      </c>
      <c r="H580" s="2">
        <v>1</v>
      </c>
      <c r="I580" s="2" t="s">
        <v>39</v>
      </c>
      <c r="J580" s="2" t="str">
        <f>VLOOKUP(E580,[1]LL_Hub!$A$1:$B$13,2,FALSE)</f>
        <v>Denver</v>
      </c>
      <c r="K580" t="str">
        <f>VLOOKUP(D580,'[2]product Table data'!$A$2:$B$12,2,FALSE)</f>
        <v>Female</v>
      </c>
      <c r="L580" t="str">
        <f>VLOOKUP($D580,'[2]product Table data'!$A$2:$G$12,L$1,FALSE)</f>
        <v>Casual n Light</v>
      </c>
      <c r="M580" t="str">
        <f>VLOOKUP($D580,'[2]product Table data'!$A$2:$G$12,M$1,FALSE)</f>
        <v>Guatemala</v>
      </c>
      <c r="N580" t="str">
        <f>VLOOKUP($D580,'[2]product Table data'!$A$2:$G$12,N$1,FALSE)</f>
        <v>Central America</v>
      </c>
      <c r="O580">
        <f>VLOOKUP($D580,'[2]product Table data'!$A$2:$G$12,O$1,FALSE)</f>
        <v>25</v>
      </c>
      <c r="P580">
        <f>VLOOKUP($D580,'[2]product Table data'!$A$2:$G$12,P$1,FALSE)</f>
        <v>30</v>
      </c>
      <c r="Q580">
        <f t="shared" si="45"/>
        <v>5</v>
      </c>
      <c r="R580" t="str">
        <f t="shared" si="46"/>
        <v>Hub Risk</v>
      </c>
      <c r="S580" t="str">
        <f t="shared" si="47"/>
        <v>Style Risk</v>
      </c>
      <c r="T580" t="str">
        <f t="shared" si="48"/>
        <v>Risk</v>
      </c>
      <c r="U580" t="str">
        <f t="shared" si="49"/>
        <v>Low Value</v>
      </c>
    </row>
    <row r="581" spans="1:21" hidden="1" x14ac:dyDescent="0.2">
      <c r="A581" s="2">
        <v>328</v>
      </c>
      <c r="B581" s="2" t="s">
        <v>9</v>
      </c>
      <c r="C581" s="2" t="s">
        <v>880</v>
      </c>
      <c r="D581" s="2" t="s">
        <v>566</v>
      </c>
      <c r="E581" s="2">
        <v>80208</v>
      </c>
      <c r="F581" s="2" t="s">
        <v>496</v>
      </c>
      <c r="G581" s="2" t="s">
        <v>36</v>
      </c>
      <c r="H581" s="2">
        <v>1</v>
      </c>
      <c r="I581" s="2" t="s">
        <v>39</v>
      </c>
      <c r="J581" s="2" t="str">
        <f>VLOOKUP(E581,[1]LL_Hub!$A$1:$B$13,2,FALSE)</f>
        <v>Denver</v>
      </c>
      <c r="K581" t="str">
        <f>VLOOKUP(D581,'[2]product Table data'!$A$2:$B$12,2,FALSE)</f>
        <v>Female</v>
      </c>
      <c r="L581" t="str">
        <f>VLOOKUP($D581,'[2]product Table data'!$A$2:$G$12,L$1,FALSE)</f>
        <v>Casual n Light</v>
      </c>
      <c r="M581" t="str">
        <f>VLOOKUP($D581,'[2]product Table data'!$A$2:$G$12,M$1,FALSE)</f>
        <v>Guatemala</v>
      </c>
      <c r="N581" t="str">
        <f>VLOOKUP($D581,'[2]product Table data'!$A$2:$G$12,N$1,FALSE)</f>
        <v>Central America</v>
      </c>
      <c r="O581">
        <f>VLOOKUP($D581,'[2]product Table data'!$A$2:$G$12,O$1,FALSE)</f>
        <v>25</v>
      </c>
      <c r="P581">
        <f>VLOOKUP($D581,'[2]product Table data'!$A$2:$G$12,P$1,FALSE)</f>
        <v>30</v>
      </c>
      <c r="Q581">
        <f t="shared" si="45"/>
        <v>5</v>
      </c>
      <c r="R581" t="str">
        <f t="shared" si="46"/>
        <v>Hub Risk</v>
      </c>
      <c r="S581" t="str">
        <f t="shared" si="47"/>
        <v>Style Risk</v>
      </c>
      <c r="T581" t="str">
        <f t="shared" si="48"/>
        <v>Risk</v>
      </c>
      <c r="U581" t="str">
        <f t="shared" si="49"/>
        <v>Low Value</v>
      </c>
    </row>
    <row r="582" spans="1:21" hidden="1" x14ac:dyDescent="0.2">
      <c r="A582" s="2">
        <v>329</v>
      </c>
      <c r="B582" s="2" t="s">
        <v>9</v>
      </c>
      <c r="C582" s="2" t="s">
        <v>881</v>
      </c>
      <c r="D582" s="2" t="s">
        <v>566</v>
      </c>
      <c r="E582" s="2">
        <v>80208</v>
      </c>
      <c r="F582" s="2" t="s">
        <v>496</v>
      </c>
      <c r="G582" s="2" t="s">
        <v>36</v>
      </c>
      <c r="H582" s="2">
        <v>1</v>
      </c>
      <c r="I582" s="2" t="s">
        <v>39</v>
      </c>
      <c r="J582" s="2" t="str">
        <f>VLOOKUP(E582,[1]LL_Hub!$A$1:$B$13,2,FALSE)</f>
        <v>Denver</v>
      </c>
      <c r="K582" t="str">
        <f>VLOOKUP(D582,'[2]product Table data'!$A$2:$B$12,2,FALSE)</f>
        <v>Female</v>
      </c>
      <c r="L582" t="str">
        <f>VLOOKUP($D582,'[2]product Table data'!$A$2:$G$12,L$1,FALSE)</f>
        <v>Casual n Light</v>
      </c>
      <c r="M582" t="str">
        <f>VLOOKUP($D582,'[2]product Table data'!$A$2:$G$12,M$1,FALSE)</f>
        <v>Guatemala</v>
      </c>
      <c r="N582" t="str">
        <f>VLOOKUP($D582,'[2]product Table data'!$A$2:$G$12,N$1,FALSE)</f>
        <v>Central America</v>
      </c>
      <c r="O582">
        <f>VLOOKUP($D582,'[2]product Table data'!$A$2:$G$12,O$1,FALSE)</f>
        <v>25</v>
      </c>
      <c r="P582">
        <f>VLOOKUP($D582,'[2]product Table data'!$A$2:$G$12,P$1,FALSE)</f>
        <v>30</v>
      </c>
      <c r="Q582">
        <f t="shared" si="45"/>
        <v>5</v>
      </c>
      <c r="R582" t="str">
        <f t="shared" si="46"/>
        <v>Hub Risk</v>
      </c>
      <c r="S582" t="str">
        <f t="shared" si="47"/>
        <v>Style Risk</v>
      </c>
      <c r="T582" t="str">
        <f t="shared" si="48"/>
        <v>Risk</v>
      </c>
      <c r="U582" t="str">
        <f t="shared" si="49"/>
        <v>Low Value</v>
      </c>
    </row>
    <row r="583" spans="1:21" hidden="1" x14ac:dyDescent="0.2">
      <c r="A583" s="2">
        <v>330</v>
      </c>
      <c r="B583" s="2" t="s">
        <v>9</v>
      </c>
      <c r="C583" s="2" t="s">
        <v>882</v>
      </c>
      <c r="D583" s="2" t="s">
        <v>566</v>
      </c>
      <c r="E583" s="2">
        <v>80208</v>
      </c>
      <c r="F583" s="2" t="s">
        <v>496</v>
      </c>
      <c r="G583" s="2" t="s">
        <v>36</v>
      </c>
      <c r="H583" s="2">
        <v>1</v>
      </c>
      <c r="I583" s="2" t="s">
        <v>39</v>
      </c>
      <c r="J583" s="2" t="str">
        <f>VLOOKUP(E583,[1]LL_Hub!$A$1:$B$13,2,FALSE)</f>
        <v>Denver</v>
      </c>
      <c r="K583" t="str">
        <f>VLOOKUP(D583,'[2]product Table data'!$A$2:$B$12,2,FALSE)</f>
        <v>Female</v>
      </c>
      <c r="L583" t="str">
        <f>VLOOKUP($D583,'[2]product Table data'!$A$2:$G$12,L$1,FALSE)</f>
        <v>Casual n Light</v>
      </c>
      <c r="M583" t="str">
        <f>VLOOKUP($D583,'[2]product Table data'!$A$2:$G$12,M$1,FALSE)</f>
        <v>Guatemala</v>
      </c>
      <c r="N583" t="str">
        <f>VLOOKUP($D583,'[2]product Table data'!$A$2:$G$12,N$1,FALSE)</f>
        <v>Central America</v>
      </c>
      <c r="O583">
        <f>VLOOKUP($D583,'[2]product Table data'!$A$2:$G$12,O$1,FALSE)</f>
        <v>25</v>
      </c>
      <c r="P583">
        <f>VLOOKUP($D583,'[2]product Table data'!$A$2:$G$12,P$1,FALSE)</f>
        <v>30</v>
      </c>
      <c r="Q583">
        <f t="shared" si="45"/>
        <v>5</v>
      </c>
      <c r="R583" t="str">
        <f t="shared" si="46"/>
        <v>Hub Risk</v>
      </c>
      <c r="S583" t="str">
        <f t="shared" si="47"/>
        <v>Style Risk</v>
      </c>
      <c r="T583" t="str">
        <f t="shared" si="48"/>
        <v>Risk</v>
      </c>
      <c r="U583" t="str">
        <f t="shared" si="49"/>
        <v>Low Value</v>
      </c>
    </row>
    <row r="584" spans="1:21" hidden="1" x14ac:dyDescent="0.2">
      <c r="A584" s="2">
        <v>331</v>
      </c>
      <c r="B584" s="2" t="s">
        <v>9</v>
      </c>
      <c r="C584" s="2" t="s">
        <v>883</v>
      </c>
      <c r="D584" s="2" t="s">
        <v>566</v>
      </c>
      <c r="E584" s="2">
        <v>80208</v>
      </c>
      <c r="F584" s="2" t="s">
        <v>496</v>
      </c>
      <c r="G584" s="2" t="s">
        <v>36</v>
      </c>
      <c r="H584" s="2">
        <v>1</v>
      </c>
      <c r="I584" s="2" t="s">
        <v>39</v>
      </c>
      <c r="J584" s="2" t="str">
        <f>VLOOKUP(E584,[1]LL_Hub!$A$1:$B$13,2,FALSE)</f>
        <v>Denver</v>
      </c>
      <c r="K584" t="str">
        <f>VLOOKUP(D584,'[2]product Table data'!$A$2:$B$12,2,FALSE)</f>
        <v>Female</v>
      </c>
      <c r="L584" t="str">
        <f>VLOOKUP($D584,'[2]product Table data'!$A$2:$G$12,L$1,FALSE)</f>
        <v>Casual n Light</v>
      </c>
      <c r="M584" t="str">
        <f>VLOOKUP($D584,'[2]product Table data'!$A$2:$G$12,M$1,FALSE)</f>
        <v>Guatemala</v>
      </c>
      <c r="N584" t="str">
        <f>VLOOKUP($D584,'[2]product Table data'!$A$2:$G$12,N$1,FALSE)</f>
        <v>Central America</v>
      </c>
      <c r="O584">
        <f>VLOOKUP($D584,'[2]product Table data'!$A$2:$G$12,O$1,FALSE)</f>
        <v>25</v>
      </c>
      <c r="P584">
        <f>VLOOKUP($D584,'[2]product Table data'!$A$2:$G$12,P$1,FALSE)</f>
        <v>30</v>
      </c>
      <c r="Q584">
        <f t="shared" si="45"/>
        <v>5</v>
      </c>
      <c r="R584" t="str">
        <f t="shared" si="46"/>
        <v>Hub Risk</v>
      </c>
      <c r="S584" t="str">
        <f t="shared" si="47"/>
        <v>Style Risk</v>
      </c>
      <c r="T584" t="str">
        <f t="shared" si="48"/>
        <v>Risk</v>
      </c>
      <c r="U584" t="str">
        <f t="shared" si="49"/>
        <v>Low Value</v>
      </c>
    </row>
    <row r="585" spans="1:21" hidden="1" x14ac:dyDescent="0.2">
      <c r="A585" s="2">
        <v>332</v>
      </c>
      <c r="B585" s="2" t="s">
        <v>9</v>
      </c>
      <c r="C585" s="2" t="s">
        <v>884</v>
      </c>
      <c r="D585" s="2" t="s">
        <v>566</v>
      </c>
      <c r="E585" s="2">
        <v>80208</v>
      </c>
      <c r="F585" s="2" t="s">
        <v>496</v>
      </c>
      <c r="G585" s="2" t="s">
        <v>36</v>
      </c>
      <c r="H585" s="2">
        <v>1</v>
      </c>
      <c r="I585" s="2" t="s">
        <v>39</v>
      </c>
      <c r="J585" s="2" t="str">
        <f>VLOOKUP(E585,[1]LL_Hub!$A$1:$B$13,2,FALSE)</f>
        <v>Denver</v>
      </c>
      <c r="K585" t="str">
        <f>VLOOKUP(D585,'[2]product Table data'!$A$2:$B$12,2,FALSE)</f>
        <v>Female</v>
      </c>
      <c r="L585" t="str">
        <f>VLOOKUP($D585,'[2]product Table data'!$A$2:$G$12,L$1,FALSE)</f>
        <v>Casual n Light</v>
      </c>
      <c r="M585" t="str">
        <f>VLOOKUP($D585,'[2]product Table data'!$A$2:$G$12,M$1,FALSE)</f>
        <v>Guatemala</v>
      </c>
      <c r="N585" t="str">
        <f>VLOOKUP($D585,'[2]product Table data'!$A$2:$G$12,N$1,FALSE)</f>
        <v>Central America</v>
      </c>
      <c r="O585">
        <f>VLOOKUP($D585,'[2]product Table data'!$A$2:$G$12,O$1,FALSE)</f>
        <v>25</v>
      </c>
      <c r="P585">
        <f>VLOOKUP($D585,'[2]product Table data'!$A$2:$G$12,P$1,FALSE)</f>
        <v>30</v>
      </c>
      <c r="Q585">
        <f t="shared" si="45"/>
        <v>5</v>
      </c>
      <c r="R585" t="str">
        <f t="shared" si="46"/>
        <v>Hub Risk</v>
      </c>
      <c r="S585" t="str">
        <f t="shared" si="47"/>
        <v>Style Risk</v>
      </c>
      <c r="T585" t="str">
        <f t="shared" si="48"/>
        <v>Risk</v>
      </c>
      <c r="U585" t="str">
        <f t="shared" si="49"/>
        <v>Low Value</v>
      </c>
    </row>
    <row r="586" spans="1:21" hidden="1" x14ac:dyDescent="0.2">
      <c r="A586" s="2">
        <v>333</v>
      </c>
      <c r="B586" s="2" t="s">
        <v>9</v>
      </c>
      <c r="C586" s="2" t="s">
        <v>885</v>
      </c>
      <c r="D586" s="2" t="s">
        <v>566</v>
      </c>
      <c r="E586" s="2">
        <v>80208</v>
      </c>
      <c r="F586" s="2" t="s">
        <v>496</v>
      </c>
      <c r="G586" s="2" t="s">
        <v>36</v>
      </c>
      <c r="H586" s="2">
        <v>1</v>
      </c>
      <c r="I586" s="2" t="s">
        <v>39</v>
      </c>
      <c r="J586" s="2" t="str">
        <f>VLOOKUP(E586,[1]LL_Hub!$A$1:$B$13,2,FALSE)</f>
        <v>Denver</v>
      </c>
      <c r="K586" t="str">
        <f>VLOOKUP(D586,'[2]product Table data'!$A$2:$B$12,2,FALSE)</f>
        <v>Female</v>
      </c>
      <c r="L586" t="str">
        <f>VLOOKUP($D586,'[2]product Table data'!$A$2:$G$12,L$1,FALSE)</f>
        <v>Casual n Light</v>
      </c>
      <c r="M586" t="str">
        <f>VLOOKUP($D586,'[2]product Table data'!$A$2:$G$12,M$1,FALSE)</f>
        <v>Guatemala</v>
      </c>
      <c r="N586" t="str">
        <f>VLOOKUP($D586,'[2]product Table data'!$A$2:$G$12,N$1,FALSE)</f>
        <v>Central America</v>
      </c>
      <c r="O586">
        <f>VLOOKUP($D586,'[2]product Table data'!$A$2:$G$12,O$1,FALSE)</f>
        <v>25</v>
      </c>
      <c r="P586">
        <f>VLOOKUP($D586,'[2]product Table data'!$A$2:$G$12,P$1,FALSE)</f>
        <v>30</v>
      </c>
      <c r="Q586">
        <f t="shared" si="45"/>
        <v>5</v>
      </c>
      <c r="R586" t="str">
        <f t="shared" si="46"/>
        <v>Hub Risk</v>
      </c>
      <c r="S586" t="str">
        <f t="shared" si="47"/>
        <v>Style Risk</v>
      </c>
      <c r="T586" t="str">
        <f t="shared" si="48"/>
        <v>Risk</v>
      </c>
      <c r="U586" t="str">
        <f t="shared" si="49"/>
        <v>Low Value</v>
      </c>
    </row>
    <row r="587" spans="1:21" hidden="1" x14ac:dyDescent="0.2">
      <c r="A587" s="2">
        <v>334</v>
      </c>
      <c r="B587" s="2" t="s">
        <v>9</v>
      </c>
      <c r="C587" s="2" t="s">
        <v>886</v>
      </c>
      <c r="D587" s="2" t="s">
        <v>566</v>
      </c>
      <c r="E587" s="2">
        <v>80208</v>
      </c>
      <c r="F587" s="2" t="s">
        <v>496</v>
      </c>
      <c r="G587" s="2" t="s">
        <v>36</v>
      </c>
      <c r="H587" s="2">
        <v>1</v>
      </c>
      <c r="I587" s="2" t="s">
        <v>39</v>
      </c>
      <c r="J587" s="2" t="str">
        <f>VLOOKUP(E587,[1]LL_Hub!$A$1:$B$13,2,FALSE)</f>
        <v>Denver</v>
      </c>
      <c r="K587" t="str">
        <f>VLOOKUP(D587,'[2]product Table data'!$A$2:$B$12,2,FALSE)</f>
        <v>Female</v>
      </c>
      <c r="L587" t="str">
        <f>VLOOKUP($D587,'[2]product Table data'!$A$2:$G$12,L$1,FALSE)</f>
        <v>Casual n Light</v>
      </c>
      <c r="M587" t="str">
        <f>VLOOKUP($D587,'[2]product Table data'!$A$2:$G$12,M$1,FALSE)</f>
        <v>Guatemala</v>
      </c>
      <c r="N587" t="str">
        <f>VLOOKUP($D587,'[2]product Table data'!$A$2:$G$12,N$1,FALSE)</f>
        <v>Central America</v>
      </c>
      <c r="O587">
        <f>VLOOKUP($D587,'[2]product Table data'!$A$2:$G$12,O$1,FALSE)</f>
        <v>25</v>
      </c>
      <c r="P587">
        <f>VLOOKUP($D587,'[2]product Table data'!$A$2:$G$12,P$1,FALSE)</f>
        <v>30</v>
      </c>
      <c r="Q587">
        <f t="shared" si="45"/>
        <v>5</v>
      </c>
      <c r="R587" t="str">
        <f t="shared" si="46"/>
        <v>Hub Risk</v>
      </c>
      <c r="S587" t="str">
        <f t="shared" si="47"/>
        <v>Style Risk</v>
      </c>
      <c r="T587" t="str">
        <f t="shared" si="48"/>
        <v>Risk</v>
      </c>
      <c r="U587" t="str">
        <f t="shared" si="49"/>
        <v>Low Value</v>
      </c>
    </row>
    <row r="588" spans="1:21" hidden="1" x14ac:dyDescent="0.2">
      <c r="A588" s="2">
        <v>335</v>
      </c>
      <c r="B588" s="2" t="s">
        <v>9</v>
      </c>
      <c r="C588" s="2" t="s">
        <v>887</v>
      </c>
      <c r="D588" s="2" t="s">
        <v>566</v>
      </c>
      <c r="E588" s="2">
        <v>80208</v>
      </c>
      <c r="F588" s="2" t="s">
        <v>496</v>
      </c>
      <c r="G588" s="2" t="s">
        <v>36</v>
      </c>
      <c r="H588" s="2">
        <v>1</v>
      </c>
      <c r="I588" s="2" t="s">
        <v>39</v>
      </c>
      <c r="J588" s="2" t="str">
        <f>VLOOKUP(E588,[1]LL_Hub!$A$1:$B$13,2,FALSE)</f>
        <v>Denver</v>
      </c>
      <c r="K588" t="str">
        <f>VLOOKUP(D588,'[2]product Table data'!$A$2:$B$12,2,FALSE)</f>
        <v>Female</v>
      </c>
      <c r="L588" t="str">
        <f>VLOOKUP($D588,'[2]product Table data'!$A$2:$G$12,L$1,FALSE)</f>
        <v>Casual n Light</v>
      </c>
      <c r="M588" t="str">
        <f>VLOOKUP($D588,'[2]product Table data'!$A$2:$G$12,M$1,FALSE)</f>
        <v>Guatemala</v>
      </c>
      <c r="N588" t="str">
        <f>VLOOKUP($D588,'[2]product Table data'!$A$2:$G$12,N$1,FALSE)</f>
        <v>Central America</v>
      </c>
      <c r="O588">
        <f>VLOOKUP($D588,'[2]product Table data'!$A$2:$G$12,O$1,FALSE)</f>
        <v>25</v>
      </c>
      <c r="P588">
        <f>VLOOKUP($D588,'[2]product Table data'!$A$2:$G$12,P$1,FALSE)</f>
        <v>30</v>
      </c>
      <c r="Q588">
        <f t="shared" si="45"/>
        <v>5</v>
      </c>
      <c r="R588" t="str">
        <f t="shared" si="46"/>
        <v>Hub Risk</v>
      </c>
      <c r="S588" t="str">
        <f t="shared" si="47"/>
        <v>Style Risk</v>
      </c>
      <c r="T588" t="str">
        <f t="shared" si="48"/>
        <v>Risk</v>
      </c>
      <c r="U588" t="str">
        <f t="shared" si="49"/>
        <v>Low Value</v>
      </c>
    </row>
    <row r="589" spans="1:21" hidden="1" x14ac:dyDescent="0.2">
      <c r="A589" s="2">
        <v>336</v>
      </c>
      <c r="B589" s="2" t="s">
        <v>9</v>
      </c>
      <c r="C589" s="2" t="s">
        <v>888</v>
      </c>
      <c r="D589" s="2" t="s">
        <v>566</v>
      </c>
      <c r="E589" s="2">
        <v>80208</v>
      </c>
      <c r="F589" s="2" t="s">
        <v>496</v>
      </c>
      <c r="G589" s="2" t="s">
        <v>36</v>
      </c>
      <c r="H589" s="2">
        <v>1</v>
      </c>
      <c r="I589" s="2" t="s">
        <v>39</v>
      </c>
      <c r="J589" s="2" t="str">
        <f>VLOOKUP(E589,[1]LL_Hub!$A$1:$B$13,2,FALSE)</f>
        <v>Denver</v>
      </c>
      <c r="K589" t="str">
        <f>VLOOKUP(D589,'[2]product Table data'!$A$2:$B$12,2,FALSE)</f>
        <v>Female</v>
      </c>
      <c r="L589" t="str">
        <f>VLOOKUP($D589,'[2]product Table data'!$A$2:$G$12,L$1,FALSE)</f>
        <v>Casual n Light</v>
      </c>
      <c r="M589" t="str">
        <f>VLOOKUP($D589,'[2]product Table data'!$A$2:$G$12,M$1,FALSE)</f>
        <v>Guatemala</v>
      </c>
      <c r="N589" t="str">
        <f>VLOOKUP($D589,'[2]product Table data'!$A$2:$G$12,N$1,FALSE)</f>
        <v>Central America</v>
      </c>
      <c r="O589">
        <f>VLOOKUP($D589,'[2]product Table data'!$A$2:$G$12,O$1,FALSE)</f>
        <v>25</v>
      </c>
      <c r="P589">
        <f>VLOOKUP($D589,'[2]product Table data'!$A$2:$G$12,P$1,FALSE)</f>
        <v>30</v>
      </c>
      <c r="Q589">
        <f t="shared" si="45"/>
        <v>5</v>
      </c>
      <c r="R589" t="str">
        <f t="shared" si="46"/>
        <v>Hub Risk</v>
      </c>
      <c r="S589" t="str">
        <f t="shared" si="47"/>
        <v>Style Risk</v>
      </c>
      <c r="T589" t="str">
        <f t="shared" si="48"/>
        <v>Risk</v>
      </c>
      <c r="U589" t="str">
        <f t="shared" si="49"/>
        <v>Low Value</v>
      </c>
    </row>
    <row r="590" spans="1:21" hidden="1" x14ac:dyDescent="0.2">
      <c r="A590" s="2">
        <v>337</v>
      </c>
      <c r="B590" s="2" t="s">
        <v>9</v>
      </c>
      <c r="C590" s="2" t="s">
        <v>889</v>
      </c>
      <c r="D590" s="2" t="s">
        <v>566</v>
      </c>
      <c r="E590" s="2">
        <v>80208</v>
      </c>
      <c r="F590" s="2" t="s">
        <v>890</v>
      </c>
      <c r="G590" s="2" t="s">
        <v>13</v>
      </c>
      <c r="H590" s="2">
        <v>1</v>
      </c>
      <c r="I590" s="2" t="s">
        <v>39</v>
      </c>
      <c r="J590" s="2" t="str">
        <f>VLOOKUP(E590,[1]LL_Hub!$A$1:$B$13,2,FALSE)</f>
        <v>Denver</v>
      </c>
      <c r="K590" t="str">
        <f>VLOOKUP(D590,'[2]product Table data'!$A$2:$B$12,2,FALSE)</f>
        <v>Female</v>
      </c>
      <c r="L590" t="str">
        <f>VLOOKUP($D590,'[2]product Table data'!$A$2:$G$12,L$1,FALSE)</f>
        <v>Casual n Light</v>
      </c>
      <c r="M590" t="str">
        <f>VLOOKUP($D590,'[2]product Table data'!$A$2:$G$12,M$1,FALSE)</f>
        <v>Guatemala</v>
      </c>
      <c r="N590" t="str">
        <f>VLOOKUP($D590,'[2]product Table data'!$A$2:$G$12,N$1,FALSE)</f>
        <v>Central America</v>
      </c>
      <c r="O590">
        <f>VLOOKUP($D590,'[2]product Table data'!$A$2:$G$12,O$1,FALSE)</f>
        <v>25</v>
      </c>
      <c r="P590">
        <f>VLOOKUP($D590,'[2]product Table data'!$A$2:$G$12,P$1,FALSE)</f>
        <v>30</v>
      </c>
      <c r="Q590">
        <f t="shared" si="45"/>
        <v>5</v>
      </c>
      <c r="R590" t="str">
        <f t="shared" si="46"/>
        <v>Hub Risk</v>
      </c>
      <c r="S590" t="str">
        <f t="shared" si="47"/>
        <v>Style Risk</v>
      </c>
      <c r="T590" t="str">
        <f t="shared" si="48"/>
        <v>Risk</v>
      </c>
      <c r="U590" t="str">
        <f t="shared" si="49"/>
        <v>Low Value</v>
      </c>
    </row>
    <row r="591" spans="1:21" hidden="1" x14ac:dyDescent="0.2">
      <c r="A591" s="2">
        <v>338</v>
      </c>
      <c r="B591" s="2" t="s">
        <v>9</v>
      </c>
      <c r="C591" s="2" t="s">
        <v>891</v>
      </c>
      <c r="D591" s="2" t="s">
        <v>566</v>
      </c>
      <c r="E591" s="2">
        <v>80208</v>
      </c>
      <c r="F591" s="2" t="s">
        <v>892</v>
      </c>
      <c r="G591" s="2" t="s">
        <v>13</v>
      </c>
      <c r="H591" s="2">
        <v>1</v>
      </c>
      <c r="I591" s="2" t="s">
        <v>39</v>
      </c>
      <c r="J591" s="2" t="str">
        <f>VLOOKUP(E591,[1]LL_Hub!$A$1:$B$13,2,FALSE)</f>
        <v>Denver</v>
      </c>
      <c r="K591" t="str">
        <f>VLOOKUP(D591,'[2]product Table data'!$A$2:$B$12,2,FALSE)</f>
        <v>Female</v>
      </c>
      <c r="L591" t="str">
        <f>VLOOKUP($D591,'[2]product Table data'!$A$2:$G$12,L$1,FALSE)</f>
        <v>Casual n Light</v>
      </c>
      <c r="M591" t="str">
        <f>VLOOKUP($D591,'[2]product Table data'!$A$2:$G$12,M$1,FALSE)</f>
        <v>Guatemala</v>
      </c>
      <c r="N591" t="str">
        <f>VLOOKUP($D591,'[2]product Table data'!$A$2:$G$12,N$1,FALSE)</f>
        <v>Central America</v>
      </c>
      <c r="O591">
        <f>VLOOKUP($D591,'[2]product Table data'!$A$2:$G$12,O$1,FALSE)</f>
        <v>25</v>
      </c>
      <c r="P591">
        <f>VLOOKUP($D591,'[2]product Table data'!$A$2:$G$12,P$1,FALSE)</f>
        <v>30</v>
      </c>
      <c r="Q591">
        <f t="shared" si="45"/>
        <v>5</v>
      </c>
      <c r="R591" t="str">
        <f t="shared" si="46"/>
        <v>Hub Risk</v>
      </c>
      <c r="S591" t="str">
        <f t="shared" si="47"/>
        <v>Style Risk</v>
      </c>
      <c r="T591" t="str">
        <f t="shared" si="48"/>
        <v>Risk</v>
      </c>
      <c r="U591" t="str">
        <f t="shared" si="49"/>
        <v>Low Value</v>
      </c>
    </row>
    <row r="592" spans="1:21" hidden="1" x14ac:dyDescent="0.2">
      <c r="A592" s="2">
        <v>339</v>
      </c>
      <c r="B592" s="2" t="s">
        <v>9</v>
      </c>
      <c r="C592" s="2" t="s">
        <v>893</v>
      </c>
      <c r="D592" s="2" t="s">
        <v>566</v>
      </c>
      <c r="E592" s="2">
        <v>80208</v>
      </c>
      <c r="F592" s="2" t="s">
        <v>894</v>
      </c>
      <c r="G592" s="2" t="s">
        <v>13</v>
      </c>
      <c r="H592" s="2">
        <v>1</v>
      </c>
      <c r="I592" s="2" t="s">
        <v>39</v>
      </c>
      <c r="J592" s="2" t="str">
        <f>VLOOKUP(E592,[1]LL_Hub!$A$1:$B$13,2,FALSE)</f>
        <v>Denver</v>
      </c>
      <c r="K592" t="str">
        <f>VLOOKUP(D592,'[2]product Table data'!$A$2:$B$12,2,FALSE)</f>
        <v>Female</v>
      </c>
      <c r="L592" t="str">
        <f>VLOOKUP($D592,'[2]product Table data'!$A$2:$G$12,L$1,FALSE)</f>
        <v>Casual n Light</v>
      </c>
      <c r="M592" t="str">
        <f>VLOOKUP($D592,'[2]product Table data'!$A$2:$G$12,M$1,FALSE)</f>
        <v>Guatemala</v>
      </c>
      <c r="N592" t="str">
        <f>VLOOKUP($D592,'[2]product Table data'!$A$2:$G$12,N$1,FALSE)</f>
        <v>Central America</v>
      </c>
      <c r="O592">
        <f>VLOOKUP($D592,'[2]product Table data'!$A$2:$G$12,O$1,FALSE)</f>
        <v>25</v>
      </c>
      <c r="P592">
        <f>VLOOKUP($D592,'[2]product Table data'!$A$2:$G$12,P$1,FALSE)</f>
        <v>30</v>
      </c>
      <c r="Q592">
        <f t="shared" si="45"/>
        <v>5</v>
      </c>
      <c r="R592" t="str">
        <f t="shared" si="46"/>
        <v>Hub Risk</v>
      </c>
      <c r="S592" t="str">
        <f t="shared" si="47"/>
        <v>Style Risk</v>
      </c>
      <c r="T592" t="str">
        <f t="shared" si="48"/>
        <v>Risk</v>
      </c>
      <c r="U592" t="str">
        <f t="shared" si="49"/>
        <v>Low Value</v>
      </c>
    </row>
    <row r="593" spans="1:21" hidden="1" x14ac:dyDescent="0.2">
      <c r="A593" s="2">
        <v>340</v>
      </c>
      <c r="B593" s="2" t="s">
        <v>9</v>
      </c>
      <c r="C593" s="2" t="s">
        <v>895</v>
      </c>
      <c r="D593" s="2" t="s">
        <v>566</v>
      </c>
      <c r="E593" s="2">
        <v>80208</v>
      </c>
      <c r="F593" s="2" t="s">
        <v>896</v>
      </c>
      <c r="G593" s="2" t="s">
        <v>13</v>
      </c>
      <c r="H593" s="2">
        <v>1</v>
      </c>
      <c r="I593" s="2" t="s">
        <v>39</v>
      </c>
      <c r="J593" s="2" t="str">
        <f>VLOOKUP(E593,[1]LL_Hub!$A$1:$B$13,2,FALSE)</f>
        <v>Denver</v>
      </c>
      <c r="K593" t="str">
        <f>VLOOKUP(D593,'[2]product Table data'!$A$2:$B$12,2,FALSE)</f>
        <v>Female</v>
      </c>
      <c r="L593" t="str">
        <f>VLOOKUP($D593,'[2]product Table data'!$A$2:$G$12,L$1,FALSE)</f>
        <v>Casual n Light</v>
      </c>
      <c r="M593" t="str">
        <f>VLOOKUP($D593,'[2]product Table data'!$A$2:$G$12,M$1,FALSE)</f>
        <v>Guatemala</v>
      </c>
      <c r="N593" t="str">
        <f>VLOOKUP($D593,'[2]product Table data'!$A$2:$G$12,N$1,FALSE)</f>
        <v>Central America</v>
      </c>
      <c r="O593">
        <f>VLOOKUP($D593,'[2]product Table data'!$A$2:$G$12,O$1,FALSE)</f>
        <v>25</v>
      </c>
      <c r="P593">
        <f>VLOOKUP($D593,'[2]product Table data'!$A$2:$G$12,P$1,FALSE)</f>
        <v>30</v>
      </c>
      <c r="Q593">
        <f t="shared" si="45"/>
        <v>5</v>
      </c>
      <c r="R593" t="str">
        <f t="shared" si="46"/>
        <v>Hub Risk</v>
      </c>
      <c r="S593" t="str">
        <f t="shared" si="47"/>
        <v>Style Risk</v>
      </c>
      <c r="T593" t="str">
        <f t="shared" si="48"/>
        <v>Risk</v>
      </c>
      <c r="U593" t="str">
        <f t="shared" si="49"/>
        <v>Low Value</v>
      </c>
    </row>
    <row r="594" spans="1:21" hidden="1" x14ac:dyDescent="0.2">
      <c r="A594" s="2">
        <v>341</v>
      </c>
      <c r="B594" s="2" t="s">
        <v>9</v>
      </c>
      <c r="C594" s="2" t="s">
        <v>897</v>
      </c>
      <c r="D594" s="2" t="s">
        <v>566</v>
      </c>
      <c r="E594" s="2">
        <v>80208</v>
      </c>
      <c r="F594" s="2" t="s">
        <v>898</v>
      </c>
      <c r="G594" s="2" t="s">
        <v>13</v>
      </c>
      <c r="H594" s="2">
        <v>1</v>
      </c>
      <c r="I594" s="2" t="s">
        <v>39</v>
      </c>
      <c r="J594" s="2" t="str">
        <f>VLOOKUP(E594,[1]LL_Hub!$A$1:$B$13,2,FALSE)</f>
        <v>Denver</v>
      </c>
      <c r="K594" t="str">
        <f>VLOOKUP(D594,'[2]product Table data'!$A$2:$B$12,2,FALSE)</f>
        <v>Female</v>
      </c>
      <c r="L594" t="str">
        <f>VLOOKUP($D594,'[2]product Table data'!$A$2:$G$12,L$1,FALSE)</f>
        <v>Casual n Light</v>
      </c>
      <c r="M594" t="str">
        <f>VLOOKUP($D594,'[2]product Table data'!$A$2:$G$12,M$1,FALSE)</f>
        <v>Guatemala</v>
      </c>
      <c r="N594" t="str">
        <f>VLOOKUP($D594,'[2]product Table data'!$A$2:$G$12,N$1,FALSE)</f>
        <v>Central America</v>
      </c>
      <c r="O594">
        <f>VLOOKUP($D594,'[2]product Table data'!$A$2:$G$12,O$1,FALSE)</f>
        <v>25</v>
      </c>
      <c r="P594">
        <f>VLOOKUP($D594,'[2]product Table data'!$A$2:$G$12,P$1,FALSE)</f>
        <v>30</v>
      </c>
      <c r="Q594">
        <f t="shared" si="45"/>
        <v>5</v>
      </c>
      <c r="R594" t="str">
        <f t="shared" si="46"/>
        <v>Hub Risk</v>
      </c>
      <c r="S594" t="str">
        <f t="shared" si="47"/>
        <v>Style Risk</v>
      </c>
      <c r="T594" t="str">
        <f t="shared" si="48"/>
        <v>Risk</v>
      </c>
      <c r="U594" t="str">
        <f t="shared" si="49"/>
        <v>Low Value</v>
      </c>
    </row>
    <row r="595" spans="1:21" hidden="1" x14ac:dyDescent="0.2">
      <c r="A595" s="2">
        <v>342</v>
      </c>
      <c r="B595" s="2" t="s">
        <v>9</v>
      </c>
      <c r="C595" s="2" t="s">
        <v>899</v>
      </c>
      <c r="D595" s="2" t="s">
        <v>566</v>
      </c>
      <c r="E595" s="2">
        <v>80208</v>
      </c>
      <c r="F595" s="2" t="s">
        <v>900</v>
      </c>
      <c r="G595" s="2" t="s">
        <v>13</v>
      </c>
      <c r="H595" s="2">
        <v>1</v>
      </c>
      <c r="I595" s="2" t="s">
        <v>39</v>
      </c>
      <c r="J595" s="2" t="str">
        <f>VLOOKUP(E595,[1]LL_Hub!$A$1:$B$13,2,FALSE)</f>
        <v>Denver</v>
      </c>
      <c r="K595" t="str">
        <f>VLOOKUP(D595,'[2]product Table data'!$A$2:$B$12,2,FALSE)</f>
        <v>Female</v>
      </c>
      <c r="L595" t="str">
        <f>VLOOKUP($D595,'[2]product Table data'!$A$2:$G$12,L$1,FALSE)</f>
        <v>Casual n Light</v>
      </c>
      <c r="M595" t="str">
        <f>VLOOKUP($D595,'[2]product Table data'!$A$2:$G$12,M$1,FALSE)</f>
        <v>Guatemala</v>
      </c>
      <c r="N595" t="str">
        <f>VLOOKUP($D595,'[2]product Table data'!$A$2:$G$12,N$1,FALSE)</f>
        <v>Central America</v>
      </c>
      <c r="O595">
        <f>VLOOKUP($D595,'[2]product Table data'!$A$2:$G$12,O$1,FALSE)</f>
        <v>25</v>
      </c>
      <c r="P595">
        <f>VLOOKUP($D595,'[2]product Table data'!$A$2:$G$12,P$1,FALSE)</f>
        <v>30</v>
      </c>
      <c r="Q595">
        <f t="shared" si="45"/>
        <v>5</v>
      </c>
      <c r="R595" t="str">
        <f t="shared" si="46"/>
        <v>Hub Risk</v>
      </c>
      <c r="S595" t="str">
        <f t="shared" si="47"/>
        <v>Style Risk</v>
      </c>
      <c r="T595" t="str">
        <f t="shared" si="48"/>
        <v>Risk</v>
      </c>
      <c r="U595" t="str">
        <f t="shared" si="49"/>
        <v>Low Value</v>
      </c>
    </row>
    <row r="596" spans="1:21" hidden="1" x14ac:dyDescent="0.2">
      <c r="A596" s="2">
        <v>343</v>
      </c>
      <c r="B596" s="2" t="s">
        <v>9</v>
      </c>
      <c r="C596" s="2" t="s">
        <v>901</v>
      </c>
      <c r="D596" s="2" t="s">
        <v>566</v>
      </c>
      <c r="E596" s="2">
        <v>80123</v>
      </c>
      <c r="F596" s="2" t="s">
        <v>902</v>
      </c>
      <c r="G596" s="2" t="s">
        <v>13</v>
      </c>
      <c r="H596" s="2">
        <v>1</v>
      </c>
      <c r="I596" s="2" t="s">
        <v>39</v>
      </c>
      <c r="J596" s="2" t="str">
        <f>VLOOKUP(E596,[1]LL_Hub!$A$1:$B$13,2,FALSE)</f>
        <v>Denver</v>
      </c>
      <c r="K596" t="str">
        <f>VLOOKUP(D596,'[2]product Table data'!$A$2:$B$12,2,FALSE)</f>
        <v>Female</v>
      </c>
      <c r="L596" t="str">
        <f>VLOOKUP($D596,'[2]product Table data'!$A$2:$G$12,L$1,FALSE)</f>
        <v>Casual n Light</v>
      </c>
      <c r="M596" t="str">
        <f>VLOOKUP($D596,'[2]product Table data'!$A$2:$G$12,M$1,FALSE)</f>
        <v>Guatemala</v>
      </c>
      <c r="N596" t="str">
        <f>VLOOKUP($D596,'[2]product Table data'!$A$2:$G$12,N$1,FALSE)</f>
        <v>Central America</v>
      </c>
      <c r="O596">
        <f>VLOOKUP($D596,'[2]product Table data'!$A$2:$G$12,O$1,FALSE)</f>
        <v>25</v>
      </c>
      <c r="P596">
        <f>VLOOKUP($D596,'[2]product Table data'!$A$2:$G$12,P$1,FALSE)</f>
        <v>30</v>
      </c>
      <c r="Q596">
        <f t="shared" si="45"/>
        <v>5</v>
      </c>
      <c r="R596" t="str">
        <f t="shared" si="46"/>
        <v>Hub Risk</v>
      </c>
      <c r="S596" t="str">
        <f t="shared" si="47"/>
        <v>Style Risk</v>
      </c>
      <c r="T596" t="str">
        <f t="shared" si="48"/>
        <v>Risk</v>
      </c>
      <c r="U596" t="str">
        <f t="shared" si="49"/>
        <v>Low Value</v>
      </c>
    </row>
    <row r="597" spans="1:21" hidden="1" x14ac:dyDescent="0.2">
      <c r="A597" s="2">
        <v>344</v>
      </c>
      <c r="B597" s="2" t="s">
        <v>9</v>
      </c>
      <c r="C597" s="2" t="s">
        <v>903</v>
      </c>
      <c r="D597" s="2" t="s">
        <v>566</v>
      </c>
      <c r="E597" s="2">
        <v>80123</v>
      </c>
      <c r="F597" s="2" t="s">
        <v>904</v>
      </c>
      <c r="G597" s="2" t="s">
        <v>13</v>
      </c>
      <c r="H597" s="2">
        <v>1</v>
      </c>
      <c r="I597" s="2" t="s">
        <v>39</v>
      </c>
      <c r="J597" s="2" t="str">
        <f>VLOOKUP(E597,[1]LL_Hub!$A$1:$B$13,2,FALSE)</f>
        <v>Denver</v>
      </c>
      <c r="K597" t="str">
        <f>VLOOKUP(D597,'[2]product Table data'!$A$2:$B$12,2,FALSE)</f>
        <v>Female</v>
      </c>
      <c r="L597" t="str">
        <f>VLOOKUP($D597,'[2]product Table data'!$A$2:$G$12,L$1,FALSE)</f>
        <v>Casual n Light</v>
      </c>
      <c r="M597" t="str">
        <f>VLOOKUP($D597,'[2]product Table data'!$A$2:$G$12,M$1,FALSE)</f>
        <v>Guatemala</v>
      </c>
      <c r="N597" t="str">
        <f>VLOOKUP($D597,'[2]product Table data'!$A$2:$G$12,N$1,FALSE)</f>
        <v>Central America</v>
      </c>
      <c r="O597">
        <f>VLOOKUP($D597,'[2]product Table data'!$A$2:$G$12,O$1,FALSE)</f>
        <v>25</v>
      </c>
      <c r="P597">
        <f>VLOOKUP($D597,'[2]product Table data'!$A$2:$G$12,P$1,FALSE)</f>
        <v>30</v>
      </c>
      <c r="Q597">
        <f t="shared" si="45"/>
        <v>5</v>
      </c>
      <c r="R597" t="str">
        <f t="shared" si="46"/>
        <v>Hub Risk</v>
      </c>
      <c r="S597" t="str">
        <f t="shared" si="47"/>
        <v>Style Risk</v>
      </c>
      <c r="T597" t="str">
        <f t="shared" si="48"/>
        <v>Risk</v>
      </c>
      <c r="U597" t="str">
        <f t="shared" si="49"/>
        <v>Low Value</v>
      </c>
    </row>
    <row r="598" spans="1:21" hidden="1" x14ac:dyDescent="0.2">
      <c r="A598" s="2">
        <v>345</v>
      </c>
      <c r="B598" s="2" t="s">
        <v>9</v>
      </c>
      <c r="C598" s="2" t="s">
        <v>905</v>
      </c>
      <c r="D598" s="2" t="s">
        <v>566</v>
      </c>
      <c r="E598" s="2">
        <v>80123</v>
      </c>
      <c r="F598" s="2" t="s">
        <v>906</v>
      </c>
      <c r="G598" s="2" t="s">
        <v>13</v>
      </c>
      <c r="H598" s="2">
        <v>1</v>
      </c>
      <c r="I598" s="2" t="s">
        <v>39</v>
      </c>
      <c r="J598" s="2" t="str">
        <f>VLOOKUP(E598,[1]LL_Hub!$A$1:$B$13,2,FALSE)</f>
        <v>Denver</v>
      </c>
      <c r="K598" t="str">
        <f>VLOOKUP(D598,'[2]product Table data'!$A$2:$B$12,2,FALSE)</f>
        <v>Female</v>
      </c>
      <c r="L598" t="str">
        <f>VLOOKUP($D598,'[2]product Table data'!$A$2:$G$12,L$1,FALSE)</f>
        <v>Casual n Light</v>
      </c>
      <c r="M598" t="str">
        <f>VLOOKUP($D598,'[2]product Table data'!$A$2:$G$12,M$1,FALSE)</f>
        <v>Guatemala</v>
      </c>
      <c r="N598" t="str">
        <f>VLOOKUP($D598,'[2]product Table data'!$A$2:$G$12,N$1,FALSE)</f>
        <v>Central America</v>
      </c>
      <c r="O598">
        <f>VLOOKUP($D598,'[2]product Table data'!$A$2:$G$12,O$1,FALSE)</f>
        <v>25</v>
      </c>
      <c r="P598">
        <f>VLOOKUP($D598,'[2]product Table data'!$A$2:$G$12,P$1,FALSE)</f>
        <v>30</v>
      </c>
      <c r="Q598">
        <f t="shared" si="45"/>
        <v>5</v>
      </c>
      <c r="R598" t="str">
        <f t="shared" si="46"/>
        <v>Hub Risk</v>
      </c>
      <c r="S598" t="str">
        <f t="shared" si="47"/>
        <v>Style Risk</v>
      </c>
      <c r="T598" t="str">
        <f t="shared" si="48"/>
        <v>Risk</v>
      </c>
      <c r="U598" t="str">
        <f t="shared" si="49"/>
        <v>Low Value</v>
      </c>
    </row>
    <row r="599" spans="1:21" hidden="1" x14ac:dyDescent="0.2">
      <c r="A599" s="2">
        <v>346</v>
      </c>
      <c r="B599" s="2" t="s">
        <v>9</v>
      </c>
      <c r="C599" s="2" t="s">
        <v>907</v>
      </c>
      <c r="D599" s="2" t="s">
        <v>566</v>
      </c>
      <c r="E599" s="2">
        <v>80123</v>
      </c>
      <c r="F599" s="2" t="s">
        <v>908</v>
      </c>
      <c r="G599" s="2" t="s">
        <v>13</v>
      </c>
      <c r="H599" s="2">
        <v>1</v>
      </c>
      <c r="I599" s="2" t="s">
        <v>39</v>
      </c>
      <c r="J599" s="2" t="str">
        <f>VLOOKUP(E599,[1]LL_Hub!$A$1:$B$13,2,FALSE)</f>
        <v>Denver</v>
      </c>
      <c r="K599" t="str">
        <f>VLOOKUP(D599,'[2]product Table data'!$A$2:$B$12,2,FALSE)</f>
        <v>Female</v>
      </c>
      <c r="L599" t="str">
        <f>VLOOKUP($D599,'[2]product Table data'!$A$2:$G$12,L$1,FALSE)</f>
        <v>Casual n Light</v>
      </c>
      <c r="M599" t="str">
        <f>VLOOKUP($D599,'[2]product Table data'!$A$2:$G$12,M$1,FALSE)</f>
        <v>Guatemala</v>
      </c>
      <c r="N599" t="str">
        <f>VLOOKUP($D599,'[2]product Table data'!$A$2:$G$12,N$1,FALSE)</f>
        <v>Central America</v>
      </c>
      <c r="O599">
        <f>VLOOKUP($D599,'[2]product Table data'!$A$2:$G$12,O$1,FALSE)</f>
        <v>25</v>
      </c>
      <c r="P599">
        <f>VLOOKUP($D599,'[2]product Table data'!$A$2:$G$12,P$1,FALSE)</f>
        <v>30</v>
      </c>
      <c r="Q599">
        <f t="shared" si="45"/>
        <v>5</v>
      </c>
      <c r="R599" t="str">
        <f t="shared" si="46"/>
        <v>Hub Risk</v>
      </c>
      <c r="S599" t="str">
        <f t="shared" si="47"/>
        <v>Style Risk</v>
      </c>
      <c r="T599" t="str">
        <f t="shared" si="48"/>
        <v>Risk</v>
      </c>
      <c r="U599" t="str">
        <f t="shared" si="49"/>
        <v>Low Value</v>
      </c>
    </row>
    <row r="600" spans="1:21" hidden="1" x14ac:dyDescent="0.2">
      <c r="A600" s="2">
        <v>347</v>
      </c>
      <c r="B600" s="2" t="s">
        <v>9</v>
      </c>
      <c r="C600" s="2" t="s">
        <v>909</v>
      </c>
      <c r="D600" s="2" t="s">
        <v>566</v>
      </c>
      <c r="E600" s="2">
        <v>80123</v>
      </c>
      <c r="F600" s="2" t="s">
        <v>496</v>
      </c>
      <c r="G600" s="2" t="s">
        <v>36</v>
      </c>
      <c r="H600" s="2">
        <v>1</v>
      </c>
      <c r="I600" s="2" t="s">
        <v>39</v>
      </c>
      <c r="J600" s="2" t="str">
        <f>VLOOKUP(E600,[1]LL_Hub!$A$1:$B$13,2,FALSE)</f>
        <v>Denver</v>
      </c>
      <c r="K600" t="str">
        <f>VLOOKUP(D600,'[2]product Table data'!$A$2:$B$12,2,FALSE)</f>
        <v>Female</v>
      </c>
      <c r="L600" t="str">
        <f>VLOOKUP($D600,'[2]product Table data'!$A$2:$G$12,L$1,FALSE)</f>
        <v>Casual n Light</v>
      </c>
      <c r="M600" t="str">
        <f>VLOOKUP($D600,'[2]product Table data'!$A$2:$G$12,M$1,FALSE)</f>
        <v>Guatemala</v>
      </c>
      <c r="N600" t="str">
        <f>VLOOKUP($D600,'[2]product Table data'!$A$2:$G$12,N$1,FALSE)</f>
        <v>Central America</v>
      </c>
      <c r="O600">
        <f>VLOOKUP($D600,'[2]product Table data'!$A$2:$G$12,O$1,FALSE)</f>
        <v>25</v>
      </c>
      <c r="P600">
        <f>VLOOKUP($D600,'[2]product Table data'!$A$2:$G$12,P$1,FALSE)</f>
        <v>30</v>
      </c>
      <c r="Q600">
        <f t="shared" si="45"/>
        <v>5</v>
      </c>
      <c r="R600" t="str">
        <f t="shared" si="46"/>
        <v>Hub Risk</v>
      </c>
      <c r="S600" t="str">
        <f t="shared" si="47"/>
        <v>Style Risk</v>
      </c>
      <c r="T600" t="str">
        <f t="shared" si="48"/>
        <v>Risk</v>
      </c>
      <c r="U600" t="str">
        <f t="shared" si="49"/>
        <v>Low Value</v>
      </c>
    </row>
    <row r="601" spans="1:21" hidden="1" x14ac:dyDescent="0.2">
      <c r="A601" s="2">
        <v>348</v>
      </c>
      <c r="B601" s="2" t="s">
        <v>9</v>
      </c>
      <c r="C601" s="2" t="s">
        <v>910</v>
      </c>
      <c r="D601" s="2" t="s">
        <v>566</v>
      </c>
      <c r="E601" s="2">
        <v>80123</v>
      </c>
      <c r="F601" s="2" t="s">
        <v>496</v>
      </c>
      <c r="G601" s="2" t="s">
        <v>36</v>
      </c>
      <c r="H601" s="2">
        <v>1</v>
      </c>
      <c r="I601" s="2" t="s">
        <v>39</v>
      </c>
      <c r="J601" s="2" t="str">
        <f>VLOOKUP(E601,[1]LL_Hub!$A$1:$B$13,2,FALSE)</f>
        <v>Denver</v>
      </c>
      <c r="K601" t="str">
        <f>VLOOKUP(D601,'[2]product Table data'!$A$2:$B$12,2,FALSE)</f>
        <v>Female</v>
      </c>
      <c r="L601" t="str">
        <f>VLOOKUP($D601,'[2]product Table data'!$A$2:$G$12,L$1,FALSE)</f>
        <v>Casual n Light</v>
      </c>
      <c r="M601" t="str">
        <f>VLOOKUP($D601,'[2]product Table data'!$A$2:$G$12,M$1,FALSE)</f>
        <v>Guatemala</v>
      </c>
      <c r="N601" t="str">
        <f>VLOOKUP($D601,'[2]product Table data'!$A$2:$G$12,N$1,FALSE)</f>
        <v>Central America</v>
      </c>
      <c r="O601">
        <f>VLOOKUP($D601,'[2]product Table data'!$A$2:$G$12,O$1,FALSE)</f>
        <v>25</v>
      </c>
      <c r="P601">
        <f>VLOOKUP($D601,'[2]product Table data'!$A$2:$G$12,P$1,FALSE)</f>
        <v>30</v>
      </c>
      <c r="Q601">
        <f t="shared" si="45"/>
        <v>5</v>
      </c>
      <c r="R601" t="str">
        <f t="shared" si="46"/>
        <v>Hub Risk</v>
      </c>
      <c r="S601" t="str">
        <f t="shared" si="47"/>
        <v>Style Risk</v>
      </c>
      <c r="T601" t="str">
        <f t="shared" si="48"/>
        <v>Risk</v>
      </c>
      <c r="U601" t="str">
        <f t="shared" si="49"/>
        <v>Low Value</v>
      </c>
    </row>
    <row r="602" spans="1:21" hidden="1" x14ac:dyDescent="0.2">
      <c r="A602" s="2">
        <v>349</v>
      </c>
      <c r="B602" s="2" t="s">
        <v>9</v>
      </c>
      <c r="C602" s="2" t="s">
        <v>911</v>
      </c>
      <c r="D602" s="2" t="s">
        <v>566</v>
      </c>
      <c r="E602" s="2">
        <v>80123</v>
      </c>
      <c r="F602" s="2" t="s">
        <v>496</v>
      </c>
      <c r="G602" s="2" t="s">
        <v>36</v>
      </c>
      <c r="H602" s="2">
        <v>1</v>
      </c>
      <c r="I602" s="2" t="s">
        <v>39</v>
      </c>
      <c r="J602" s="2" t="str">
        <f>VLOOKUP(E602,[1]LL_Hub!$A$1:$B$13,2,FALSE)</f>
        <v>Denver</v>
      </c>
      <c r="K602" t="str">
        <f>VLOOKUP(D602,'[2]product Table data'!$A$2:$B$12,2,FALSE)</f>
        <v>Female</v>
      </c>
      <c r="L602" t="str">
        <f>VLOOKUP($D602,'[2]product Table data'!$A$2:$G$12,L$1,FALSE)</f>
        <v>Casual n Light</v>
      </c>
      <c r="M602" t="str">
        <f>VLOOKUP($D602,'[2]product Table data'!$A$2:$G$12,M$1,FALSE)</f>
        <v>Guatemala</v>
      </c>
      <c r="N602" t="str">
        <f>VLOOKUP($D602,'[2]product Table data'!$A$2:$G$12,N$1,FALSE)</f>
        <v>Central America</v>
      </c>
      <c r="O602">
        <f>VLOOKUP($D602,'[2]product Table data'!$A$2:$G$12,O$1,FALSE)</f>
        <v>25</v>
      </c>
      <c r="P602">
        <f>VLOOKUP($D602,'[2]product Table data'!$A$2:$G$12,P$1,FALSE)</f>
        <v>30</v>
      </c>
      <c r="Q602">
        <f t="shared" si="45"/>
        <v>5</v>
      </c>
      <c r="R602" t="str">
        <f t="shared" si="46"/>
        <v>Hub Risk</v>
      </c>
      <c r="S602" t="str">
        <f t="shared" si="47"/>
        <v>Style Risk</v>
      </c>
      <c r="T602" t="str">
        <f t="shared" si="48"/>
        <v>Risk</v>
      </c>
      <c r="U602" t="str">
        <f t="shared" si="49"/>
        <v>Low Value</v>
      </c>
    </row>
    <row r="603" spans="1:21" hidden="1" x14ac:dyDescent="0.2">
      <c r="A603" s="2">
        <v>350</v>
      </c>
      <c r="B603" s="2" t="s">
        <v>9</v>
      </c>
      <c r="C603" s="2" t="s">
        <v>912</v>
      </c>
      <c r="D603" s="2" t="s">
        <v>566</v>
      </c>
      <c r="E603" s="2">
        <v>80123</v>
      </c>
      <c r="F603" s="2" t="s">
        <v>496</v>
      </c>
      <c r="G603" s="2" t="s">
        <v>36</v>
      </c>
      <c r="H603" s="2">
        <v>1</v>
      </c>
      <c r="I603" s="2" t="s">
        <v>39</v>
      </c>
      <c r="J603" s="2" t="str">
        <f>VLOOKUP(E603,[1]LL_Hub!$A$1:$B$13,2,FALSE)</f>
        <v>Denver</v>
      </c>
      <c r="K603" t="str">
        <f>VLOOKUP(D603,'[2]product Table data'!$A$2:$B$12,2,FALSE)</f>
        <v>Female</v>
      </c>
      <c r="L603" t="str">
        <f>VLOOKUP($D603,'[2]product Table data'!$A$2:$G$12,L$1,FALSE)</f>
        <v>Casual n Light</v>
      </c>
      <c r="M603" t="str">
        <f>VLOOKUP($D603,'[2]product Table data'!$A$2:$G$12,M$1,FALSE)</f>
        <v>Guatemala</v>
      </c>
      <c r="N603" t="str">
        <f>VLOOKUP($D603,'[2]product Table data'!$A$2:$G$12,N$1,FALSE)</f>
        <v>Central America</v>
      </c>
      <c r="O603">
        <f>VLOOKUP($D603,'[2]product Table data'!$A$2:$G$12,O$1,FALSE)</f>
        <v>25</v>
      </c>
      <c r="P603">
        <f>VLOOKUP($D603,'[2]product Table data'!$A$2:$G$12,P$1,FALSE)</f>
        <v>30</v>
      </c>
      <c r="Q603">
        <f t="shared" si="45"/>
        <v>5</v>
      </c>
      <c r="R603" t="str">
        <f t="shared" si="46"/>
        <v>Hub Risk</v>
      </c>
      <c r="S603" t="str">
        <f t="shared" si="47"/>
        <v>Style Risk</v>
      </c>
      <c r="T603" t="str">
        <f t="shared" si="48"/>
        <v>Risk</v>
      </c>
      <c r="U603" t="str">
        <f t="shared" si="49"/>
        <v>Low Value</v>
      </c>
    </row>
    <row r="604" spans="1:21" hidden="1" x14ac:dyDescent="0.2">
      <c r="A604" s="2">
        <v>351</v>
      </c>
      <c r="B604" s="2" t="s">
        <v>9</v>
      </c>
      <c r="C604" s="2" t="s">
        <v>913</v>
      </c>
      <c r="D604" s="2" t="s">
        <v>566</v>
      </c>
      <c r="E604" s="2">
        <v>80123</v>
      </c>
      <c r="F604" s="2" t="s">
        <v>496</v>
      </c>
      <c r="G604" s="2" t="s">
        <v>36</v>
      </c>
      <c r="H604" s="2">
        <v>1</v>
      </c>
      <c r="I604" s="2" t="s">
        <v>39</v>
      </c>
      <c r="J604" s="2" t="str">
        <f>VLOOKUP(E604,[1]LL_Hub!$A$1:$B$13,2,FALSE)</f>
        <v>Denver</v>
      </c>
      <c r="K604" t="str">
        <f>VLOOKUP(D604,'[2]product Table data'!$A$2:$B$12,2,FALSE)</f>
        <v>Female</v>
      </c>
      <c r="L604" t="str">
        <f>VLOOKUP($D604,'[2]product Table data'!$A$2:$G$12,L$1,FALSE)</f>
        <v>Casual n Light</v>
      </c>
      <c r="M604" t="str">
        <f>VLOOKUP($D604,'[2]product Table data'!$A$2:$G$12,M$1,FALSE)</f>
        <v>Guatemala</v>
      </c>
      <c r="N604" t="str">
        <f>VLOOKUP($D604,'[2]product Table data'!$A$2:$G$12,N$1,FALSE)</f>
        <v>Central America</v>
      </c>
      <c r="O604">
        <f>VLOOKUP($D604,'[2]product Table data'!$A$2:$G$12,O$1,FALSE)</f>
        <v>25</v>
      </c>
      <c r="P604">
        <f>VLOOKUP($D604,'[2]product Table data'!$A$2:$G$12,P$1,FALSE)</f>
        <v>30</v>
      </c>
      <c r="Q604">
        <f t="shared" si="45"/>
        <v>5</v>
      </c>
      <c r="R604" t="str">
        <f t="shared" si="46"/>
        <v>Hub Risk</v>
      </c>
      <c r="S604" t="str">
        <f t="shared" si="47"/>
        <v>Style Risk</v>
      </c>
      <c r="T604" t="str">
        <f t="shared" si="48"/>
        <v>Risk</v>
      </c>
      <c r="U604" t="str">
        <f t="shared" si="49"/>
        <v>Low Value</v>
      </c>
    </row>
    <row r="605" spans="1:21" hidden="1" x14ac:dyDescent="0.2">
      <c r="A605" s="2">
        <v>352</v>
      </c>
      <c r="B605" s="2" t="s">
        <v>9</v>
      </c>
      <c r="C605" s="2" t="s">
        <v>914</v>
      </c>
      <c r="D605" s="2" t="s">
        <v>566</v>
      </c>
      <c r="E605" s="2">
        <v>80123</v>
      </c>
      <c r="F605" s="2" t="s">
        <v>496</v>
      </c>
      <c r="G605" s="2" t="s">
        <v>36</v>
      </c>
      <c r="H605" s="2">
        <v>1</v>
      </c>
      <c r="I605" s="2" t="s">
        <v>39</v>
      </c>
      <c r="J605" s="2" t="str">
        <f>VLOOKUP(E605,[1]LL_Hub!$A$1:$B$13,2,FALSE)</f>
        <v>Denver</v>
      </c>
      <c r="K605" t="str">
        <f>VLOOKUP(D605,'[2]product Table data'!$A$2:$B$12,2,FALSE)</f>
        <v>Female</v>
      </c>
      <c r="L605" t="str">
        <f>VLOOKUP($D605,'[2]product Table data'!$A$2:$G$12,L$1,FALSE)</f>
        <v>Casual n Light</v>
      </c>
      <c r="M605" t="str">
        <f>VLOOKUP($D605,'[2]product Table data'!$A$2:$G$12,M$1,FALSE)</f>
        <v>Guatemala</v>
      </c>
      <c r="N605" t="str">
        <f>VLOOKUP($D605,'[2]product Table data'!$A$2:$G$12,N$1,FALSE)</f>
        <v>Central America</v>
      </c>
      <c r="O605">
        <f>VLOOKUP($D605,'[2]product Table data'!$A$2:$G$12,O$1,FALSE)</f>
        <v>25</v>
      </c>
      <c r="P605">
        <f>VLOOKUP($D605,'[2]product Table data'!$A$2:$G$12,P$1,FALSE)</f>
        <v>30</v>
      </c>
      <c r="Q605">
        <f t="shared" si="45"/>
        <v>5</v>
      </c>
      <c r="R605" t="str">
        <f t="shared" si="46"/>
        <v>Hub Risk</v>
      </c>
      <c r="S605" t="str">
        <f t="shared" si="47"/>
        <v>Style Risk</v>
      </c>
      <c r="T605" t="str">
        <f t="shared" si="48"/>
        <v>Risk</v>
      </c>
      <c r="U605" t="str">
        <f t="shared" si="49"/>
        <v>Low Value</v>
      </c>
    </row>
    <row r="606" spans="1:21" hidden="1" x14ac:dyDescent="0.2">
      <c r="A606" s="2">
        <v>353</v>
      </c>
      <c r="B606" s="2" t="s">
        <v>9</v>
      </c>
      <c r="C606" s="2" t="s">
        <v>915</v>
      </c>
      <c r="D606" s="2" t="s">
        <v>566</v>
      </c>
      <c r="E606" s="2">
        <v>80123</v>
      </c>
      <c r="F606" s="2" t="s">
        <v>496</v>
      </c>
      <c r="G606" s="2" t="s">
        <v>36</v>
      </c>
      <c r="H606" s="2">
        <v>1</v>
      </c>
      <c r="I606" s="2" t="s">
        <v>39</v>
      </c>
      <c r="J606" s="2" t="str">
        <f>VLOOKUP(E606,[1]LL_Hub!$A$1:$B$13,2,FALSE)</f>
        <v>Denver</v>
      </c>
      <c r="K606" t="str">
        <f>VLOOKUP(D606,'[2]product Table data'!$A$2:$B$12,2,FALSE)</f>
        <v>Female</v>
      </c>
      <c r="L606" t="str">
        <f>VLOOKUP($D606,'[2]product Table data'!$A$2:$G$12,L$1,FALSE)</f>
        <v>Casual n Light</v>
      </c>
      <c r="M606" t="str">
        <f>VLOOKUP($D606,'[2]product Table data'!$A$2:$G$12,M$1,FALSE)</f>
        <v>Guatemala</v>
      </c>
      <c r="N606" t="str">
        <f>VLOOKUP($D606,'[2]product Table data'!$A$2:$G$12,N$1,FALSE)</f>
        <v>Central America</v>
      </c>
      <c r="O606">
        <f>VLOOKUP($D606,'[2]product Table data'!$A$2:$G$12,O$1,FALSE)</f>
        <v>25</v>
      </c>
      <c r="P606">
        <f>VLOOKUP($D606,'[2]product Table data'!$A$2:$G$12,P$1,FALSE)</f>
        <v>30</v>
      </c>
      <c r="Q606">
        <f t="shared" si="45"/>
        <v>5</v>
      </c>
      <c r="R606" t="str">
        <f t="shared" si="46"/>
        <v>Hub Risk</v>
      </c>
      <c r="S606" t="str">
        <f t="shared" si="47"/>
        <v>Style Risk</v>
      </c>
      <c r="T606" t="str">
        <f t="shared" si="48"/>
        <v>Risk</v>
      </c>
      <c r="U606" t="str">
        <f t="shared" si="49"/>
        <v>Low Value</v>
      </c>
    </row>
    <row r="607" spans="1:21" hidden="1" x14ac:dyDescent="0.2">
      <c r="A607" s="2">
        <v>354</v>
      </c>
      <c r="B607" s="2" t="s">
        <v>9</v>
      </c>
      <c r="C607" s="2" t="s">
        <v>916</v>
      </c>
      <c r="D607" s="2" t="s">
        <v>566</v>
      </c>
      <c r="E607" s="2">
        <v>80123</v>
      </c>
      <c r="F607" s="2" t="s">
        <v>496</v>
      </c>
      <c r="G607" s="2" t="s">
        <v>36</v>
      </c>
      <c r="H607" s="2">
        <v>1</v>
      </c>
      <c r="I607" s="2" t="s">
        <v>39</v>
      </c>
      <c r="J607" s="2" t="str">
        <f>VLOOKUP(E607,[1]LL_Hub!$A$1:$B$13,2,FALSE)</f>
        <v>Denver</v>
      </c>
      <c r="K607" t="str">
        <f>VLOOKUP(D607,'[2]product Table data'!$A$2:$B$12,2,FALSE)</f>
        <v>Female</v>
      </c>
      <c r="L607" t="str">
        <f>VLOOKUP($D607,'[2]product Table data'!$A$2:$G$12,L$1,FALSE)</f>
        <v>Casual n Light</v>
      </c>
      <c r="M607" t="str">
        <f>VLOOKUP($D607,'[2]product Table data'!$A$2:$G$12,M$1,FALSE)</f>
        <v>Guatemala</v>
      </c>
      <c r="N607" t="str">
        <f>VLOOKUP($D607,'[2]product Table data'!$A$2:$G$12,N$1,FALSE)</f>
        <v>Central America</v>
      </c>
      <c r="O607">
        <f>VLOOKUP($D607,'[2]product Table data'!$A$2:$G$12,O$1,FALSE)</f>
        <v>25</v>
      </c>
      <c r="P607">
        <f>VLOOKUP($D607,'[2]product Table data'!$A$2:$G$12,P$1,FALSE)</f>
        <v>30</v>
      </c>
      <c r="Q607">
        <f t="shared" si="45"/>
        <v>5</v>
      </c>
      <c r="R607" t="str">
        <f t="shared" si="46"/>
        <v>Hub Risk</v>
      </c>
      <c r="S607" t="str">
        <f t="shared" si="47"/>
        <v>Style Risk</v>
      </c>
      <c r="T607" t="str">
        <f t="shared" si="48"/>
        <v>Risk</v>
      </c>
      <c r="U607" t="str">
        <f t="shared" si="49"/>
        <v>Low Value</v>
      </c>
    </row>
    <row r="608" spans="1:21" hidden="1" x14ac:dyDescent="0.2">
      <c r="A608" s="2">
        <v>355</v>
      </c>
      <c r="B608" s="2" t="s">
        <v>9</v>
      </c>
      <c r="C608" s="2" t="s">
        <v>917</v>
      </c>
      <c r="D608" s="2" t="s">
        <v>566</v>
      </c>
      <c r="E608" s="2">
        <v>80123</v>
      </c>
      <c r="F608" s="2" t="s">
        <v>496</v>
      </c>
      <c r="G608" s="2" t="s">
        <v>36</v>
      </c>
      <c r="H608" s="2">
        <v>1</v>
      </c>
      <c r="I608" s="2" t="s">
        <v>39</v>
      </c>
      <c r="J608" s="2" t="str">
        <f>VLOOKUP(E608,[1]LL_Hub!$A$1:$B$13,2,FALSE)</f>
        <v>Denver</v>
      </c>
      <c r="K608" t="str">
        <f>VLOOKUP(D608,'[2]product Table data'!$A$2:$B$12,2,FALSE)</f>
        <v>Female</v>
      </c>
      <c r="L608" t="str">
        <f>VLOOKUP($D608,'[2]product Table data'!$A$2:$G$12,L$1,FALSE)</f>
        <v>Casual n Light</v>
      </c>
      <c r="M608" t="str">
        <f>VLOOKUP($D608,'[2]product Table data'!$A$2:$G$12,M$1,FALSE)</f>
        <v>Guatemala</v>
      </c>
      <c r="N608" t="str">
        <f>VLOOKUP($D608,'[2]product Table data'!$A$2:$G$12,N$1,FALSE)</f>
        <v>Central America</v>
      </c>
      <c r="O608">
        <f>VLOOKUP($D608,'[2]product Table data'!$A$2:$G$12,O$1,FALSE)</f>
        <v>25</v>
      </c>
      <c r="P608">
        <f>VLOOKUP($D608,'[2]product Table data'!$A$2:$G$12,P$1,FALSE)</f>
        <v>30</v>
      </c>
      <c r="Q608">
        <f t="shared" si="45"/>
        <v>5</v>
      </c>
      <c r="R608" t="str">
        <f t="shared" si="46"/>
        <v>Hub Risk</v>
      </c>
      <c r="S608" t="str">
        <f t="shared" si="47"/>
        <v>Style Risk</v>
      </c>
      <c r="T608" t="str">
        <f t="shared" si="48"/>
        <v>Risk</v>
      </c>
      <c r="U608" t="str">
        <f t="shared" si="49"/>
        <v>Low Value</v>
      </c>
    </row>
    <row r="609" spans="1:21" hidden="1" x14ac:dyDescent="0.2">
      <c r="A609" s="2">
        <v>356</v>
      </c>
      <c r="B609" s="2" t="s">
        <v>9</v>
      </c>
      <c r="C609" s="2" t="s">
        <v>918</v>
      </c>
      <c r="D609" s="2" t="s">
        <v>566</v>
      </c>
      <c r="E609" s="2">
        <v>80123</v>
      </c>
      <c r="F609" s="2" t="s">
        <v>496</v>
      </c>
      <c r="G609" s="2" t="s">
        <v>36</v>
      </c>
      <c r="H609" s="2">
        <v>1</v>
      </c>
      <c r="I609" s="2" t="s">
        <v>39</v>
      </c>
      <c r="J609" s="2" t="str">
        <f>VLOOKUP(E609,[1]LL_Hub!$A$1:$B$13,2,FALSE)</f>
        <v>Denver</v>
      </c>
      <c r="K609" t="str">
        <f>VLOOKUP(D609,'[2]product Table data'!$A$2:$B$12,2,FALSE)</f>
        <v>Female</v>
      </c>
      <c r="L609" t="str">
        <f>VLOOKUP($D609,'[2]product Table data'!$A$2:$G$12,L$1,FALSE)</f>
        <v>Casual n Light</v>
      </c>
      <c r="M609" t="str">
        <f>VLOOKUP($D609,'[2]product Table data'!$A$2:$G$12,M$1,FALSE)</f>
        <v>Guatemala</v>
      </c>
      <c r="N609" t="str">
        <f>VLOOKUP($D609,'[2]product Table data'!$A$2:$G$12,N$1,FALSE)</f>
        <v>Central America</v>
      </c>
      <c r="O609">
        <f>VLOOKUP($D609,'[2]product Table data'!$A$2:$G$12,O$1,FALSE)</f>
        <v>25</v>
      </c>
      <c r="P609">
        <f>VLOOKUP($D609,'[2]product Table data'!$A$2:$G$12,P$1,FALSE)</f>
        <v>30</v>
      </c>
      <c r="Q609">
        <f t="shared" si="45"/>
        <v>5</v>
      </c>
      <c r="R609" t="str">
        <f t="shared" si="46"/>
        <v>Hub Risk</v>
      </c>
      <c r="S609" t="str">
        <f t="shared" si="47"/>
        <v>Style Risk</v>
      </c>
      <c r="T609" t="str">
        <f t="shared" si="48"/>
        <v>Risk</v>
      </c>
      <c r="U609" t="str">
        <f t="shared" si="49"/>
        <v>Low Value</v>
      </c>
    </row>
    <row r="610" spans="1:21" hidden="1" x14ac:dyDescent="0.2">
      <c r="A610" s="2">
        <v>357</v>
      </c>
      <c r="B610" s="2" t="s">
        <v>9</v>
      </c>
      <c r="C610" s="2" t="s">
        <v>919</v>
      </c>
      <c r="D610" s="2" t="s">
        <v>566</v>
      </c>
      <c r="E610" s="2">
        <v>80123</v>
      </c>
      <c r="F610" s="2" t="s">
        <v>496</v>
      </c>
      <c r="G610" s="2" t="s">
        <v>36</v>
      </c>
      <c r="H610" s="2">
        <v>1</v>
      </c>
      <c r="I610" s="2" t="s">
        <v>39</v>
      </c>
      <c r="J610" s="2" t="str">
        <f>VLOOKUP(E610,[1]LL_Hub!$A$1:$B$13,2,FALSE)</f>
        <v>Denver</v>
      </c>
      <c r="K610" t="str">
        <f>VLOOKUP(D610,'[2]product Table data'!$A$2:$B$12,2,FALSE)</f>
        <v>Female</v>
      </c>
      <c r="L610" t="str">
        <f>VLOOKUP($D610,'[2]product Table data'!$A$2:$G$12,L$1,FALSE)</f>
        <v>Casual n Light</v>
      </c>
      <c r="M610" t="str">
        <f>VLOOKUP($D610,'[2]product Table data'!$A$2:$G$12,M$1,FALSE)</f>
        <v>Guatemala</v>
      </c>
      <c r="N610" t="str">
        <f>VLOOKUP($D610,'[2]product Table data'!$A$2:$G$12,N$1,FALSE)</f>
        <v>Central America</v>
      </c>
      <c r="O610">
        <f>VLOOKUP($D610,'[2]product Table data'!$A$2:$G$12,O$1,FALSE)</f>
        <v>25</v>
      </c>
      <c r="P610">
        <f>VLOOKUP($D610,'[2]product Table data'!$A$2:$G$12,P$1,FALSE)</f>
        <v>30</v>
      </c>
      <c r="Q610">
        <f t="shared" si="45"/>
        <v>5</v>
      </c>
      <c r="R610" t="str">
        <f t="shared" si="46"/>
        <v>Hub Risk</v>
      </c>
      <c r="S610" t="str">
        <f t="shared" si="47"/>
        <v>Style Risk</v>
      </c>
      <c r="T610" t="str">
        <f t="shared" si="48"/>
        <v>Risk</v>
      </c>
      <c r="U610" t="str">
        <f t="shared" si="49"/>
        <v>Low Value</v>
      </c>
    </row>
    <row r="611" spans="1:21" hidden="1" x14ac:dyDescent="0.2">
      <c r="A611" s="2">
        <v>358</v>
      </c>
      <c r="B611" s="2" t="s">
        <v>9</v>
      </c>
      <c r="C611" s="2" t="s">
        <v>920</v>
      </c>
      <c r="D611" s="2" t="s">
        <v>566</v>
      </c>
      <c r="E611" s="2">
        <v>80123</v>
      </c>
      <c r="F611" s="2" t="s">
        <v>496</v>
      </c>
      <c r="G611" s="2" t="s">
        <v>36</v>
      </c>
      <c r="H611" s="2">
        <v>1</v>
      </c>
      <c r="I611" s="2" t="s">
        <v>39</v>
      </c>
      <c r="J611" s="2" t="str">
        <f>VLOOKUP(E611,[1]LL_Hub!$A$1:$B$13,2,FALSE)</f>
        <v>Denver</v>
      </c>
      <c r="K611" t="str">
        <f>VLOOKUP(D611,'[2]product Table data'!$A$2:$B$12,2,FALSE)</f>
        <v>Female</v>
      </c>
      <c r="L611" t="str">
        <f>VLOOKUP($D611,'[2]product Table data'!$A$2:$G$12,L$1,FALSE)</f>
        <v>Casual n Light</v>
      </c>
      <c r="M611" t="str">
        <f>VLOOKUP($D611,'[2]product Table data'!$A$2:$G$12,M$1,FALSE)</f>
        <v>Guatemala</v>
      </c>
      <c r="N611" t="str">
        <f>VLOOKUP($D611,'[2]product Table data'!$A$2:$G$12,N$1,FALSE)</f>
        <v>Central America</v>
      </c>
      <c r="O611">
        <f>VLOOKUP($D611,'[2]product Table data'!$A$2:$G$12,O$1,FALSE)</f>
        <v>25</v>
      </c>
      <c r="P611">
        <f>VLOOKUP($D611,'[2]product Table data'!$A$2:$G$12,P$1,FALSE)</f>
        <v>30</v>
      </c>
      <c r="Q611">
        <f t="shared" si="45"/>
        <v>5</v>
      </c>
      <c r="R611" t="str">
        <f t="shared" si="46"/>
        <v>Hub Risk</v>
      </c>
      <c r="S611" t="str">
        <f t="shared" si="47"/>
        <v>Style Risk</v>
      </c>
      <c r="T611" t="str">
        <f t="shared" si="48"/>
        <v>Risk</v>
      </c>
      <c r="U611" t="str">
        <f t="shared" si="49"/>
        <v>Low Value</v>
      </c>
    </row>
    <row r="612" spans="1:21" hidden="1" x14ac:dyDescent="0.2">
      <c r="A612" s="2">
        <v>359</v>
      </c>
      <c r="B612" s="2" t="s">
        <v>9</v>
      </c>
      <c r="C612" s="2" t="s">
        <v>921</v>
      </c>
      <c r="D612" s="2" t="s">
        <v>566</v>
      </c>
      <c r="E612" s="2">
        <v>80123</v>
      </c>
      <c r="F612" s="2" t="s">
        <v>496</v>
      </c>
      <c r="G612" s="2" t="s">
        <v>36</v>
      </c>
      <c r="H612" s="2">
        <v>1</v>
      </c>
      <c r="I612" s="2" t="s">
        <v>39</v>
      </c>
      <c r="J612" s="2" t="str">
        <f>VLOOKUP(E612,[1]LL_Hub!$A$1:$B$13,2,FALSE)</f>
        <v>Denver</v>
      </c>
      <c r="K612" t="str">
        <f>VLOOKUP(D612,'[2]product Table data'!$A$2:$B$12,2,FALSE)</f>
        <v>Female</v>
      </c>
      <c r="L612" t="str">
        <f>VLOOKUP($D612,'[2]product Table data'!$A$2:$G$12,L$1,FALSE)</f>
        <v>Casual n Light</v>
      </c>
      <c r="M612" t="str">
        <f>VLOOKUP($D612,'[2]product Table data'!$A$2:$G$12,M$1,FALSE)</f>
        <v>Guatemala</v>
      </c>
      <c r="N612" t="str">
        <f>VLOOKUP($D612,'[2]product Table data'!$A$2:$G$12,N$1,FALSE)</f>
        <v>Central America</v>
      </c>
      <c r="O612">
        <f>VLOOKUP($D612,'[2]product Table data'!$A$2:$G$12,O$1,FALSE)</f>
        <v>25</v>
      </c>
      <c r="P612">
        <f>VLOOKUP($D612,'[2]product Table data'!$A$2:$G$12,P$1,FALSE)</f>
        <v>30</v>
      </c>
      <c r="Q612">
        <f t="shared" si="45"/>
        <v>5</v>
      </c>
      <c r="R612" t="str">
        <f t="shared" si="46"/>
        <v>Hub Risk</v>
      </c>
      <c r="S612" t="str">
        <f t="shared" si="47"/>
        <v>Style Risk</v>
      </c>
      <c r="T612" t="str">
        <f t="shared" si="48"/>
        <v>Risk</v>
      </c>
      <c r="U612" t="str">
        <f t="shared" si="49"/>
        <v>Low Value</v>
      </c>
    </row>
    <row r="613" spans="1:21" hidden="1" x14ac:dyDescent="0.2">
      <c r="A613" s="2">
        <v>360</v>
      </c>
      <c r="B613" s="2" t="s">
        <v>9</v>
      </c>
      <c r="C613" s="2" t="s">
        <v>922</v>
      </c>
      <c r="D613" s="2" t="s">
        <v>566</v>
      </c>
      <c r="E613" s="2">
        <v>80123</v>
      </c>
      <c r="F613" s="2" t="s">
        <v>496</v>
      </c>
      <c r="G613" s="2" t="s">
        <v>36</v>
      </c>
      <c r="H613" s="2">
        <v>1</v>
      </c>
      <c r="I613" s="2" t="s">
        <v>39</v>
      </c>
      <c r="J613" s="2" t="str">
        <f>VLOOKUP(E613,[1]LL_Hub!$A$1:$B$13,2,FALSE)</f>
        <v>Denver</v>
      </c>
      <c r="K613" t="str">
        <f>VLOOKUP(D613,'[2]product Table data'!$A$2:$B$12,2,FALSE)</f>
        <v>Female</v>
      </c>
      <c r="L613" t="str">
        <f>VLOOKUP($D613,'[2]product Table data'!$A$2:$G$12,L$1,FALSE)</f>
        <v>Casual n Light</v>
      </c>
      <c r="M613" t="str">
        <f>VLOOKUP($D613,'[2]product Table data'!$A$2:$G$12,M$1,FALSE)</f>
        <v>Guatemala</v>
      </c>
      <c r="N613" t="str">
        <f>VLOOKUP($D613,'[2]product Table data'!$A$2:$G$12,N$1,FALSE)</f>
        <v>Central America</v>
      </c>
      <c r="O613">
        <f>VLOOKUP($D613,'[2]product Table data'!$A$2:$G$12,O$1,FALSE)</f>
        <v>25</v>
      </c>
      <c r="P613">
        <f>VLOOKUP($D613,'[2]product Table data'!$A$2:$G$12,P$1,FALSE)</f>
        <v>30</v>
      </c>
      <c r="Q613">
        <f t="shared" si="45"/>
        <v>5</v>
      </c>
      <c r="R613" t="str">
        <f t="shared" si="46"/>
        <v>Hub Risk</v>
      </c>
      <c r="S613" t="str">
        <f t="shared" si="47"/>
        <v>Style Risk</v>
      </c>
      <c r="T613" t="str">
        <f t="shared" si="48"/>
        <v>Risk</v>
      </c>
      <c r="U613" t="str">
        <f t="shared" si="49"/>
        <v>Low Value</v>
      </c>
    </row>
    <row r="614" spans="1:21" hidden="1" x14ac:dyDescent="0.2">
      <c r="A614" s="2">
        <v>361</v>
      </c>
      <c r="B614" s="2" t="s">
        <v>9</v>
      </c>
      <c r="C614" s="2" t="s">
        <v>923</v>
      </c>
      <c r="D614" s="2" t="s">
        <v>566</v>
      </c>
      <c r="E614" s="2">
        <v>80123</v>
      </c>
      <c r="F614" s="2" t="s">
        <v>496</v>
      </c>
      <c r="G614" s="2" t="s">
        <v>36</v>
      </c>
      <c r="H614" s="2">
        <v>1</v>
      </c>
      <c r="I614" s="2" t="s">
        <v>39</v>
      </c>
      <c r="J614" s="2" t="str">
        <f>VLOOKUP(E614,[1]LL_Hub!$A$1:$B$13,2,FALSE)</f>
        <v>Denver</v>
      </c>
      <c r="K614" t="str">
        <f>VLOOKUP(D614,'[2]product Table data'!$A$2:$B$12,2,FALSE)</f>
        <v>Female</v>
      </c>
      <c r="L614" t="str">
        <f>VLOOKUP($D614,'[2]product Table data'!$A$2:$G$12,L$1,FALSE)</f>
        <v>Casual n Light</v>
      </c>
      <c r="M614" t="str">
        <f>VLOOKUP($D614,'[2]product Table data'!$A$2:$G$12,M$1,FALSE)</f>
        <v>Guatemala</v>
      </c>
      <c r="N614" t="str">
        <f>VLOOKUP($D614,'[2]product Table data'!$A$2:$G$12,N$1,FALSE)</f>
        <v>Central America</v>
      </c>
      <c r="O614">
        <f>VLOOKUP($D614,'[2]product Table data'!$A$2:$G$12,O$1,FALSE)</f>
        <v>25</v>
      </c>
      <c r="P614">
        <f>VLOOKUP($D614,'[2]product Table data'!$A$2:$G$12,P$1,FALSE)</f>
        <v>30</v>
      </c>
      <c r="Q614">
        <f t="shared" si="45"/>
        <v>5</v>
      </c>
      <c r="R614" t="str">
        <f t="shared" si="46"/>
        <v>Hub Risk</v>
      </c>
      <c r="S614" t="str">
        <f t="shared" si="47"/>
        <v>Style Risk</v>
      </c>
      <c r="T614" t="str">
        <f t="shared" si="48"/>
        <v>Risk</v>
      </c>
      <c r="U614" t="str">
        <f t="shared" si="49"/>
        <v>Low Value</v>
      </c>
    </row>
    <row r="615" spans="1:21" hidden="1" x14ac:dyDescent="0.2">
      <c r="A615" s="2">
        <v>362</v>
      </c>
      <c r="B615" s="2" t="s">
        <v>9</v>
      </c>
      <c r="C615" s="2" t="s">
        <v>924</v>
      </c>
      <c r="D615" s="2" t="s">
        <v>566</v>
      </c>
      <c r="E615" s="2">
        <v>80123</v>
      </c>
      <c r="F615" s="2" t="s">
        <v>925</v>
      </c>
      <c r="G615" s="2" t="s">
        <v>13</v>
      </c>
      <c r="H615" s="2">
        <v>1</v>
      </c>
      <c r="I615" s="2" t="s">
        <v>39</v>
      </c>
      <c r="J615" s="2" t="str">
        <f>VLOOKUP(E615,[1]LL_Hub!$A$1:$B$13,2,FALSE)</f>
        <v>Denver</v>
      </c>
      <c r="K615" t="str">
        <f>VLOOKUP(D615,'[2]product Table data'!$A$2:$B$12,2,FALSE)</f>
        <v>Female</v>
      </c>
      <c r="L615" t="str">
        <f>VLOOKUP($D615,'[2]product Table data'!$A$2:$G$12,L$1,FALSE)</f>
        <v>Casual n Light</v>
      </c>
      <c r="M615" t="str">
        <f>VLOOKUP($D615,'[2]product Table data'!$A$2:$G$12,M$1,FALSE)</f>
        <v>Guatemala</v>
      </c>
      <c r="N615" t="str">
        <f>VLOOKUP($D615,'[2]product Table data'!$A$2:$G$12,N$1,FALSE)</f>
        <v>Central America</v>
      </c>
      <c r="O615">
        <f>VLOOKUP($D615,'[2]product Table data'!$A$2:$G$12,O$1,FALSE)</f>
        <v>25</v>
      </c>
      <c r="P615">
        <f>VLOOKUP($D615,'[2]product Table data'!$A$2:$G$12,P$1,FALSE)</f>
        <v>30</v>
      </c>
      <c r="Q615">
        <f t="shared" si="45"/>
        <v>5</v>
      </c>
      <c r="R615" t="str">
        <f t="shared" si="46"/>
        <v>Hub Risk</v>
      </c>
      <c r="S615" t="str">
        <f t="shared" si="47"/>
        <v>Style Risk</v>
      </c>
      <c r="T615" t="str">
        <f t="shared" si="48"/>
        <v>Risk</v>
      </c>
      <c r="U615" t="str">
        <f t="shared" si="49"/>
        <v>Low Value</v>
      </c>
    </row>
    <row r="616" spans="1:21" hidden="1" x14ac:dyDescent="0.2">
      <c r="A616" s="2">
        <v>363</v>
      </c>
      <c r="B616" s="2" t="s">
        <v>9</v>
      </c>
      <c r="C616" s="2" t="s">
        <v>926</v>
      </c>
      <c r="D616" s="2" t="s">
        <v>566</v>
      </c>
      <c r="E616" s="2">
        <v>80123</v>
      </c>
      <c r="F616" s="2" t="s">
        <v>927</v>
      </c>
      <c r="G616" s="2" t="s">
        <v>13</v>
      </c>
      <c r="H616" s="2">
        <v>1</v>
      </c>
      <c r="I616" s="2" t="s">
        <v>39</v>
      </c>
      <c r="J616" s="2" t="str">
        <f>VLOOKUP(E616,[1]LL_Hub!$A$1:$B$13,2,FALSE)</f>
        <v>Denver</v>
      </c>
      <c r="K616" t="str">
        <f>VLOOKUP(D616,'[2]product Table data'!$A$2:$B$12,2,FALSE)</f>
        <v>Female</v>
      </c>
      <c r="L616" t="str">
        <f>VLOOKUP($D616,'[2]product Table data'!$A$2:$G$12,L$1,FALSE)</f>
        <v>Casual n Light</v>
      </c>
      <c r="M616" t="str">
        <f>VLOOKUP($D616,'[2]product Table data'!$A$2:$G$12,M$1,FALSE)</f>
        <v>Guatemala</v>
      </c>
      <c r="N616" t="str">
        <f>VLOOKUP($D616,'[2]product Table data'!$A$2:$G$12,N$1,FALSE)</f>
        <v>Central America</v>
      </c>
      <c r="O616">
        <f>VLOOKUP($D616,'[2]product Table data'!$A$2:$G$12,O$1,FALSE)</f>
        <v>25</v>
      </c>
      <c r="P616">
        <f>VLOOKUP($D616,'[2]product Table data'!$A$2:$G$12,P$1,FALSE)</f>
        <v>30</v>
      </c>
      <c r="Q616">
        <f t="shared" si="45"/>
        <v>5</v>
      </c>
      <c r="R616" t="str">
        <f t="shared" si="46"/>
        <v>Hub Risk</v>
      </c>
      <c r="S616" t="str">
        <f t="shared" si="47"/>
        <v>Style Risk</v>
      </c>
      <c r="T616" t="str">
        <f t="shared" si="48"/>
        <v>Risk</v>
      </c>
      <c r="U616" t="str">
        <f t="shared" si="49"/>
        <v>Low Value</v>
      </c>
    </row>
    <row r="617" spans="1:21" hidden="1" x14ac:dyDescent="0.2">
      <c r="A617" s="2">
        <v>364</v>
      </c>
      <c r="B617" s="2" t="s">
        <v>9</v>
      </c>
      <c r="C617" s="2" t="s">
        <v>928</v>
      </c>
      <c r="D617" s="2" t="s">
        <v>566</v>
      </c>
      <c r="E617" s="2">
        <v>80123</v>
      </c>
      <c r="F617" s="2" t="s">
        <v>929</v>
      </c>
      <c r="G617" s="2" t="s">
        <v>13</v>
      </c>
      <c r="H617" s="2">
        <v>1</v>
      </c>
      <c r="I617" s="2" t="s">
        <v>39</v>
      </c>
      <c r="J617" s="2" t="str">
        <f>VLOOKUP(E617,[1]LL_Hub!$A$1:$B$13,2,FALSE)</f>
        <v>Denver</v>
      </c>
      <c r="K617" t="str">
        <f>VLOOKUP(D617,'[2]product Table data'!$A$2:$B$12,2,FALSE)</f>
        <v>Female</v>
      </c>
      <c r="L617" t="str">
        <f>VLOOKUP($D617,'[2]product Table data'!$A$2:$G$12,L$1,FALSE)</f>
        <v>Casual n Light</v>
      </c>
      <c r="M617" t="str">
        <f>VLOOKUP($D617,'[2]product Table data'!$A$2:$G$12,M$1,FALSE)</f>
        <v>Guatemala</v>
      </c>
      <c r="N617" t="str">
        <f>VLOOKUP($D617,'[2]product Table data'!$A$2:$G$12,N$1,FALSE)</f>
        <v>Central America</v>
      </c>
      <c r="O617">
        <f>VLOOKUP($D617,'[2]product Table data'!$A$2:$G$12,O$1,FALSE)</f>
        <v>25</v>
      </c>
      <c r="P617">
        <f>VLOOKUP($D617,'[2]product Table data'!$A$2:$G$12,P$1,FALSE)</f>
        <v>30</v>
      </c>
      <c r="Q617">
        <f t="shared" si="45"/>
        <v>5</v>
      </c>
      <c r="R617" t="str">
        <f t="shared" si="46"/>
        <v>Hub Risk</v>
      </c>
      <c r="S617" t="str">
        <f t="shared" si="47"/>
        <v>Style Risk</v>
      </c>
      <c r="T617" t="str">
        <f t="shared" si="48"/>
        <v>Risk</v>
      </c>
      <c r="U617" t="str">
        <f t="shared" si="49"/>
        <v>Low Value</v>
      </c>
    </row>
    <row r="618" spans="1:21" hidden="1" x14ac:dyDescent="0.2">
      <c r="A618" s="2">
        <v>365</v>
      </c>
      <c r="B618" s="2" t="s">
        <v>9</v>
      </c>
      <c r="C618" s="2" t="s">
        <v>930</v>
      </c>
      <c r="D618" s="2" t="s">
        <v>566</v>
      </c>
      <c r="E618" s="2">
        <v>80123</v>
      </c>
      <c r="F618" s="2" t="s">
        <v>931</v>
      </c>
      <c r="G618" s="2" t="s">
        <v>13</v>
      </c>
      <c r="H618" s="2">
        <v>1</v>
      </c>
      <c r="I618" s="2" t="s">
        <v>39</v>
      </c>
      <c r="J618" s="2" t="str">
        <f>VLOOKUP(E618,[1]LL_Hub!$A$1:$B$13,2,FALSE)</f>
        <v>Denver</v>
      </c>
      <c r="K618" t="str">
        <f>VLOOKUP(D618,'[2]product Table data'!$A$2:$B$12,2,FALSE)</f>
        <v>Female</v>
      </c>
      <c r="L618" t="str">
        <f>VLOOKUP($D618,'[2]product Table data'!$A$2:$G$12,L$1,FALSE)</f>
        <v>Casual n Light</v>
      </c>
      <c r="M618" t="str">
        <f>VLOOKUP($D618,'[2]product Table data'!$A$2:$G$12,M$1,FALSE)</f>
        <v>Guatemala</v>
      </c>
      <c r="N618" t="str">
        <f>VLOOKUP($D618,'[2]product Table data'!$A$2:$G$12,N$1,FALSE)</f>
        <v>Central America</v>
      </c>
      <c r="O618">
        <f>VLOOKUP($D618,'[2]product Table data'!$A$2:$G$12,O$1,FALSE)</f>
        <v>25</v>
      </c>
      <c r="P618">
        <f>VLOOKUP($D618,'[2]product Table data'!$A$2:$G$12,P$1,FALSE)</f>
        <v>30</v>
      </c>
      <c r="Q618">
        <f t="shared" si="45"/>
        <v>5</v>
      </c>
      <c r="R618" t="str">
        <f t="shared" si="46"/>
        <v>Hub Risk</v>
      </c>
      <c r="S618" t="str">
        <f t="shared" si="47"/>
        <v>Style Risk</v>
      </c>
      <c r="T618" t="str">
        <f t="shared" si="48"/>
        <v>Risk</v>
      </c>
      <c r="U618" t="str">
        <f t="shared" si="49"/>
        <v>Low Value</v>
      </c>
    </row>
    <row r="619" spans="1:21" hidden="1" x14ac:dyDescent="0.2">
      <c r="A619" s="2">
        <v>366</v>
      </c>
      <c r="B619" s="2" t="s">
        <v>9</v>
      </c>
      <c r="C619" s="2" t="s">
        <v>932</v>
      </c>
      <c r="D619" s="2" t="s">
        <v>566</v>
      </c>
      <c r="E619" s="2">
        <v>80123</v>
      </c>
      <c r="F619" s="2" t="s">
        <v>933</v>
      </c>
      <c r="G619" s="2" t="s">
        <v>13</v>
      </c>
      <c r="H619" s="2">
        <v>1</v>
      </c>
      <c r="I619" s="2" t="s">
        <v>39</v>
      </c>
      <c r="J619" s="2" t="str">
        <f>VLOOKUP(E619,[1]LL_Hub!$A$1:$B$13,2,FALSE)</f>
        <v>Denver</v>
      </c>
      <c r="K619" t="str">
        <f>VLOOKUP(D619,'[2]product Table data'!$A$2:$B$12,2,FALSE)</f>
        <v>Female</v>
      </c>
      <c r="L619" t="str">
        <f>VLOOKUP($D619,'[2]product Table data'!$A$2:$G$12,L$1,FALSE)</f>
        <v>Casual n Light</v>
      </c>
      <c r="M619" t="str">
        <f>VLOOKUP($D619,'[2]product Table data'!$A$2:$G$12,M$1,FALSE)</f>
        <v>Guatemala</v>
      </c>
      <c r="N619" t="str">
        <f>VLOOKUP($D619,'[2]product Table data'!$A$2:$G$12,N$1,FALSE)</f>
        <v>Central America</v>
      </c>
      <c r="O619">
        <f>VLOOKUP($D619,'[2]product Table data'!$A$2:$G$12,O$1,FALSE)</f>
        <v>25</v>
      </c>
      <c r="P619">
        <f>VLOOKUP($D619,'[2]product Table data'!$A$2:$G$12,P$1,FALSE)</f>
        <v>30</v>
      </c>
      <c r="Q619">
        <f t="shared" si="45"/>
        <v>5</v>
      </c>
      <c r="R619" t="str">
        <f t="shared" si="46"/>
        <v>Hub Risk</v>
      </c>
      <c r="S619" t="str">
        <f t="shared" si="47"/>
        <v>Style Risk</v>
      </c>
      <c r="T619" t="str">
        <f t="shared" si="48"/>
        <v>Risk</v>
      </c>
      <c r="U619" t="str">
        <f t="shared" si="49"/>
        <v>Low Value</v>
      </c>
    </row>
    <row r="620" spans="1:21" hidden="1" x14ac:dyDescent="0.2">
      <c r="A620" s="2">
        <v>367</v>
      </c>
      <c r="B620" s="2" t="s">
        <v>9</v>
      </c>
      <c r="C620" s="2" t="s">
        <v>934</v>
      </c>
      <c r="D620" s="2" t="s">
        <v>566</v>
      </c>
      <c r="E620" s="2">
        <v>80123</v>
      </c>
      <c r="F620" s="2" t="s">
        <v>935</v>
      </c>
      <c r="G620" s="2" t="s">
        <v>13</v>
      </c>
      <c r="H620" s="2">
        <v>1</v>
      </c>
      <c r="I620" s="2" t="s">
        <v>39</v>
      </c>
      <c r="J620" s="2" t="str">
        <f>VLOOKUP(E620,[1]LL_Hub!$A$1:$B$13,2,FALSE)</f>
        <v>Denver</v>
      </c>
      <c r="K620" t="str">
        <f>VLOOKUP(D620,'[2]product Table data'!$A$2:$B$12,2,FALSE)</f>
        <v>Female</v>
      </c>
      <c r="L620" t="str">
        <f>VLOOKUP($D620,'[2]product Table data'!$A$2:$G$12,L$1,FALSE)</f>
        <v>Casual n Light</v>
      </c>
      <c r="M620" t="str">
        <f>VLOOKUP($D620,'[2]product Table data'!$A$2:$G$12,M$1,FALSE)</f>
        <v>Guatemala</v>
      </c>
      <c r="N620" t="str">
        <f>VLOOKUP($D620,'[2]product Table data'!$A$2:$G$12,N$1,FALSE)</f>
        <v>Central America</v>
      </c>
      <c r="O620">
        <f>VLOOKUP($D620,'[2]product Table data'!$A$2:$G$12,O$1,FALSE)</f>
        <v>25</v>
      </c>
      <c r="P620">
        <f>VLOOKUP($D620,'[2]product Table data'!$A$2:$G$12,P$1,FALSE)</f>
        <v>30</v>
      </c>
      <c r="Q620">
        <f t="shared" si="45"/>
        <v>5</v>
      </c>
      <c r="R620" t="str">
        <f t="shared" si="46"/>
        <v>Hub Risk</v>
      </c>
      <c r="S620" t="str">
        <f t="shared" si="47"/>
        <v>Style Risk</v>
      </c>
      <c r="T620" t="str">
        <f t="shared" si="48"/>
        <v>Risk</v>
      </c>
      <c r="U620" t="str">
        <f t="shared" si="49"/>
        <v>Low Value</v>
      </c>
    </row>
    <row r="621" spans="1:21" x14ac:dyDescent="0.2">
      <c r="A621" s="2">
        <v>693</v>
      </c>
      <c r="B621" s="2" t="s">
        <v>9</v>
      </c>
      <c r="C621" s="2" t="s">
        <v>1243</v>
      </c>
      <c r="D621" s="2" t="s">
        <v>558</v>
      </c>
      <c r="E621" s="2">
        <v>90005</v>
      </c>
      <c r="F621" s="2" t="s">
        <v>1244</v>
      </c>
      <c r="G621" s="2" t="s">
        <v>13</v>
      </c>
      <c r="H621" s="2">
        <v>1</v>
      </c>
      <c r="I621" s="2" t="s">
        <v>14</v>
      </c>
      <c r="J621" s="2" t="str">
        <f>VLOOKUP(E621,[1]LL_Hub!$A$1:$B$13,2,FALSE)</f>
        <v>Los Angeles</v>
      </c>
      <c r="K621" t="str">
        <f>VLOOKUP(D621,'[2]product Table data'!$A$2:$B$12,2,FALSE)</f>
        <v>Female</v>
      </c>
      <c r="L621" t="str">
        <f>VLOOKUP($D621,'[2]product Table data'!$A$2:$G$12,L$1,FALSE)</f>
        <v>Fancy Sheek</v>
      </c>
      <c r="M621" t="str">
        <f>VLOOKUP($D621,'[2]product Table data'!$A$2:$G$12,M$1,FALSE)</f>
        <v>Afghanistan</v>
      </c>
      <c r="N621" t="str">
        <f>VLOOKUP($D621,'[2]product Table data'!$A$2:$G$12,N$1,FALSE)</f>
        <v>Middle East</v>
      </c>
      <c r="O621">
        <f>VLOOKUP($D621,'[2]product Table data'!$A$2:$G$12,O$1,FALSE)</f>
        <v>150</v>
      </c>
      <c r="P621">
        <f>VLOOKUP($D621,'[2]product Table data'!$A$2:$G$12,P$1,FALSE)</f>
        <v>75</v>
      </c>
      <c r="Q621">
        <f t="shared" si="45"/>
        <v>-75</v>
      </c>
      <c r="R621" t="str">
        <f t="shared" si="46"/>
        <v>Hub Risk</v>
      </c>
      <c r="S621" t="str">
        <f t="shared" si="47"/>
        <v>Style Risk</v>
      </c>
      <c r="T621" t="str">
        <f t="shared" si="48"/>
        <v>Risk</v>
      </c>
      <c r="U621" t="str">
        <f t="shared" si="49"/>
        <v>Low Value</v>
      </c>
    </row>
    <row r="622" spans="1:21" x14ac:dyDescent="0.2">
      <c r="A622" s="2">
        <v>696</v>
      </c>
      <c r="B622" s="2" t="s">
        <v>9</v>
      </c>
      <c r="C622" s="2" t="s">
        <v>1247</v>
      </c>
      <c r="D622" s="2" t="s">
        <v>558</v>
      </c>
      <c r="E622" s="2">
        <v>90005</v>
      </c>
      <c r="F622" s="2" t="s">
        <v>1248</v>
      </c>
      <c r="G622" s="2" t="s">
        <v>13</v>
      </c>
      <c r="H622" s="2">
        <v>1</v>
      </c>
      <c r="I622" s="2" t="s">
        <v>14</v>
      </c>
      <c r="J622" s="2" t="str">
        <f>VLOOKUP(E622,[1]LL_Hub!$A$1:$B$13,2,FALSE)</f>
        <v>Los Angeles</v>
      </c>
      <c r="K622" t="str">
        <f>VLOOKUP(D622,'[2]product Table data'!$A$2:$B$12,2,FALSE)</f>
        <v>Female</v>
      </c>
      <c r="L622" t="str">
        <f>VLOOKUP($D622,'[2]product Table data'!$A$2:$G$12,L$1,FALSE)</f>
        <v>Fancy Sheek</v>
      </c>
      <c r="M622" t="str">
        <f>VLOOKUP($D622,'[2]product Table data'!$A$2:$G$12,M$1,FALSE)</f>
        <v>Afghanistan</v>
      </c>
      <c r="N622" t="str">
        <f>VLOOKUP($D622,'[2]product Table data'!$A$2:$G$12,N$1,FALSE)</f>
        <v>Middle East</v>
      </c>
      <c r="O622">
        <f>VLOOKUP($D622,'[2]product Table data'!$A$2:$G$12,O$1,FALSE)</f>
        <v>150</v>
      </c>
      <c r="P622">
        <f>VLOOKUP($D622,'[2]product Table data'!$A$2:$G$12,P$1,FALSE)</f>
        <v>75</v>
      </c>
      <c r="Q622">
        <f t="shared" si="45"/>
        <v>-75</v>
      </c>
      <c r="R622" t="str">
        <f t="shared" si="46"/>
        <v>Hub Risk</v>
      </c>
      <c r="S622" t="str">
        <f t="shared" si="47"/>
        <v>Style Risk</v>
      </c>
      <c r="T622" t="str">
        <f t="shared" si="48"/>
        <v>Risk</v>
      </c>
      <c r="U622" t="str">
        <f t="shared" si="49"/>
        <v>Low Value</v>
      </c>
    </row>
    <row r="623" spans="1:21" x14ac:dyDescent="0.2">
      <c r="A623" s="2">
        <v>743</v>
      </c>
      <c r="B623" s="2" t="s">
        <v>9</v>
      </c>
      <c r="C623" s="2" t="s">
        <v>1268</v>
      </c>
      <c r="D623" s="2" t="s">
        <v>558</v>
      </c>
      <c r="E623" s="2">
        <v>90005</v>
      </c>
      <c r="F623" s="2" t="s">
        <v>1269</v>
      </c>
      <c r="G623" s="2" t="s">
        <v>13</v>
      </c>
      <c r="H623" s="2">
        <v>1</v>
      </c>
      <c r="I623" s="2" t="s">
        <v>14</v>
      </c>
      <c r="J623" s="2" t="str">
        <f>VLOOKUP(E623,[1]LL_Hub!$A$1:$B$13,2,FALSE)</f>
        <v>Los Angeles</v>
      </c>
      <c r="K623" t="str">
        <f>VLOOKUP(D623,'[2]product Table data'!$A$2:$B$12,2,FALSE)</f>
        <v>Female</v>
      </c>
      <c r="L623" t="str">
        <f>VLOOKUP($D623,'[2]product Table data'!$A$2:$G$12,L$1,FALSE)</f>
        <v>Fancy Sheek</v>
      </c>
      <c r="M623" t="str">
        <f>VLOOKUP($D623,'[2]product Table data'!$A$2:$G$12,M$1,FALSE)</f>
        <v>Afghanistan</v>
      </c>
      <c r="N623" t="str">
        <f>VLOOKUP($D623,'[2]product Table data'!$A$2:$G$12,N$1,FALSE)</f>
        <v>Middle East</v>
      </c>
      <c r="O623">
        <f>VLOOKUP($D623,'[2]product Table data'!$A$2:$G$12,O$1,FALSE)</f>
        <v>150</v>
      </c>
      <c r="P623">
        <f>VLOOKUP($D623,'[2]product Table data'!$A$2:$G$12,P$1,FALSE)</f>
        <v>75</v>
      </c>
      <c r="Q623">
        <f t="shared" si="45"/>
        <v>-75</v>
      </c>
      <c r="R623" t="str">
        <f t="shared" si="46"/>
        <v>Hub Risk</v>
      </c>
      <c r="S623" t="str">
        <f t="shared" si="47"/>
        <v>Style Risk</v>
      </c>
      <c r="T623" t="str">
        <f t="shared" si="48"/>
        <v>Risk</v>
      </c>
      <c r="U623" t="str">
        <f t="shared" si="49"/>
        <v>Low Value</v>
      </c>
    </row>
    <row r="624" spans="1:21" x14ac:dyDescent="0.2">
      <c r="A624" s="2">
        <v>745</v>
      </c>
      <c r="B624" s="2" t="s">
        <v>9</v>
      </c>
      <c r="C624" s="2" t="s">
        <v>1271</v>
      </c>
      <c r="D624" s="2" t="s">
        <v>558</v>
      </c>
      <c r="E624" s="2">
        <v>90005</v>
      </c>
      <c r="F624" s="2" t="s">
        <v>1272</v>
      </c>
      <c r="G624" s="2" t="s">
        <v>13</v>
      </c>
      <c r="H624" s="2">
        <v>1</v>
      </c>
      <c r="I624" s="2" t="s">
        <v>14</v>
      </c>
      <c r="J624" s="2" t="str">
        <f>VLOOKUP(E624,[1]LL_Hub!$A$1:$B$13,2,FALSE)</f>
        <v>Los Angeles</v>
      </c>
      <c r="K624" t="str">
        <f>VLOOKUP(D624,'[2]product Table data'!$A$2:$B$12,2,FALSE)</f>
        <v>Female</v>
      </c>
      <c r="L624" t="str">
        <f>VLOOKUP($D624,'[2]product Table data'!$A$2:$G$12,L$1,FALSE)</f>
        <v>Fancy Sheek</v>
      </c>
      <c r="M624" t="str">
        <f>VLOOKUP($D624,'[2]product Table data'!$A$2:$G$12,M$1,FALSE)</f>
        <v>Afghanistan</v>
      </c>
      <c r="N624" t="str">
        <f>VLOOKUP($D624,'[2]product Table data'!$A$2:$G$12,N$1,FALSE)</f>
        <v>Middle East</v>
      </c>
      <c r="O624">
        <f>VLOOKUP($D624,'[2]product Table data'!$A$2:$G$12,O$1,FALSE)</f>
        <v>150</v>
      </c>
      <c r="P624">
        <f>VLOOKUP($D624,'[2]product Table data'!$A$2:$G$12,P$1,FALSE)</f>
        <v>75</v>
      </c>
      <c r="Q624">
        <f t="shared" si="45"/>
        <v>-75</v>
      </c>
      <c r="R624" t="str">
        <f t="shared" si="46"/>
        <v>Hub Risk</v>
      </c>
      <c r="S624" t="str">
        <f t="shared" si="47"/>
        <v>Style Risk</v>
      </c>
      <c r="T624" t="str">
        <f t="shared" si="48"/>
        <v>Risk</v>
      </c>
      <c r="U624" t="str">
        <f t="shared" si="49"/>
        <v>Low Value</v>
      </c>
    </row>
    <row r="625" spans="1:21" x14ac:dyDescent="0.2">
      <c r="A625" s="2">
        <v>747</v>
      </c>
      <c r="B625" s="2" t="s">
        <v>9</v>
      </c>
      <c r="C625" s="2" t="s">
        <v>1274</v>
      </c>
      <c r="D625" s="2" t="s">
        <v>558</v>
      </c>
      <c r="E625" s="2">
        <v>90005</v>
      </c>
      <c r="F625" s="2" t="s">
        <v>1275</v>
      </c>
      <c r="G625" s="2" t="s">
        <v>13</v>
      </c>
      <c r="H625" s="2">
        <v>1</v>
      </c>
      <c r="I625" s="2" t="s">
        <v>14</v>
      </c>
      <c r="J625" s="2" t="str">
        <f>VLOOKUP(E625,[1]LL_Hub!$A$1:$B$13,2,FALSE)</f>
        <v>Los Angeles</v>
      </c>
      <c r="K625" t="str">
        <f>VLOOKUP(D625,'[2]product Table data'!$A$2:$B$12,2,FALSE)</f>
        <v>Female</v>
      </c>
      <c r="L625" t="str">
        <f>VLOOKUP($D625,'[2]product Table data'!$A$2:$G$12,L$1,FALSE)</f>
        <v>Fancy Sheek</v>
      </c>
      <c r="M625" t="str">
        <f>VLOOKUP($D625,'[2]product Table data'!$A$2:$G$12,M$1,FALSE)</f>
        <v>Afghanistan</v>
      </c>
      <c r="N625" t="str">
        <f>VLOOKUP($D625,'[2]product Table data'!$A$2:$G$12,N$1,FALSE)</f>
        <v>Middle East</v>
      </c>
      <c r="O625">
        <f>VLOOKUP($D625,'[2]product Table data'!$A$2:$G$12,O$1,FALSE)</f>
        <v>150</v>
      </c>
      <c r="P625">
        <f>VLOOKUP($D625,'[2]product Table data'!$A$2:$G$12,P$1,FALSE)</f>
        <v>75</v>
      </c>
      <c r="Q625">
        <f t="shared" si="45"/>
        <v>-75</v>
      </c>
      <c r="R625" t="str">
        <f t="shared" si="46"/>
        <v>Hub Risk</v>
      </c>
      <c r="S625" t="str">
        <f t="shared" si="47"/>
        <v>Style Risk</v>
      </c>
      <c r="T625" t="str">
        <f t="shared" si="48"/>
        <v>Risk</v>
      </c>
      <c r="U625" t="str">
        <f t="shared" si="49"/>
        <v>Low Value</v>
      </c>
    </row>
    <row r="626" spans="1:21" x14ac:dyDescent="0.2">
      <c r="A626" s="2">
        <v>1514</v>
      </c>
      <c r="B626" s="2" t="s">
        <v>9</v>
      </c>
      <c r="C626" s="2" t="s">
        <v>2153</v>
      </c>
      <c r="D626" s="2" t="s">
        <v>558</v>
      </c>
      <c r="E626" s="2">
        <v>90021</v>
      </c>
      <c r="F626" s="2" t="s">
        <v>981</v>
      </c>
      <c r="G626" s="2" t="s">
        <v>36</v>
      </c>
      <c r="H626" s="2">
        <v>1</v>
      </c>
      <c r="I626" s="2" t="s">
        <v>14</v>
      </c>
      <c r="J626" s="2" t="str">
        <f>VLOOKUP(E626,[1]LL_Hub!$A$1:$B$13,2,FALSE)</f>
        <v>Los Angeles</v>
      </c>
      <c r="K626" t="str">
        <f>VLOOKUP(D626,'[2]product Table data'!$A$2:$B$12,2,FALSE)</f>
        <v>Female</v>
      </c>
      <c r="L626" t="str">
        <f>VLOOKUP($D626,'[2]product Table data'!$A$2:$G$12,L$1,FALSE)</f>
        <v>Fancy Sheek</v>
      </c>
      <c r="M626" t="str">
        <f>VLOOKUP($D626,'[2]product Table data'!$A$2:$G$12,M$1,FALSE)</f>
        <v>Afghanistan</v>
      </c>
      <c r="N626" t="str">
        <f>VLOOKUP($D626,'[2]product Table data'!$A$2:$G$12,N$1,FALSE)</f>
        <v>Middle East</v>
      </c>
      <c r="O626">
        <f>VLOOKUP($D626,'[2]product Table data'!$A$2:$G$12,O$1,FALSE)</f>
        <v>150</v>
      </c>
      <c r="P626">
        <f>VLOOKUP($D626,'[2]product Table data'!$A$2:$G$12,P$1,FALSE)</f>
        <v>75</v>
      </c>
      <c r="Q626">
        <f t="shared" si="45"/>
        <v>-75</v>
      </c>
      <c r="R626" t="str">
        <f t="shared" si="46"/>
        <v>Hub Risk</v>
      </c>
      <c r="S626" t="str">
        <f t="shared" si="47"/>
        <v>Style Risk</v>
      </c>
      <c r="T626" t="str">
        <f t="shared" si="48"/>
        <v>Risk</v>
      </c>
      <c r="U626" t="str">
        <f t="shared" si="49"/>
        <v>Low Value</v>
      </c>
    </row>
    <row r="627" spans="1:21" x14ac:dyDescent="0.2">
      <c r="A627" s="2">
        <v>1515</v>
      </c>
      <c r="B627" s="2" t="s">
        <v>9</v>
      </c>
      <c r="C627" s="2" t="s">
        <v>2154</v>
      </c>
      <c r="D627" s="2" t="s">
        <v>558</v>
      </c>
      <c r="E627" s="2">
        <v>90021</v>
      </c>
      <c r="F627" s="2" t="s">
        <v>981</v>
      </c>
      <c r="G627" s="2" t="s">
        <v>36</v>
      </c>
      <c r="H627" s="2">
        <v>1</v>
      </c>
      <c r="I627" s="2" t="s">
        <v>14</v>
      </c>
      <c r="J627" s="2" t="str">
        <f>VLOOKUP(E627,[1]LL_Hub!$A$1:$B$13,2,FALSE)</f>
        <v>Los Angeles</v>
      </c>
      <c r="K627" t="str">
        <f>VLOOKUP(D627,'[2]product Table data'!$A$2:$B$12,2,FALSE)</f>
        <v>Female</v>
      </c>
      <c r="L627" t="str">
        <f>VLOOKUP($D627,'[2]product Table data'!$A$2:$G$12,L$1,FALSE)</f>
        <v>Fancy Sheek</v>
      </c>
      <c r="M627" t="str">
        <f>VLOOKUP($D627,'[2]product Table data'!$A$2:$G$12,M$1,FALSE)</f>
        <v>Afghanistan</v>
      </c>
      <c r="N627" t="str">
        <f>VLOOKUP($D627,'[2]product Table data'!$A$2:$G$12,N$1,FALSE)</f>
        <v>Middle East</v>
      </c>
      <c r="O627">
        <f>VLOOKUP($D627,'[2]product Table data'!$A$2:$G$12,O$1,FALSE)</f>
        <v>150</v>
      </c>
      <c r="P627">
        <f>VLOOKUP($D627,'[2]product Table data'!$A$2:$G$12,P$1,FALSE)</f>
        <v>75</v>
      </c>
      <c r="Q627">
        <f t="shared" si="45"/>
        <v>-75</v>
      </c>
      <c r="R627" t="str">
        <f t="shared" si="46"/>
        <v>Hub Risk</v>
      </c>
      <c r="S627" t="str">
        <f t="shared" si="47"/>
        <v>Style Risk</v>
      </c>
      <c r="T627" t="str">
        <f t="shared" si="48"/>
        <v>Risk</v>
      </c>
      <c r="U627" t="str">
        <f t="shared" si="49"/>
        <v>Low Value</v>
      </c>
    </row>
    <row r="628" spans="1:21" x14ac:dyDescent="0.2">
      <c r="A628" s="2">
        <v>1516</v>
      </c>
      <c r="B628" s="2" t="s">
        <v>9</v>
      </c>
      <c r="C628" s="2" t="s">
        <v>2155</v>
      </c>
      <c r="D628" s="2" t="s">
        <v>558</v>
      </c>
      <c r="E628" s="2">
        <v>90021</v>
      </c>
      <c r="F628" s="2" t="s">
        <v>981</v>
      </c>
      <c r="G628" s="2" t="s">
        <v>36</v>
      </c>
      <c r="H628" s="2">
        <v>1</v>
      </c>
      <c r="I628" s="2" t="s">
        <v>14</v>
      </c>
      <c r="J628" s="2" t="str">
        <f>VLOOKUP(E628,[1]LL_Hub!$A$1:$B$13,2,FALSE)</f>
        <v>Los Angeles</v>
      </c>
      <c r="K628" t="str">
        <f>VLOOKUP(D628,'[2]product Table data'!$A$2:$B$12,2,FALSE)</f>
        <v>Female</v>
      </c>
      <c r="L628" t="str">
        <f>VLOOKUP($D628,'[2]product Table data'!$A$2:$G$12,L$1,FALSE)</f>
        <v>Fancy Sheek</v>
      </c>
      <c r="M628" t="str">
        <f>VLOOKUP($D628,'[2]product Table data'!$A$2:$G$12,M$1,FALSE)</f>
        <v>Afghanistan</v>
      </c>
      <c r="N628" t="str">
        <f>VLOOKUP($D628,'[2]product Table data'!$A$2:$G$12,N$1,FALSE)</f>
        <v>Middle East</v>
      </c>
      <c r="O628">
        <f>VLOOKUP($D628,'[2]product Table data'!$A$2:$G$12,O$1,FALSE)</f>
        <v>150</v>
      </c>
      <c r="P628">
        <f>VLOOKUP($D628,'[2]product Table data'!$A$2:$G$12,P$1,FALSE)</f>
        <v>75</v>
      </c>
      <c r="Q628">
        <f t="shared" si="45"/>
        <v>-75</v>
      </c>
      <c r="R628" t="str">
        <f t="shared" si="46"/>
        <v>Hub Risk</v>
      </c>
      <c r="S628" t="str">
        <f t="shared" si="47"/>
        <v>Style Risk</v>
      </c>
      <c r="T628" t="str">
        <f t="shared" si="48"/>
        <v>Risk</v>
      </c>
      <c r="U628" t="str">
        <f t="shared" si="49"/>
        <v>Low Value</v>
      </c>
    </row>
    <row r="629" spans="1:21" x14ac:dyDescent="0.2">
      <c r="A629" s="2">
        <v>1518</v>
      </c>
      <c r="B629" s="2" t="s">
        <v>9</v>
      </c>
      <c r="C629" s="2" t="s">
        <v>2157</v>
      </c>
      <c r="D629" s="2" t="s">
        <v>558</v>
      </c>
      <c r="E629" s="2">
        <v>90021</v>
      </c>
      <c r="F629" s="2" t="s">
        <v>981</v>
      </c>
      <c r="G629" s="2" t="s">
        <v>36</v>
      </c>
      <c r="H629" s="2">
        <v>1</v>
      </c>
      <c r="I629" s="2" t="s">
        <v>14</v>
      </c>
      <c r="J629" s="2" t="str">
        <f>VLOOKUP(E629,[1]LL_Hub!$A$1:$B$13,2,FALSE)</f>
        <v>Los Angeles</v>
      </c>
      <c r="K629" t="str">
        <f>VLOOKUP(D629,'[2]product Table data'!$A$2:$B$12,2,FALSE)</f>
        <v>Female</v>
      </c>
      <c r="L629" t="str">
        <f>VLOOKUP($D629,'[2]product Table data'!$A$2:$G$12,L$1,FALSE)</f>
        <v>Fancy Sheek</v>
      </c>
      <c r="M629" t="str">
        <f>VLOOKUP($D629,'[2]product Table data'!$A$2:$G$12,M$1,FALSE)</f>
        <v>Afghanistan</v>
      </c>
      <c r="N629" t="str">
        <f>VLOOKUP($D629,'[2]product Table data'!$A$2:$G$12,N$1,FALSE)</f>
        <v>Middle East</v>
      </c>
      <c r="O629">
        <f>VLOOKUP($D629,'[2]product Table data'!$A$2:$G$12,O$1,FALSE)</f>
        <v>150</v>
      </c>
      <c r="P629">
        <f>VLOOKUP($D629,'[2]product Table data'!$A$2:$G$12,P$1,FALSE)</f>
        <v>75</v>
      </c>
      <c r="Q629">
        <f t="shared" si="45"/>
        <v>-75</v>
      </c>
      <c r="R629" t="str">
        <f t="shared" si="46"/>
        <v>Hub Risk</v>
      </c>
      <c r="S629" t="str">
        <f t="shared" si="47"/>
        <v>Style Risk</v>
      </c>
      <c r="T629" t="str">
        <f t="shared" si="48"/>
        <v>Risk</v>
      </c>
      <c r="U629" t="str">
        <f t="shared" si="49"/>
        <v>Low Value</v>
      </c>
    </row>
    <row r="630" spans="1:21" x14ac:dyDescent="0.2">
      <c r="A630" s="2">
        <v>1519</v>
      </c>
      <c r="B630" s="2" t="s">
        <v>9</v>
      </c>
      <c r="C630" s="2" t="s">
        <v>2158</v>
      </c>
      <c r="D630" s="2" t="s">
        <v>558</v>
      </c>
      <c r="E630" s="2">
        <v>90021</v>
      </c>
      <c r="F630" s="2" t="s">
        <v>981</v>
      </c>
      <c r="G630" s="2" t="s">
        <v>36</v>
      </c>
      <c r="H630" s="2">
        <v>1</v>
      </c>
      <c r="I630" s="2" t="s">
        <v>14</v>
      </c>
      <c r="J630" s="2" t="str">
        <f>VLOOKUP(E630,[1]LL_Hub!$A$1:$B$13,2,FALSE)</f>
        <v>Los Angeles</v>
      </c>
      <c r="K630" t="str">
        <f>VLOOKUP(D630,'[2]product Table data'!$A$2:$B$12,2,FALSE)</f>
        <v>Female</v>
      </c>
      <c r="L630" t="str">
        <f>VLOOKUP($D630,'[2]product Table data'!$A$2:$G$12,L$1,FALSE)</f>
        <v>Fancy Sheek</v>
      </c>
      <c r="M630" t="str">
        <f>VLOOKUP($D630,'[2]product Table data'!$A$2:$G$12,M$1,FALSE)</f>
        <v>Afghanistan</v>
      </c>
      <c r="N630" t="str">
        <f>VLOOKUP($D630,'[2]product Table data'!$A$2:$G$12,N$1,FALSE)</f>
        <v>Middle East</v>
      </c>
      <c r="O630">
        <f>VLOOKUP($D630,'[2]product Table data'!$A$2:$G$12,O$1,FALSE)</f>
        <v>150</v>
      </c>
      <c r="P630">
        <f>VLOOKUP($D630,'[2]product Table data'!$A$2:$G$12,P$1,FALSE)</f>
        <v>75</v>
      </c>
      <c r="Q630">
        <f t="shared" si="45"/>
        <v>-75</v>
      </c>
      <c r="R630" t="str">
        <f t="shared" si="46"/>
        <v>Hub Risk</v>
      </c>
      <c r="S630" t="str">
        <f t="shared" si="47"/>
        <v>Style Risk</v>
      </c>
      <c r="T630" t="str">
        <f t="shared" si="48"/>
        <v>Risk</v>
      </c>
      <c r="U630" t="str">
        <f t="shared" si="49"/>
        <v>Low Value</v>
      </c>
    </row>
    <row r="631" spans="1:21" x14ac:dyDescent="0.2">
      <c r="A631" s="2">
        <v>1520</v>
      </c>
      <c r="B631" s="2" t="s">
        <v>9</v>
      </c>
      <c r="C631" s="2" t="s">
        <v>2159</v>
      </c>
      <c r="D631" s="2" t="s">
        <v>558</v>
      </c>
      <c r="E631" s="2">
        <v>90021</v>
      </c>
      <c r="F631" s="2" t="s">
        <v>981</v>
      </c>
      <c r="G631" s="2" t="s">
        <v>36</v>
      </c>
      <c r="H631" s="2">
        <v>1</v>
      </c>
      <c r="I631" s="2" t="s">
        <v>14</v>
      </c>
      <c r="J631" s="2" t="str">
        <f>VLOOKUP(E631,[1]LL_Hub!$A$1:$B$13,2,FALSE)</f>
        <v>Los Angeles</v>
      </c>
      <c r="K631" t="str">
        <f>VLOOKUP(D631,'[2]product Table data'!$A$2:$B$12,2,FALSE)</f>
        <v>Female</v>
      </c>
      <c r="L631" t="str">
        <f>VLOOKUP($D631,'[2]product Table data'!$A$2:$G$12,L$1,FALSE)</f>
        <v>Fancy Sheek</v>
      </c>
      <c r="M631" t="str">
        <f>VLOOKUP($D631,'[2]product Table data'!$A$2:$G$12,M$1,FALSE)</f>
        <v>Afghanistan</v>
      </c>
      <c r="N631" t="str">
        <f>VLOOKUP($D631,'[2]product Table data'!$A$2:$G$12,N$1,FALSE)</f>
        <v>Middle East</v>
      </c>
      <c r="O631">
        <f>VLOOKUP($D631,'[2]product Table data'!$A$2:$G$12,O$1,FALSE)</f>
        <v>150</v>
      </c>
      <c r="P631">
        <f>VLOOKUP($D631,'[2]product Table data'!$A$2:$G$12,P$1,FALSE)</f>
        <v>75</v>
      </c>
      <c r="Q631">
        <f t="shared" si="45"/>
        <v>-75</v>
      </c>
      <c r="R631" t="str">
        <f t="shared" si="46"/>
        <v>Hub Risk</v>
      </c>
      <c r="S631" t="str">
        <f t="shared" si="47"/>
        <v>Style Risk</v>
      </c>
      <c r="T631" t="str">
        <f t="shared" si="48"/>
        <v>Risk</v>
      </c>
      <c r="U631" t="str">
        <f t="shared" si="49"/>
        <v>Low Value</v>
      </c>
    </row>
    <row r="632" spans="1:21" x14ac:dyDescent="0.2">
      <c r="A632" s="2">
        <v>368</v>
      </c>
      <c r="B632" s="2" t="s">
        <v>9</v>
      </c>
      <c r="C632" s="2" t="s">
        <v>936</v>
      </c>
      <c r="D632" s="2" t="s">
        <v>566</v>
      </c>
      <c r="E632" s="2">
        <v>80123</v>
      </c>
      <c r="F632" s="2" t="s">
        <v>937</v>
      </c>
      <c r="G632" s="2" t="s">
        <v>13</v>
      </c>
      <c r="H632" s="2">
        <v>1</v>
      </c>
      <c r="I632" s="2" t="s">
        <v>14</v>
      </c>
      <c r="J632" s="2" t="str">
        <f>VLOOKUP(E632,[1]LL_Hub!$A$1:$B$13,2,FALSE)</f>
        <v>Denver</v>
      </c>
      <c r="K632" t="str">
        <f>VLOOKUP(D632,'[2]product Table data'!$A$2:$B$12,2,FALSE)</f>
        <v>Female</v>
      </c>
      <c r="L632" t="str">
        <f>VLOOKUP($D632,'[2]product Table data'!$A$2:$G$12,L$1,FALSE)</f>
        <v>Casual n Light</v>
      </c>
      <c r="M632" t="str">
        <f>VLOOKUP($D632,'[2]product Table data'!$A$2:$G$12,M$1,FALSE)</f>
        <v>Guatemala</v>
      </c>
      <c r="N632" t="str">
        <f>VLOOKUP($D632,'[2]product Table data'!$A$2:$G$12,N$1,FALSE)</f>
        <v>Central America</v>
      </c>
      <c r="O632">
        <f>VLOOKUP($D632,'[2]product Table data'!$A$2:$G$12,O$1,FALSE)</f>
        <v>25</v>
      </c>
      <c r="P632">
        <f>VLOOKUP($D632,'[2]product Table data'!$A$2:$G$12,P$1,FALSE)</f>
        <v>30</v>
      </c>
      <c r="Q632">
        <f t="shared" si="45"/>
        <v>5</v>
      </c>
      <c r="R632" t="str">
        <f t="shared" si="46"/>
        <v>Hub Risk</v>
      </c>
      <c r="S632" t="str">
        <f t="shared" si="47"/>
        <v>Style Risk</v>
      </c>
      <c r="T632" t="str">
        <f t="shared" si="48"/>
        <v>Risk</v>
      </c>
      <c r="U632" t="str">
        <f t="shared" si="49"/>
        <v>Low Value</v>
      </c>
    </row>
    <row r="633" spans="1:21" x14ac:dyDescent="0.2">
      <c r="A633" s="2">
        <v>369</v>
      </c>
      <c r="B633" s="2" t="s">
        <v>9</v>
      </c>
      <c r="C633" s="2" t="s">
        <v>938</v>
      </c>
      <c r="D633" s="2" t="s">
        <v>566</v>
      </c>
      <c r="E633" s="2">
        <v>80123</v>
      </c>
      <c r="F633" s="2" t="s">
        <v>939</v>
      </c>
      <c r="G633" s="2" t="s">
        <v>13</v>
      </c>
      <c r="H633" s="2">
        <v>1</v>
      </c>
      <c r="I633" s="2" t="s">
        <v>14</v>
      </c>
      <c r="J633" s="2" t="str">
        <f>VLOOKUP(E633,[1]LL_Hub!$A$1:$B$13,2,FALSE)</f>
        <v>Denver</v>
      </c>
      <c r="K633" t="str">
        <f>VLOOKUP(D633,'[2]product Table data'!$A$2:$B$12,2,FALSE)</f>
        <v>Female</v>
      </c>
      <c r="L633" t="str">
        <f>VLOOKUP($D633,'[2]product Table data'!$A$2:$G$12,L$1,FALSE)</f>
        <v>Casual n Light</v>
      </c>
      <c r="M633" t="str">
        <f>VLOOKUP($D633,'[2]product Table data'!$A$2:$G$12,M$1,FALSE)</f>
        <v>Guatemala</v>
      </c>
      <c r="N633" t="str">
        <f>VLOOKUP($D633,'[2]product Table data'!$A$2:$G$12,N$1,FALSE)</f>
        <v>Central America</v>
      </c>
      <c r="O633">
        <f>VLOOKUP($D633,'[2]product Table data'!$A$2:$G$12,O$1,FALSE)</f>
        <v>25</v>
      </c>
      <c r="P633">
        <f>VLOOKUP($D633,'[2]product Table data'!$A$2:$G$12,P$1,FALSE)</f>
        <v>30</v>
      </c>
      <c r="Q633">
        <f t="shared" si="45"/>
        <v>5</v>
      </c>
      <c r="R633" t="str">
        <f t="shared" si="46"/>
        <v>Hub Risk</v>
      </c>
      <c r="S633" t="str">
        <f t="shared" si="47"/>
        <v>Style Risk</v>
      </c>
      <c r="T633" t="str">
        <f t="shared" si="48"/>
        <v>Risk</v>
      </c>
      <c r="U633" t="str">
        <f t="shared" si="49"/>
        <v>Low Value</v>
      </c>
    </row>
    <row r="634" spans="1:21" x14ac:dyDescent="0.2">
      <c r="A634" s="2">
        <v>370</v>
      </c>
      <c r="B634" s="2" t="s">
        <v>9</v>
      </c>
      <c r="C634" s="2" t="s">
        <v>940</v>
      </c>
      <c r="D634" s="2" t="s">
        <v>566</v>
      </c>
      <c r="E634" s="2">
        <v>80123</v>
      </c>
      <c r="F634" s="2" t="s">
        <v>941</v>
      </c>
      <c r="G634" s="2" t="s">
        <v>13</v>
      </c>
      <c r="H634" s="2">
        <v>1</v>
      </c>
      <c r="I634" s="2" t="s">
        <v>14</v>
      </c>
      <c r="J634" s="2" t="str">
        <f>VLOOKUP(E634,[1]LL_Hub!$A$1:$B$13,2,FALSE)</f>
        <v>Denver</v>
      </c>
      <c r="K634" t="str">
        <f>VLOOKUP(D634,'[2]product Table data'!$A$2:$B$12,2,FALSE)</f>
        <v>Female</v>
      </c>
      <c r="L634" t="str">
        <f>VLOOKUP($D634,'[2]product Table data'!$A$2:$G$12,L$1,FALSE)</f>
        <v>Casual n Light</v>
      </c>
      <c r="M634" t="str">
        <f>VLOOKUP($D634,'[2]product Table data'!$A$2:$G$12,M$1,FALSE)</f>
        <v>Guatemala</v>
      </c>
      <c r="N634" t="str">
        <f>VLOOKUP($D634,'[2]product Table data'!$A$2:$G$12,N$1,FALSE)</f>
        <v>Central America</v>
      </c>
      <c r="O634">
        <f>VLOOKUP($D634,'[2]product Table data'!$A$2:$G$12,O$1,FALSE)</f>
        <v>25</v>
      </c>
      <c r="P634">
        <f>VLOOKUP($D634,'[2]product Table data'!$A$2:$G$12,P$1,FALSE)</f>
        <v>30</v>
      </c>
      <c r="Q634">
        <f t="shared" si="45"/>
        <v>5</v>
      </c>
      <c r="R634" t="str">
        <f t="shared" si="46"/>
        <v>Hub Risk</v>
      </c>
      <c r="S634" t="str">
        <f t="shared" si="47"/>
        <v>Style Risk</v>
      </c>
      <c r="T634" t="str">
        <f t="shared" si="48"/>
        <v>Risk</v>
      </c>
      <c r="U634" t="str">
        <f t="shared" si="49"/>
        <v>Low Value</v>
      </c>
    </row>
    <row r="635" spans="1:21" x14ac:dyDescent="0.2">
      <c r="A635" s="2">
        <v>371</v>
      </c>
      <c r="B635" s="2" t="s">
        <v>9</v>
      </c>
      <c r="C635" s="2" t="s">
        <v>942</v>
      </c>
      <c r="D635" s="2" t="s">
        <v>566</v>
      </c>
      <c r="E635" s="2">
        <v>80123</v>
      </c>
      <c r="F635" s="2" t="s">
        <v>496</v>
      </c>
      <c r="G635" s="2" t="s">
        <v>36</v>
      </c>
      <c r="H635" s="2">
        <v>1</v>
      </c>
      <c r="I635" s="2" t="s">
        <v>14</v>
      </c>
      <c r="J635" s="2" t="str">
        <f>VLOOKUP(E635,[1]LL_Hub!$A$1:$B$13,2,FALSE)</f>
        <v>Denver</v>
      </c>
      <c r="K635" t="str">
        <f>VLOOKUP(D635,'[2]product Table data'!$A$2:$B$12,2,FALSE)</f>
        <v>Female</v>
      </c>
      <c r="L635" t="str">
        <f>VLOOKUP($D635,'[2]product Table data'!$A$2:$G$12,L$1,FALSE)</f>
        <v>Casual n Light</v>
      </c>
      <c r="M635" t="str">
        <f>VLOOKUP($D635,'[2]product Table data'!$A$2:$G$12,M$1,FALSE)</f>
        <v>Guatemala</v>
      </c>
      <c r="N635" t="str">
        <f>VLOOKUP($D635,'[2]product Table data'!$A$2:$G$12,N$1,FALSE)</f>
        <v>Central America</v>
      </c>
      <c r="O635">
        <f>VLOOKUP($D635,'[2]product Table data'!$A$2:$G$12,O$1,FALSE)</f>
        <v>25</v>
      </c>
      <c r="P635">
        <f>VLOOKUP($D635,'[2]product Table data'!$A$2:$G$12,P$1,FALSE)</f>
        <v>30</v>
      </c>
      <c r="Q635">
        <f t="shared" si="45"/>
        <v>5</v>
      </c>
      <c r="R635" t="str">
        <f t="shared" si="46"/>
        <v>Hub Risk</v>
      </c>
      <c r="S635" t="str">
        <f t="shared" si="47"/>
        <v>Style Risk</v>
      </c>
      <c r="T635" t="str">
        <f t="shared" si="48"/>
        <v>Risk</v>
      </c>
      <c r="U635" t="str">
        <f t="shared" si="49"/>
        <v>Low Value</v>
      </c>
    </row>
    <row r="636" spans="1:21" hidden="1" x14ac:dyDescent="0.2">
      <c r="A636" s="2">
        <v>383</v>
      </c>
      <c r="B636" s="2" t="s">
        <v>9</v>
      </c>
      <c r="C636" s="2" t="s">
        <v>954</v>
      </c>
      <c r="D636" s="2" t="s">
        <v>566</v>
      </c>
      <c r="E636" s="2">
        <v>80123</v>
      </c>
      <c r="F636" s="2" t="s">
        <v>496</v>
      </c>
      <c r="G636" s="2" t="s">
        <v>36</v>
      </c>
      <c r="H636" s="2">
        <v>1</v>
      </c>
      <c r="I636" s="2" t="s">
        <v>39</v>
      </c>
      <c r="J636" s="2" t="str">
        <f>VLOOKUP(E636,[1]LL_Hub!$A$1:$B$13,2,FALSE)</f>
        <v>Denver</v>
      </c>
      <c r="K636" t="str">
        <f>VLOOKUP(D636,'[2]product Table data'!$A$2:$B$12,2,FALSE)</f>
        <v>Female</v>
      </c>
      <c r="L636" t="str">
        <f>VLOOKUP($D636,'[2]product Table data'!$A$2:$G$12,L$1,FALSE)</f>
        <v>Casual n Light</v>
      </c>
      <c r="M636" t="str">
        <f>VLOOKUP($D636,'[2]product Table data'!$A$2:$G$12,M$1,FALSE)</f>
        <v>Guatemala</v>
      </c>
      <c r="N636" t="str">
        <f>VLOOKUP($D636,'[2]product Table data'!$A$2:$G$12,N$1,FALSE)</f>
        <v>Central America</v>
      </c>
      <c r="O636">
        <f>VLOOKUP($D636,'[2]product Table data'!$A$2:$G$12,O$1,FALSE)</f>
        <v>25</v>
      </c>
      <c r="P636">
        <f>VLOOKUP($D636,'[2]product Table data'!$A$2:$G$12,P$1,FALSE)</f>
        <v>30</v>
      </c>
      <c r="Q636">
        <f t="shared" si="45"/>
        <v>5</v>
      </c>
      <c r="R636" t="str">
        <f t="shared" si="46"/>
        <v>Hub Risk</v>
      </c>
      <c r="S636" t="str">
        <f t="shared" si="47"/>
        <v>Style Risk</v>
      </c>
      <c r="T636" t="str">
        <f t="shared" si="48"/>
        <v>Risk</v>
      </c>
      <c r="U636" t="str">
        <f t="shared" si="49"/>
        <v>Low Value</v>
      </c>
    </row>
    <row r="637" spans="1:21" hidden="1" x14ac:dyDescent="0.2">
      <c r="A637" s="2">
        <v>384</v>
      </c>
      <c r="B637" s="2" t="s">
        <v>9</v>
      </c>
      <c r="C637" s="2" t="s">
        <v>955</v>
      </c>
      <c r="D637" s="2" t="s">
        <v>566</v>
      </c>
      <c r="E637" s="2">
        <v>80123</v>
      </c>
      <c r="F637" s="2" t="s">
        <v>496</v>
      </c>
      <c r="G637" s="2" t="s">
        <v>36</v>
      </c>
      <c r="H637" s="2">
        <v>1</v>
      </c>
      <c r="I637" s="2" t="s">
        <v>39</v>
      </c>
      <c r="J637" s="2" t="str">
        <f>VLOOKUP(E637,[1]LL_Hub!$A$1:$B$13,2,FALSE)</f>
        <v>Denver</v>
      </c>
      <c r="K637" t="str">
        <f>VLOOKUP(D637,'[2]product Table data'!$A$2:$B$12,2,FALSE)</f>
        <v>Female</v>
      </c>
      <c r="L637" t="str">
        <f>VLOOKUP($D637,'[2]product Table data'!$A$2:$G$12,L$1,FALSE)</f>
        <v>Casual n Light</v>
      </c>
      <c r="M637" t="str">
        <f>VLOOKUP($D637,'[2]product Table data'!$A$2:$G$12,M$1,FALSE)</f>
        <v>Guatemala</v>
      </c>
      <c r="N637" t="str">
        <f>VLOOKUP($D637,'[2]product Table data'!$A$2:$G$12,N$1,FALSE)</f>
        <v>Central America</v>
      </c>
      <c r="O637">
        <f>VLOOKUP($D637,'[2]product Table data'!$A$2:$G$12,O$1,FALSE)</f>
        <v>25</v>
      </c>
      <c r="P637">
        <f>VLOOKUP($D637,'[2]product Table data'!$A$2:$G$12,P$1,FALSE)</f>
        <v>30</v>
      </c>
      <c r="Q637">
        <f t="shared" si="45"/>
        <v>5</v>
      </c>
      <c r="R637" t="str">
        <f t="shared" si="46"/>
        <v>Hub Risk</v>
      </c>
      <c r="S637" t="str">
        <f t="shared" si="47"/>
        <v>Style Risk</v>
      </c>
      <c r="T637" t="str">
        <f t="shared" si="48"/>
        <v>Risk</v>
      </c>
      <c r="U637" t="str">
        <f t="shared" si="49"/>
        <v>Low Value</v>
      </c>
    </row>
    <row r="638" spans="1:21" hidden="1" x14ac:dyDescent="0.2">
      <c r="A638" s="2">
        <v>385</v>
      </c>
      <c r="B638" s="2" t="s">
        <v>9</v>
      </c>
      <c r="C638" s="2" t="s">
        <v>956</v>
      </c>
      <c r="D638" s="2" t="s">
        <v>566</v>
      </c>
      <c r="E638" s="2">
        <v>80123</v>
      </c>
      <c r="F638" s="2" t="s">
        <v>496</v>
      </c>
      <c r="G638" s="2" t="s">
        <v>36</v>
      </c>
      <c r="H638" s="2">
        <v>1</v>
      </c>
      <c r="I638" s="2" t="s">
        <v>39</v>
      </c>
      <c r="J638" s="2" t="str">
        <f>VLOOKUP(E638,[1]LL_Hub!$A$1:$B$13,2,FALSE)</f>
        <v>Denver</v>
      </c>
      <c r="K638" t="str">
        <f>VLOOKUP(D638,'[2]product Table data'!$A$2:$B$12,2,FALSE)</f>
        <v>Female</v>
      </c>
      <c r="L638" t="str">
        <f>VLOOKUP($D638,'[2]product Table data'!$A$2:$G$12,L$1,FALSE)</f>
        <v>Casual n Light</v>
      </c>
      <c r="M638" t="str">
        <f>VLOOKUP($D638,'[2]product Table data'!$A$2:$G$12,M$1,FALSE)</f>
        <v>Guatemala</v>
      </c>
      <c r="N638" t="str">
        <f>VLOOKUP($D638,'[2]product Table data'!$A$2:$G$12,N$1,FALSE)</f>
        <v>Central America</v>
      </c>
      <c r="O638">
        <f>VLOOKUP($D638,'[2]product Table data'!$A$2:$G$12,O$1,FALSE)</f>
        <v>25</v>
      </c>
      <c r="P638">
        <f>VLOOKUP($D638,'[2]product Table data'!$A$2:$G$12,P$1,FALSE)</f>
        <v>30</v>
      </c>
      <c r="Q638">
        <f t="shared" si="45"/>
        <v>5</v>
      </c>
      <c r="R638" t="str">
        <f t="shared" si="46"/>
        <v>Hub Risk</v>
      </c>
      <c r="S638" t="str">
        <f t="shared" si="47"/>
        <v>Style Risk</v>
      </c>
      <c r="T638" t="str">
        <f t="shared" si="48"/>
        <v>Risk</v>
      </c>
      <c r="U638" t="str">
        <f t="shared" si="49"/>
        <v>Low Value</v>
      </c>
    </row>
    <row r="639" spans="1:21" hidden="1" x14ac:dyDescent="0.2">
      <c r="A639" s="2">
        <v>386</v>
      </c>
      <c r="B639" s="2" t="s">
        <v>9</v>
      </c>
      <c r="C639" s="2" t="s">
        <v>957</v>
      </c>
      <c r="D639" s="2" t="s">
        <v>566</v>
      </c>
      <c r="E639" s="2">
        <v>80123</v>
      </c>
      <c r="F639" s="2" t="s">
        <v>958</v>
      </c>
      <c r="G639" s="2" t="s">
        <v>13</v>
      </c>
      <c r="H639" s="2">
        <v>1</v>
      </c>
      <c r="I639" s="2" t="s">
        <v>39</v>
      </c>
      <c r="J639" s="2" t="str">
        <f>VLOOKUP(E639,[1]LL_Hub!$A$1:$B$13,2,FALSE)</f>
        <v>Denver</v>
      </c>
      <c r="K639" t="str">
        <f>VLOOKUP(D639,'[2]product Table data'!$A$2:$B$12,2,FALSE)</f>
        <v>Female</v>
      </c>
      <c r="L639" t="str">
        <f>VLOOKUP($D639,'[2]product Table data'!$A$2:$G$12,L$1,FALSE)</f>
        <v>Casual n Light</v>
      </c>
      <c r="M639" t="str">
        <f>VLOOKUP($D639,'[2]product Table data'!$A$2:$G$12,M$1,FALSE)</f>
        <v>Guatemala</v>
      </c>
      <c r="N639" t="str">
        <f>VLOOKUP($D639,'[2]product Table data'!$A$2:$G$12,N$1,FALSE)</f>
        <v>Central America</v>
      </c>
      <c r="O639">
        <f>VLOOKUP($D639,'[2]product Table data'!$A$2:$G$12,O$1,FALSE)</f>
        <v>25</v>
      </c>
      <c r="P639">
        <f>VLOOKUP($D639,'[2]product Table data'!$A$2:$G$12,P$1,FALSE)</f>
        <v>30</v>
      </c>
      <c r="Q639">
        <f t="shared" si="45"/>
        <v>5</v>
      </c>
      <c r="R639" t="str">
        <f t="shared" si="46"/>
        <v>Hub Risk</v>
      </c>
      <c r="S639" t="str">
        <f t="shared" si="47"/>
        <v>Style Risk</v>
      </c>
      <c r="T639" t="str">
        <f t="shared" si="48"/>
        <v>Risk</v>
      </c>
      <c r="U639" t="str">
        <f t="shared" si="49"/>
        <v>Low Value</v>
      </c>
    </row>
    <row r="640" spans="1:21" hidden="1" x14ac:dyDescent="0.2">
      <c r="A640" s="2">
        <v>387</v>
      </c>
      <c r="B640" s="2" t="s">
        <v>9</v>
      </c>
      <c r="C640" s="2" t="s">
        <v>959</v>
      </c>
      <c r="D640" s="2" t="s">
        <v>566</v>
      </c>
      <c r="E640" s="2">
        <v>80123</v>
      </c>
      <c r="F640" s="2" t="s">
        <v>960</v>
      </c>
      <c r="G640" s="2" t="s">
        <v>13</v>
      </c>
      <c r="H640" s="2">
        <v>1</v>
      </c>
      <c r="I640" s="2" t="s">
        <v>39</v>
      </c>
      <c r="J640" s="2" t="str">
        <f>VLOOKUP(E640,[1]LL_Hub!$A$1:$B$13,2,FALSE)</f>
        <v>Denver</v>
      </c>
      <c r="K640" t="str">
        <f>VLOOKUP(D640,'[2]product Table data'!$A$2:$B$12,2,FALSE)</f>
        <v>Female</v>
      </c>
      <c r="L640" t="str">
        <f>VLOOKUP($D640,'[2]product Table data'!$A$2:$G$12,L$1,FALSE)</f>
        <v>Casual n Light</v>
      </c>
      <c r="M640" t="str">
        <f>VLOOKUP($D640,'[2]product Table data'!$A$2:$G$12,M$1,FALSE)</f>
        <v>Guatemala</v>
      </c>
      <c r="N640" t="str">
        <f>VLOOKUP($D640,'[2]product Table data'!$A$2:$G$12,N$1,FALSE)</f>
        <v>Central America</v>
      </c>
      <c r="O640">
        <f>VLOOKUP($D640,'[2]product Table data'!$A$2:$G$12,O$1,FALSE)</f>
        <v>25</v>
      </c>
      <c r="P640">
        <f>VLOOKUP($D640,'[2]product Table data'!$A$2:$G$12,P$1,FALSE)</f>
        <v>30</v>
      </c>
      <c r="Q640">
        <f t="shared" si="45"/>
        <v>5</v>
      </c>
      <c r="R640" t="str">
        <f t="shared" si="46"/>
        <v>Hub Risk</v>
      </c>
      <c r="S640" t="str">
        <f t="shared" si="47"/>
        <v>Style Risk</v>
      </c>
      <c r="T640" t="str">
        <f t="shared" si="48"/>
        <v>Risk</v>
      </c>
      <c r="U640" t="str">
        <f t="shared" si="49"/>
        <v>Low Value</v>
      </c>
    </row>
    <row r="641" spans="1:21" hidden="1" x14ac:dyDescent="0.2">
      <c r="A641" s="2">
        <v>388</v>
      </c>
      <c r="B641" s="2" t="s">
        <v>9</v>
      </c>
      <c r="C641" s="2" t="s">
        <v>961</v>
      </c>
      <c r="D641" s="2" t="s">
        <v>566</v>
      </c>
      <c r="E641" s="2">
        <v>80123</v>
      </c>
      <c r="F641" s="2" t="s">
        <v>962</v>
      </c>
      <c r="G641" s="2" t="s">
        <v>13</v>
      </c>
      <c r="H641" s="2">
        <v>1</v>
      </c>
      <c r="I641" s="2" t="s">
        <v>39</v>
      </c>
      <c r="J641" s="2" t="str">
        <f>VLOOKUP(E641,[1]LL_Hub!$A$1:$B$13,2,FALSE)</f>
        <v>Denver</v>
      </c>
      <c r="K641" t="str">
        <f>VLOOKUP(D641,'[2]product Table data'!$A$2:$B$12,2,FALSE)</f>
        <v>Female</v>
      </c>
      <c r="L641" t="str">
        <f>VLOOKUP($D641,'[2]product Table data'!$A$2:$G$12,L$1,FALSE)</f>
        <v>Casual n Light</v>
      </c>
      <c r="M641" t="str">
        <f>VLOOKUP($D641,'[2]product Table data'!$A$2:$G$12,M$1,FALSE)</f>
        <v>Guatemala</v>
      </c>
      <c r="N641" t="str">
        <f>VLOOKUP($D641,'[2]product Table data'!$A$2:$G$12,N$1,FALSE)</f>
        <v>Central America</v>
      </c>
      <c r="O641">
        <f>VLOOKUP($D641,'[2]product Table data'!$A$2:$G$12,O$1,FALSE)</f>
        <v>25</v>
      </c>
      <c r="P641">
        <f>VLOOKUP($D641,'[2]product Table data'!$A$2:$G$12,P$1,FALSE)</f>
        <v>30</v>
      </c>
      <c r="Q641">
        <f t="shared" si="45"/>
        <v>5</v>
      </c>
      <c r="R641" t="str">
        <f t="shared" si="46"/>
        <v>Hub Risk</v>
      </c>
      <c r="S641" t="str">
        <f t="shared" si="47"/>
        <v>Style Risk</v>
      </c>
      <c r="T641" t="str">
        <f t="shared" si="48"/>
        <v>Risk</v>
      </c>
      <c r="U641" t="str">
        <f t="shared" si="49"/>
        <v>Low Value</v>
      </c>
    </row>
    <row r="642" spans="1:21" hidden="1" x14ac:dyDescent="0.2">
      <c r="A642" s="2">
        <v>389</v>
      </c>
      <c r="B642" s="2" t="s">
        <v>9</v>
      </c>
      <c r="C642" s="2" t="s">
        <v>963</v>
      </c>
      <c r="D642" s="2" t="s">
        <v>566</v>
      </c>
      <c r="E642" s="2">
        <v>80123</v>
      </c>
      <c r="F642" s="2" t="s">
        <v>964</v>
      </c>
      <c r="G642" s="2" t="s">
        <v>13</v>
      </c>
      <c r="H642" s="2">
        <v>1</v>
      </c>
      <c r="I642" s="2" t="s">
        <v>39</v>
      </c>
      <c r="J642" s="2" t="str">
        <f>VLOOKUP(E642,[1]LL_Hub!$A$1:$B$13,2,FALSE)</f>
        <v>Denver</v>
      </c>
      <c r="K642" t="str">
        <f>VLOOKUP(D642,'[2]product Table data'!$A$2:$B$12,2,FALSE)</f>
        <v>Female</v>
      </c>
      <c r="L642" t="str">
        <f>VLOOKUP($D642,'[2]product Table data'!$A$2:$G$12,L$1,FALSE)</f>
        <v>Casual n Light</v>
      </c>
      <c r="M642" t="str">
        <f>VLOOKUP($D642,'[2]product Table data'!$A$2:$G$12,M$1,FALSE)</f>
        <v>Guatemala</v>
      </c>
      <c r="N642" t="str">
        <f>VLOOKUP($D642,'[2]product Table data'!$A$2:$G$12,N$1,FALSE)</f>
        <v>Central America</v>
      </c>
      <c r="O642">
        <f>VLOOKUP($D642,'[2]product Table data'!$A$2:$G$12,O$1,FALSE)</f>
        <v>25</v>
      </c>
      <c r="P642">
        <f>VLOOKUP($D642,'[2]product Table data'!$A$2:$G$12,P$1,FALSE)</f>
        <v>30</v>
      </c>
      <c r="Q642">
        <f t="shared" si="45"/>
        <v>5</v>
      </c>
      <c r="R642" t="str">
        <f t="shared" si="46"/>
        <v>Hub Risk</v>
      </c>
      <c r="S642" t="str">
        <f t="shared" si="47"/>
        <v>Style Risk</v>
      </c>
      <c r="T642" t="str">
        <f t="shared" si="48"/>
        <v>Risk</v>
      </c>
      <c r="U642" t="str">
        <f t="shared" si="49"/>
        <v>Low Value</v>
      </c>
    </row>
    <row r="643" spans="1:21" hidden="1" x14ac:dyDescent="0.2">
      <c r="A643" s="2">
        <v>390</v>
      </c>
      <c r="B643" s="2" t="s">
        <v>9</v>
      </c>
      <c r="C643" s="2" t="s">
        <v>965</v>
      </c>
      <c r="D643" s="2" t="s">
        <v>566</v>
      </c>
      <c r="E643" s="2">
        <v>80123</v>
      </c>
      <c r="F643" s="2" t="s">
        <v>966</v>
      </c>
      <c r="G643" s="2" t="s">
        <v>13</v>
      </c>
      <c r="H643" s="2">
        <v>1</v>
      </c>
      <c r="I643" s="2" t="s">
        <v>39</v>
      </c>
      <c r="J643" s="2" t="str">
        <f>VLOOKUP(E643,[1]LL_Hub!$A$1:$B$13,2,FALSE)</f>
        <v>Denver</v>
      </c>
      <c r="K643" t="str">
        <f>VLOOKUP(D643,'[2]product Table data'!$A$2:$B$12,2,FALSE)</f>
        <v>Female</v>
      </c>
      <c r="L643" t="str">
        <f>VLOOKUP($D643,'[2]product Table data'!$A$2:$G$12,L$1,FALSE)</f>
        <v>Casual n Light</v>
      </c>
      <c r="M643" t="str">
        <f>VLOOKUP($D643,'[2]product Table data'!$A$2:$G$12,M$1,FALSE)</f>
        <v>Guatemala</v>
      </c>
      <c r="N643" t="str">
        <f>VLOOKUP($D643,'[2]product Table data'!$A$2:$G$12,N$1,FALSE)</f>
        <v>Central America</v>
      </c>
      <c r="O643">
        <f>VLOOKUP($D643,'[2]product Table data'!$A$2:$G$12,O$1,FALSE)</f>
        <v>25</v>
      </c>
      <c r="P643">
        <f>VLOOKUP($D643,'[2]product Table data'!$A$2:$G$12,P$1,FALSE)</f>
        <v>30</v>
      </c>
      <c r="Q643">
        <f t="shared" ref="Q643:Q706" si="50">P643-O643</f>
        <v>5</v>
      </c>
      <c r="R643" t="str">
        <f t="shared" ref="R643:R706" si="51">IF(OR(J643="Los Angeles",J643="Denver"),"Hub Risk","-")</f>
        <v>Hub Risk</v>
      </c>
      <c r="S643" t="str">
        <f t="shared" ref="S643:S706" si="52">IF(OR(L643="Casual n Light",L643="Fancy Sheek"),"Style Risk","-")</f>
        <v>Style Risk</v>
      </c>
      <c r="T643" t="str">
        <f t="shared" ref="T643:T706" si="53">IF(AND(R643="Hub Risk", S643="Style Risk"), "Risk", "-")</f>
        <v>Risk</v>
      </c>
      <c r="U643" t="str">
        <f t="shared" ref="U643:U706" si="54">IF(Q643&lt;=5, "Low Value", "High Value")</f>
        <v>Low Value</v>
      </c>
    </row>
    <row r="644" spans="1:21" x14ac:dyDescent="0.2">
      <c r="A644" s="2">
        <v>372</v>
      </c>
      <c r="B644" s="2" t="s">
        <v>9</v>
      </c>
      <c r="C644" s="2" t="s">
        <v>943</v>
      </c>
      <c r="D644" s="2" t="s">
        <v>566</v>
      </c>
      <c r="E644" s="2">
        <v>80123</v>
      </c>
      <c r="F644" s="2" t="s">
        <v>496</v>
      </c>
      <c r="G644" s="2" t="s">
        <v>36</v>
      </c>
      <c r="H644" s="2">
        <v>1</v>
      </c>
      <c r="I644" s="2" t="s">
        <v>14</v>
      </c>
      <c r="J644" s="2" t="str">
        <f>VLOOKUP(E644,[1]LL_Hub!$A$1:$B$13,2,FALSE)</f>
        <v>Denver</v>
      </c>
      <c r="K644" t="str">
        <f>VLOOKUP(D644,'[2]product Table data'!$A$2:$B$12,2,FALSE)</f>
        <v>Female</v>
      </c>
      <c r="L644" t="str">
        <f>VLOOKUP($D644,'[2]product Table data'!$A$2:$G$12,L$1,FALSE)</f>
        <v>Casual n Light</v>
      </c>
      <c r="M644" t="str">
        <f>VLOOKUP($D644,'[2]product Table data'!$A$2:$G$12,M$1,FALSE)</f>
        <v>Guatemala</v>
      </c>
      <c r="N644" t="str">
        <f>VLOOKUP($D644,'[2]product Table data'!$A$2:$G$12,N$1,FALSE)</f>
        <v>Central America</v>
      </c>
      <c r="O644">
        <f>VLOOKUP($D644,'[2]product Table data'!$A$2:$G$12,O$1,FALSE)</f>
        <v>25</v>
      </c>
      <c r="P644">
        <f>VLOOKUP($D644,'[2]product Table data'!$A$2:$G$12,P$1,FALSE)</f>
        <v>30</v>
      </c>
      <c r="Q644">
        <f t="shared" si="50"/>
        <v>5</v>
      </c>
      <c r="R644" t="str">
        <f t="shared" si="51"/>
        <v>Hub Risk</v>
      </c>
      <c r="S644" t="str">
        <f t="shared" si="52"/>
        <v>Style Risk</v>
      </c>
      <c r="T644" t="str">
        <f t="shared" si="53"/>
        <v>Risk</v>
      </c>
      <c r="U644" t="str">
        <f t="shared" si="54"/>
        <v>Low Value</v>
      </c>
    </row>
    <row r="645" spans="1:21" x14ac:dyDescent="0.2">
      <c r="A645" s="2">
        <v>373</v>
      </c>
      <c r="B645" s="2" t="s">
        <v>9</v>
      </c>
      <c r="C645" s="2" t="s">
        <v>944</v>
      </c>
      <c r="D645" s="2" t="s">
        <v>566</v>
      </c>
      <c r="E645" s="2">
        <v>80123</v>
      </c>
      <c r="F645" s="2" t="s">
        <v>496</v>
      </c>
      <c r="G645" s="2" t="s">
        <v>36</v>
      </c>
      <c r="H645" s="2">
        <v>1</v>
      </c>
      <c r="I645" s="2" t="s">
        <v>14</v>
      </c>
      <c r="J645" s="2" t="str">
        <f>VLOOKUP(E645,[1]LL_Hub!$A$1:$B$13,2,FALSE)</f>
        <v>Denver</v>
      </c>
      <c r="K645" t="str">
        <f>VLOOKUP(D645,'[2]product Table data'!$A$2:$B$12,2,FALSE)</f>
        <v>Female</v>
      </c>
      <c r="L645" t="str">
        <f>VLOOKUP($D645,'[2]product Table data'!$A$2:$G$12,L$1,FALSE)</f>
        <v>Casual n Light</v>
      </c>
      <c r="M645" t="str">
        <f>VLOOKUP($D645,'[2]product Table data'!$A$2:$G$12,M$1,FALSE)</f>
        <v>Guatemala</v>
      </c>
      <c r="N645" t="str">
        <f>VLOOKUP($D645,'[2]product Table data'!$A$2:$G$12,N$1,FALSE)</f>
        <v>Central America</v>
      </c>
      <c r="O645">
        <f>VLOOKUP($D645,'[2]product Table data'!$A$2:$G$12,O$1,FALSE)</f>
        <v>25</v>
      </c>
      <c r="P645">
        <f>VLOOKUP($D645,'[2]product Table data'!$A$2:$G$12,P$1,FALSE)</f>
        <v>30</v>
      </c>
      <c r="Q645">
        <f t="shared" si="50"/>
        <v>5</v>
      </c>
      <c r="R645" t="str">
        <f t="shared" si="51"/>
        <v>Hub Risk</v>
      </c>
      <c r="S645" t="str">
        <f t="shared" si="52"/>
        <v>Style Risk</v>
      </c>
      <c r="T645" t="str">
        <f t="shared" si="53"/>
        <v>Risk</v>
      </c>
      <c r="U645" t="str">
        <f t="shared" si="54"/>
        <v>Low Value</v>
      </c>
    </row>
    <row r="646" spans="1:21" x14ac:dyDescent="0.2">
      <c r="A646" s="2">
        <v>374</v>
      </c>
      <c r="B646" s="2" t="s">
        <v>9</v>
      </c>
      <c r="C646" s="2" t="s">
        <v>945</v>
      </c>
      <c r="D646" s="2" t="s">
        <v>566</v>
      </c>
      <c r="E646" s="2">
        <v>80123</v>
      </c>
      <c r="F646" s="2" t="s">
        <v>496</v>
      </c>
      <c r="G646" s="2" t="s">
        <v>36</v>
      </c>
      <c r="H646" s="2">
        <v>1</v>
      </c>
      <c r="I646" s="2" t="s">
        <v>14</v>
      </c>
      <c r="J646" s="2" t="str">
        <f>VLOOKUP(E646,[1]LL_Hub!$A$1:$B$13,2,FALSE)</f>
        <v>Denver</v>
      </c>
      <c r="K646" t="str">
        <f>VLOOKUP(D646,'[2]product Table data'!$A$2:$B$12,2,FALSE)</f>
        <v>Female</v>
      </c>
      <c r="L646" t="str">
        <f>VLOOKUP($D646,'[2]product Table data'!$A$2:$G$12,L$1,FALSE)</f>
        <v>Casual n Light</v>
      </c>
      <c r="M646" t="str">
        <f>VLOOKUP($D646,'[2]product Table data'!$A$2:$G$12,M$1,FALSE)</f>
        <v>Guatemala</v>
      </c>
      <c r="N646" t="str">
        <f>VLOOKUP($D646,'[2]product Table data'!$A$2:$G$12,N$1,FALSE)</f>
        <v>Central America</v>
      </c>
      <c r="O646">
        <f>VLOOKUP($D646,'[2]product Table data'!$A$2:$G$12,O$1,FALSE)</f>
        <v>25</v>
      </c>
      <c r="P646">
        <f>VLOOKUP($D646,'[2]product Table data'!$A$2:$G$12,P$1,FALSE)</f>
        <v>30</v>
      </c>
      <c r="Q646">
        <f t="shared" si="50"/>
        <v>5</v>
      </c>
      <c r="R646" t="str">
        <f t="shared" si="51"/>
        <v>Hub Risk</v>
      </c>
      <c r="S646" t="str">
        <f t="shared" si="52"/>
        <v>Style Risk</v>
      </c>
      <c r="T646" t="str">
        <f t="shared" si="53"/>
        <v>Risk</v>
      </c>
      <c r="U646" t="str">
        <f t="shared" si="54"/>
        <v>Low Value</v>
      </c>
    </row>
    <row r="647" spans="1:21" x14ac:dyDescent="0.2">
      <c r="A647" s="2">
        <v>375</v>
      </c>
      <c r="B647" s="2" t="s">
        <v>9</v>
      </c>
      <c r="C647" s="2" t="s">
        <v>946</v>
      </c>
      <c r="D647" s="2" t="s">
        <v>566</v>
      </c>
      <c r="E647" s="2">
        <v>80123</v>
      </c>
      <c r="F647" s="2" t="s">
        <v>496</v>
      </c>
      <c r="G647" s="2" t="s">
        <v>36</v>
      </c>
      <c r="H647" s="2">
        <v>1</v>
      </c>
      <c r="I647" s="2" t="s">
        <v>14</v>
      </c>
      <c r="J647" s="2" t="str">
        <f>VLOOKUP(E647,[1]LL_Hub!$A$1:$B$13,2,FALSE)</f>
        <v>Denver</v>
      </c>
      <c r="K647" t="str">
        <f>VLOOKUP(D647,'[2]product Table data'!$A$2:$B$12,2,FALSE)</f>
        <v>Female</v>
      </c>
      <c r="L647" t="str">
        <f>VLOOKUP($D647,'[2]product Table data'!$A$2:$G$12,L$1,FALSE)</f>
        <v>Casual n Light</v>
      </c>
      <c r="M647" t="str">
        <f>VLOOKUP($D647,'[2]product Table data'!$A$2:$G$12,M$1,FALSE)</f>
        <v>Guatemala</v>
      </c>
      <c r="N647" t="str">
        <f>VLOOKUP($D647,'[2]product Table data'!$A$2:$G$12,N$1,FALSE)</f>
        <v>Central America</v>
      </c>
      <c r="O647">
        <f>VLOOKUP($D647,'[2]product Table data'!$A$2:$G$12,O$1,FALSE)</f>
        <v>25</v>
      </c>
      <c r="P647">
        <f>VLOOKUP($D647,'[2]product Table data'!$A$2:$G$12,P$1,FALSE)</f>
        <v>30</v>
      </c>
      <c r="Q647">
        <f t="shared" si="50"/>
        <v>5</v>
      </c>
      <c r="R647" t="str">
        <f t="shared" si="51"/>
        <v>Hub Risk</v>
      </c>
      <c r="S647" t="str">
        <f t="shared" si="52"/>
        <v>Style Risk</v>
      </c>
      <c r="T647" t="str">
        <f t="shared" si="53"/>
        <v>Risk</v>
      </c>
      <c r="U647" t="str">
        <f t="shared" si="54"/>
        <v>Low Value</v>
      </c>
    </row>
    <row r="648" spans="1:21" x14ac:dyDescent="0.2">
      <c r="A648" s="2">
        <v>376</v>
      </c>
      <c r="B648" s="2" t="s">
        <v>9</v>
      </c>
      <c r="C648" s="2" t="s">
        <v>947</v>
      </c>
      <c r="D648" s="2" t="s">
        <v>566</v>
      </c>
      <c r="E648" s="2">
        <v>80123</v>
      </c>
      <c r="F648" s="2" t="s">
        <v>496</v>
      </c>
      <c r="G648" s="2" t="s">
        <v>36</v>
      </c>
      <c r="H648" s="2">
        <v>1</v>
      </c>
      <c r="I648" s="2" t="s">
        <v>14</v>
      </c>
      <c r="J648" s="2" t="str">
        <f>VLOOKUP(E648,[1]LL_Hub!$A$1:$B$13,2,FALSE)</f>
        <v>Denver</v>
      </c>
      <c r="K648" t="str">
        <f>VLOOKUP(D648,'[2]product Table data'!$A$2:$B$12,2,FALSE)</f>
        <v>Female</v>
      </c>
      <c r="L648" t="str">
        <f>VLOOKUP($D648,'[2]product Table data'!$A$2:$G$12,L$1,FALSE)</f>
        <v>Casual n Light</v>
      </c>
      <c r="M648" t="str">
        <f>VLOOKUP($D648,'[2]product Table data'!$A$2:$G$12,M$1,FALSE)</f>
        <v>Guatemala</v>
      </c>
      <c r="N648" t="str">
        <f>VLOOKUP($D648,'[2]product Table data'!$A$2:$G$12,N$1,FALSE)</f>
        <v>Central America</v>
      </c>
      <c r="O648">
        <f>VLOOKUP($D648,'[2]product Table data'!$A$2:$G$12,O$1,FALSE)</f>
        <v>25</v>
      </c>
      <c r="P648">
        <f>VLOOKUP($D648,'[2]product Table data'!$A$2:$G$12,P$1,FALSE)</f>
        <v>30</v>
      </c>
      <c r="Q648">
        <f t="shared" si="50"/>
        <v>5</v>
      </c>
      <c r="R648" t="str">
        <f t="shared" si="51"/>
        <v>Hub Risk</v>
      </c>
      <c r="S648" t="str">
        <f t="shared" si="52"/>
        <v>Style Risk</v>
      </c>
      <c r="T648" t="str">
        <f t="shared" si="53"/>
        <v>Risk</v>
      </c>
      <c r="U648" t="str">
        <f t="shared" si="54"/>
        <v>Low Value</v>
      </c>
    </row>
    <row r="649" spans="1:21" x14ac:dyDescent="0.2">
      <c r="A649" s="2">
        <v>377</v>
      </c>
      <c r="B649" s="2" t="s">
        <v>9</v>
      </c>
      <c r="C649" s="2" t="s">
        <v>948</v>
      </c>
      <c r="D649" s="2" t="s">
        <v>566</v>
      </c>
      <c r="E649" s="2">
        <v>80123</v>
      </c>
      <c r="F649" s="2" t="s">
        <v>496</v>
      </c>
      <c r="G649" s="2" t="s">
        <v>36</v>
      </c>
      <c r="H649" s="2">
        <v>1</v>
      </c>
      <c r="I649" s="2" t="s">
        <v>14</v>
      </c>
      <c r="J649" s="2" t="str">
        <f>VLOOKUP(E649,[1]LL_Hub!$A$1:$B$13,2,FALSE)</f>
        <v>Denver</v>
      </c>
      <c r="K649" t="str">
        <f>VLOOKUP(D649,'[2]product Table data'!$A$2:$B$12,2,FALSE)</f>
        <v>Female</v>
      </c>
      <c r="L649" t="str">
        <f>VLOOKUP($D649,'[2]product Table data'!$A$2:$G$12,L$1,FALSE)</f>
        <v>Casual n Light</v>
      </c>
      <c r="M649" t="str">
        <f>VLOOKUP($D649,'[2]product Table data'!$A$2:$G$12,M$1,FALSE)</f>
        <v>Guatemala</v>
      </c>
      <c r="N649" t="str">
        <f>VLOOKUP($D649,'[2]product Table data'!$A$2:$G$12,N$1,FALSE)</f>
        <v>Central America</v>
      </c>
      <c r="O649">
        <f>VLOOKUP($D649,'[2]product Table data'!$A$2:$G$12,O$1,FALSE)</f>
        <v>25</v>
      </c>
      <c r="P649">
        <f>VLOOKUP($D649,'[2]product Table data'!$A$2:$G$12,P$1,FALSE)</f>
        <v>30</v>
      </c>
      <c r="Q649">
        <f t="shared" si="50"/>
        <v>5</v>
      </c>
      <c r="R649" t="str">
        <f t="shared" si="51"/>
        <v>Hub Risk</v>
      </c>
      <c r="S649" t="str">
        <f t="shared" si="52"/>
        <v>Style Risk</v>
      </c>
      <c r="T649" t="str">
        <f t="shared" si="53"/>
        <v>Risk</v>
      </c>
      <c r="U649" t="str">
        <f t="shared" si="54"/>
        <v>Low Value</v>
      </c>
    </row>
    <row r="650" spans="1:21" x14ac:dyDescent="0.2">
      <c r="A650" s="2">
        <v>378</v>
      </c>
      <c r="B650" s="2" t="s">
        <v>9</v>
      </c>
      <c r="C650" s="2" t="s">
        <v>949</v>
      </c>
      <c r="D650" s="2" t="s">
        <v>566</v>
      </c>
      <c r="E650" s="2">
        <v>80123</v>
      </c>
      <c r="F650" s="2" t="s">
        <v>496</v>
      </c>
      <c r="G650" s="2" t="s">
        <v>36</v>
      </c>
      <c r="H650" s="2">
        <v>1</v>
      </c>
      <c r="I650" s="2" t="s">
        <v>14</v>
      </c>
      <c r="J650" s="2" t="str">
        <f>VLOOKUP(E650,[1]LL_Hub!$A$1:$B$13,2,FALSE)</f>
        <v>Denver</v>
      </c>
      <c r="K650" t="str">
        <f>VLOOKUP(D650,'[2]product Table data'!$A$2:$B$12,2,FALSE)</f>
        <v>Female</v>
      </c>
      <c r="L650" t="str">
        <f>VLOOKUP($D650,'[2]product Table data'!$A$2:$G$12,L$1,FALSE)</f>
        <v>Casual n Light</v>
      </c>
      <c r="M650" t="str">
        <f>VLOOKUP($D650,'[2]product Table data'!$A$2:$G$12,M$1,FALSE)</f>
        <v>Guatemala</v>
      </c>
      <c r="N650" t="str">
        <f>VLOOKUP($D650,'[2]product Table data'!$A$2:$G$12,N$1,FALSE)</f>
        <v>Central America</v>
      </c>
      <c r="O650">
        <f>VLOOKUP($D650,'[2]product Table data'!$A$2:$G$12,O$1,FALSE)</f>
        <v>25</v>
      </c>
      <c r="P650">
        <f>VLOOKUP($D650,'[2]product Table data'!$A$2:$G$12,P$1,FALSE)</f>
        <v>30</v>
      </c>
      <c r="Q650">
        <f t="shared" si="50"/>
        <v>5</v>
      </c>
      <c r="R650" t="str">
        <f t="shared" si="51"/>
        <v>Hub Risk</v>
      </c>
      <c r="S650" t="str">
        <f t="shared" si="52"/>
        <v>Style Risk</v>
      </c>
      <c r="T650" t="str">
        <f t="shared" si="53"/>
        <v>Risk</v>
      </c>
      <c r="U650" t="str">
        <f t="shared" si="54"/>
        <v>Low Value</v>
      </c>
    </row>
    <row r="651" spans="1:21" x14ac:dyDescent="0.2">
      <c r="A651" s="2">
        <v>379</v>
      </c>
      <c r="B651" s="2" t="s">
        <v>9</v>
      </c>
      <c r="C651" s="2" t="s">
        <v>950</v>
      </c>
      <c r="D651" s="2" t="s">
        <v>566</v>
      </c>
      <c r="E651" s="2">
        <v>80123</v>
      </c>
      <c r="F651" s="2" t="s">
        <v>496</v>
      </c>
      <c r="G651" s="2" t="s">
        <v>36</v>
      </c>
      <c r="H651" s="2">
        <v>1</v>
      </c>
      <c r="I651" s="2" t="s">
        <v>14</v>
      </c>
      <c r="J651" s="2" t="str">
        <f>VLOOKUP(E651,[1]LL_Hub!$A$1:$B$13,2,FALSE)</f>
        <v>Denver</v>
      </c>
      <c r="K651" t="str">
        <f>VLOOKUP(D651,'[2]product Table data'!$A$2:$B$12,2,FALSE)</f>
        <v>Female</v>
      </c>
      <c r="L651" t="str">
        <f>VLOOKUP($D651,'[2]product Table data'!$A$2:$G$12,L$1,FALSE)</f>
        <v>Casual n Light</v>
      </c>
      <c r="M651" t="str">
        <f>VLOOKUP($D651,'[2]product Table data'!$A$2:$G$12,M$1,FALSE)</f>
        <v>Guatemala</v>
      </c>
      <c r="N651" t="str">
        <f>VLOOKUP($D651,'[2]product Table data'!$A$2:$G$12,N$1,FALSE)</f>
        <v>Central America</v>
      </c>
      <c r="O651">
        <f>VLOOKUP($D651,'[2]product Table data'!$A$2:$G$12,O$1,FALSE)</f>
        <v>25</v>
      </c>
      <c r="P651">
        <f>VLOOKUP($D651,'[2]product Table data'!$A$2:$G$12,P$1,FALSE)</f>
        <v>30</v>
      </c>
      <c r="Q651">
        <f t="shared" si="50"/>
        <v>5</v>
      </c>
      <c r="R651" t="str">
        <f t="shared" si="51"/>
        <v>Hub Risk</v>
      </c>
      <c r="S651" t="str">
        <f t="shared" si="52"/>
        <v>Style Risk</v>
      </c>
      <c r="T651" t="str">
        <f t="shared" si="53"/>
        <v>Risk</v>
      </c>
      <c r="U651" t="str">
        <f t="shared" si="54"/>
        <v>Low Value</v>
      </c>
    </row>
    <row r="652" spans="1:21" x14ac:dyDescent="0.2">
      <c r="A652" s="2">
        <v>380</v>
      </c>
      <c r="B652" s="2" t="s">
        <v>9</v>
      </c>
      <c r="C652" s="2" t="s">
        <v>951</v>
      </c>
      <c r="D652" s="2" t="s">
        <v>566</v>
      </c>
      <c r="E652" s="2">
        <v>80123</v>
      </c>
      <c r="F652" s="2" t="s">
        <v>496</v>
      </c>
      <c r="G652" s="2" t="s">
        <v>36</v>
      </c>
      <c r="H652" s="2">
        <v>1</v>
      </c>
      <c r="I652" s="2" t="s">
        <v>14</v>
      </c>
      <c r="J652" s="2" t="str">
        <f>VLOOKUP(E652,[1]LL_Hub!$A$1:$B$13,2,FALSE)</f>
        <v>Denver</v>
      </c>
      <c r="K652" t="str">
        <f>VLOOKUP(D652,'[2]product Table data'!$A$2:$B$12,2,FALSE)</f>
        <v>Female</v>
      </c>
      <c r="L652" t="str">
        <f>VLOOKUP($D652,'[2]product Table data'!$A$2:$G$12,L$1,FALSE)</f>
        <v>Casual n Light</v>
      </c>
      <c r="M652" t="str">
        <f>VLOOKUP($D652,'[2]product Table data'!$A$2:$G$12,M$1,FALSE)</f>
        <v>Guatemala</v>
      </c>
      <c r="N652" t="str">
        <f>VLOOKUP($D652,'[2]product Table data'!$A$2:$G$12,N$1,FALSE)</f>
        <v>Central America</v>
      </c>
      <c r="O652">
        <f>VLOOKUP($D652,'[2]product Table data'!$A$2:$G$12,O$1,FALSE)</f>
        <v>25</v>
      </c>
      <c r="P652">
        <f>VLOOKUP($D652,'[2]product Table data'!$A$2:$G$12,P$1,FALSE)</f>
        <v>30</v>
      </c>
      <c r="Q652">
        <f t="shared" si="50"/>
        <v>5</v>
      </c>
      <c r="R652" t="str">
        <f t="shared" si="51"/>
        <v>Hub Risk</v>
      </c>
      <c r="S652" t="str">
        <f t="shared" si="52"/>
        <v>Style Risk</v>
      </c>
      <c r="T652" t="str">
        <f t="shared" si="53"/>
        <v>Risk</v>
      </c>
      <c r="U652" t="str">
        <f t="shared" si="54"/>
        <v>Low Value</v>
      </c>
    </row>
    <row r="653" spans="1:21" x14ac:dyDescent="0.2">
      <c r="A653" s="2">
        <v>381</v>
      </c>
      <c r="B653" s="2" t="s">
        <v>9</v>
      </c>
      <c r="C653" s="2" t="s">
        <v>952</v>
      </c>
      <c r="D653" s="2" t="s">
        <v>566</v>
      </c>
      <c r="E653" s="2">
        <v>80123</v>
      </c>
      <c r="F653" s="2" t="s">
        <v>496</v>
      </c>
      <c r="G653" s="2" t="s">
        <v>36</v>
      </c>
      <c r="H653" s="2">
        <v>1</v>
      </c>
      <c r="I653" s="2" t="s">
        <v>14</v>
      </c>
      <c r="J653" s="2" t="str">
        <f>VLOOKUP(E653,[1]LL_Hub!$A$1:$B$13,2,FALSE)</f>
        <v>Denver</v>
      </c>
      <c r="K653" t="str">
        <f>VLOOKUP(D653,'[2]product Table data'!$A$2:$B$12,2,FALSE)</f>
        <v>Female</v>
      </c>
      <c r="L653" t="str">
        <f>VLOOKUP($D653,'[2]product Table data'!$A$2:$G$12,L$1,FALSE)</f>
        <v>Casual n Light</v>
      </c>
      <c r="M653" t="str">
        <f>VLOOKUP($D653,'[2]product Table data'!$A$2:$G$12,M$1,FALSE)</f>
        <v>Guatemala</v>
      </c>
      <c r="N653" t="str">
        <f>VLOOKUP($D653,'[2]product Table data'!$A$2:$G$12,N$1,FALSE)</f>
        <v>Central America</v>
      </c>
      <c r="O653">
        <f>VLOOKUP($D653,'[2]product Table data'!$A$2:$G$12,O$1,FALSE)</f>
        <v>25</v>
      </c>
      <c r="P653">
        <f>VLOOKUP($D653,'[2]product Table data'!$A$2:$G$12,P$1,FALSE)</f>
        <v>30</v>
      </c>
      <c r="Q653">
        <f t="shared" si="50"/>
        <v>5</v>
      </c>
      <c r="R653" t="str">
        <f t="shared" si="51"/>
        <v>Hub Risk</v>
      </c>
      <c r="S653" t="str">
        <f t="shared" si="52"/>
        <v>Style Risk</v>
      </c>
      <c r="T653" t="str">
        <f t="shared" si="53"/>
        <v>Risk</v>
      </c>
      <c r="U653" t="str">
        <f t="shared" si="54"/>
        <v>Low Value</v>
      </c>
    </row>
    <row r="654" spans="1:21" x14ac:dyDescent="0.2">
      <c r="A654" s="2">
        <v>382</v>
      </c>
      <c r="B654" s="2" t="s">
        <v>9</v>
      </c>
      <c r="C654" s="2" t="s">
        <v>953</v>
      </c>
      <c r="D654" s="2" t="s">
        <v>566</v>
      </c>
      <c r="E654" s="2">
        <v>80123</v>
      </c>
      <c r="F654" s="2" t="s">
        <v>496</v>
      </c>
      <c r="G654" s="2" t="s">
        <v>36</v>
      </c>
      <c r="H654" s="2">
        <v>1</v>
      </c>
      <c r="I654" s="2" t="s">
        <v>14</v>
      </c>
      <c r="J654" s="2" t="str">
        <f>VLOOKUP(E654,[1]LL_Hub!$A$1:$B$13,2,FALSE)</f>
        <v>Denver</v>
      </c>
      <c r="K654" t="str">
        <f>VLOOKUP(D654,'[2]product Table data'!$A$2:$B$12,2,FALSE)</f>
        <v>Female</v>
      </c>
      <c r="L654" t="str">
        <f>VLOOKUP($D654,'[2]product Table data'!$A$2:$G$12,L$1,FALSE)</f>
        <v>Casual n Light</v>
      </c>
      <c r="M654" t="str">
        <f>VLOOKUP($D654,'[2]product Table data'!$A$2:$G$12,M$1,FALSE)</f>
        <v>Guatemala</v>
      </c>
      <c r="N654" t="str">
        <f>VLOOKUP($D654,'[2]product Table data'!$A$2:$G$12,N$1,FALSE)</f>
        <v>Central America</v>
      </c>
      <c r="O654">
        <f>VLOOKUP($D654,'[2]product Table data'!$A$2:$G$12,O$1,FALSE)</f>
        <v>25</v>
      </c>
      <c r="P654">
        <f>VLOOKUP($D654,'[2]product Table data'!$A$2:$G$12,P$1,FALSE)</f>
        <v>30</v>
      </c>
      <c r="Q654">
        <f t="shared" si="50"/>
        <v>5</v>
      </c>
      <c r="R654" t="str">
        <f t="shared" si="51"/>
        <v>Hub Risk</v>
      </c>
      <c r="S654" t="str">
        <f t="shared" si="52"/>
        <v>Style Risk</v>
      </c>
      <c r="T654" t="str">
        <f t="shared" si="53"/>
        <v>Risk</v>
      </c>
      <c r="U654" t="str">
        <f t="shared" si="54"/>
        <v>Low Value</v>
      </c>
    </row>
    <row r="655" spans="1:21" x14ac:dyDescent="0.2">
      <c r="A655" s="2">
        <v>444</v>
      </c>
      <c r="B655" s="2" t="s">
        <v>9</v>
      </c>
      <c r="C655" s="2" t="s">
        <v>1044</v>
      </c>
      <c r="D655" s="2" t="s">
        <v>566</v>
      </c>
      <c r="E655" s="2">
        <v>33101</v>
      </c>
      <c r="F655" s="2" t="s">
        <v>1045</v>
      </c>
      <c r="G655" s="2" t="s">
        <v>13</v>
      </c>
      <c r="H655" s="2">
        <v>1</v>
      </c>
      <c r="I655" s="2" t="s">
        <v>14</v>
      </c>
      <c r="J655" s="2" t="str">
        <f>VLOOKUP(E655,[1]LL_Hub!$A$1:$B$13,2,FALSE)</f>
        <v>Miami</v>
      </c>
      <c r="K655" t="str">
        <f>VLOOKUP(D655,'[2]product Table data'!$A$2:$B$12,2,FALSE)</f>
        <v>Female</v>
      </c>
      <c r="L655" t="str">
        <f>VLOOKUP($D655,'[2]product Table data'!$A$2:$G$12,L$1,FALSE)</f>
        <v>Casual n Light</v>
      </c>
      <c r="M655" t="str">
        <f>VLOOKUP($D655,'[2]product Table data'!$A$2:$G$12,M$1,FALSE)</f>
        <v>Guatemala</v>
      </c>
      <c r="N655" t="str">
        <f>VLOOKUP($D655,'[2]product Table data'!$A$2:$G$12,N$1,FALSE)</f>
        <v>Central America</v>
      </c>
      <c r="O655">
        <f>VLOOKUP($D655,'[2]product Table data'!$A$2:$G$12,O$1,FALSE)</f>
        <v>25</v>
      </c>
      <c r="P655">
        <f>VLOOKUP($D655,'[2]product Table data'!$A$2:$G$12,P$1,FALSE)</f>
        <v>30</v>
      </c>
      <c r="Q655">
        <f t="shared" si="50"/>
        <v>5</v>
      </c>
      <c r="R655" t="str">
        <f t="shared" si="51"/>
        <v>-</v>
      </c>
      <c r="S655" t="str">
        <f t="shared" si="52"/>
        <v>Style Risk</v>
      </c>
      <c r="T655" t="str">
        <f t="shared" si="53"/>
        <v>-</v>
      </c>
      <c r="U655" t="str">
        <f t="shared" si="54"/>
        <v>Low Value</v>
      </c>
    </row>
    <row r="656" spans="1:21" x14ac:dyDescent="0.2">
      <c r="A656" s="2">
        <v>1447</v>
      </c>
      <c r="B656" s="2" t="s">
        <v>9</v>
      </c>
      <c r="C656" s="2" t="s">
        <v>2038</v>
      </c>
      <c r="D656" s="2" t="s">
        <v>566</v>
      </c>
      <c r="E656" s="2">
        <v>80014</v>
      </c>
      <c r="F656" s="2" t="s">
        <v>2039</v>
      </c>
      <c r="G656" s="2" t="s">
        <v>13</v>
      </c>
      <c r="H656" s="2">
        <v>1</v>
      </c>
      <c r="I656" s="2" t="s">
        <v>14</v>
      </c>
      <c r="J656" s="2" t="str">
        <f>VLOOKUP(E656,[1]LL_Hub!$A$1:$B$13,2,FALSE)</f>
        <v>Denver</v>
      </c>
      <c r="K656" t="str">
        <f>VLOOKUP(D656,'[2]product Table data'!$A$2:$B$12,2,FALSE)</f>
        <v>Female</v>
      </c>
      <c r="L656" t="str">
        <f>VLOOKUP($D656,'[2]product Table data'!$A$2:$G$12,L$1,FALSE)</f>
        <v>Casual n Light</v>
      </c>
      <c r="M656" t="str">
        <f>VLOOKUP($D656,'[2]product Table data'!$A$2:$G$12,M$1,FALSE)</f>
        <v>Guatemala</v>
      </c>
      <c r="N656" t="str">
        <f>VLOOKUP($D656,'[2]product Table data'!$A$2:$G$12,N$1,FALSE)</f>
        <v>Central America</v>
      </c>
      <c r="O656">
        <f>VLOOKUP($D656,'[2]product Table data'!$A$2:$G$12,O$1,FALSE)</f>
        <v>25</v>
      </c>
      <c r="P656">
        <f>VLOOKUP($D656,'[2]product Table data'!$A$2:$G$12,P$1,FALSE)</f>
        <v>30</v>
      </c>
      <c r="Q656">
        <f t="shared" si="50"/>
        <v>5</v>
      </c>
      <c r="R656" t="str">
        <f t="shared" si="51"/>
        <v>Hub Risk</v>
      </c>
      <c r="S656" t="str">
        <f t="shared" si="52"/>
        <v>Style Risk</v>
      </c>
      <c r="T656" t="str">
        <f t="shared" si="53"/>
        <v>Risk</v>
      </c>
      <c r="U656" t="str">
        <f t="shared" si="54"/>
        <v>Low Value</v>
      </c>
    </row>
    <row r="657" spans="1:21" x14ac:dyDescent="0.2">
      <c r="A657" s="2">
        <v>1448</v>
      </c>
      <c r="B657" s="2" t="s">
        <v>9</v>
      </c>
      <c r="C657" s="2" t="s">
        <v>2040</v>
      </c>
      <c r="D657" s="2" t="s">
        <v>566</v>
      </c>
      <c r="E657" s="2">
        <v>80014</v>
      </c>
      <c r="F657" s="2" t="s">
        <v>2041</v>
      </c>
      <c r="G657" s="2" t="s">
        <v>13</v>
      </c>
      <c r="H657" s="2">
        <v>1</v>
      </c>
      <c r="I657" s="2" t="s">
        <v>14</v>
      </c>
      <c r="J657" s="2" t="str">
        <f>VLOOKUP(E657,[1]LL_Hub!$A$1:$B$13,2,FALSE)</f>
        <v>Denver</v>
      </c>
      <c r="K657" t="str">
        <f>VLOOKUP(D657,'[2]product Table data'!$A$2:$B$12,2,FALSE)</f>
        <v>Female</v>
      </c>
      <c r="L657" t="str">
        <f>VLOOKUP($D657,'[2]product Table data'!$A$2:$G$12,L$1,FALSE)</f>
        <v>Casual n Light</v>
      </c>
      <c r="M657" t="str">
        <f>VLOOKUP($D657,'[2]product Table data'!$A$2:$G$12,M$1,FALSE)</f>
        <v>Guatemala</v>
      </c>
      <c r="N657" t="str">
        <f>VLOOKUP($D657,'[2]product Table data'!$A$2:$G$12,N$1,FALSE)</f>
        <v>Central America</v>
      </c>
      <c r="O657">
        <f>VLOOKUP($D657,'[2]product Table data'!$A$2:$G$12,O$1,FALSE)</f>
        <v>25</v>
      </c>
      <c r="P657">
        <f>VLOOKUP($D657,'[2]product Table data'!$A$2:$G$12,P$1,FALSE)</f>
        <v>30</v>
      </c>
      <c r="Q657">
        <f t="shared" si="50"/>
        <v>5</v>
      </c>
      <c r="R657" t="str">
        <f t="shared" si="51"/>
        <v>Hub Risk</v>
      </c>
      <c r="S657" t="str">
        <f t="shared" si="52"/>
        <v>Style Risk</v>
      </c>
      <c r="T657" t="str">
        <f t="shared" si="53"/>
        <v>Risk</v>
      </c>
      <c r="U657" t="str">
        <f t="shared" si="54"/>
        <v>Low Value</v>
      </c>
    </row>
    <row r="658" spans="1:21" x14ac:dyDescent="0.2">
      <c r="A658" s="2">
        <v>1449</v>
      </c>
      <c r="B658" s="2" t="s">
        <v>9</v>
      </c>
      <c r="C658" s="2" t="s">
        <v>2042</v>
      </c>
      <c r="D658" s="2" t="s">
        <v>566</v>
      </c>
      <c r="E658" s="2">
        <v>80014</v>
      </c>
      <c r="F658" s="2" t="s">
        <v>2043</v>
      </c>
      <c r="G658" s="2" t="s">
        <v>13</v>
      </c>
      <c r="H658" s="2">
        <v>1</v>
      </c>
      <c r="I658" s="2" t="s">
        <v>14</v>
      </c>
      <c r="J658" s="2" t="str">
        <f>VLOOKUP(E658,[1]LL_Hub!$A$1:$B$13,2,FALSE)</f>
        <v>Denver</v>
      </c>
      <c r="K658" t="str">
        <f>VLOOKUP(D658,'[2]product Table data'!$A$2:$B$12,2,FALSE)</f>
        <v>Female</v>
      </c>
      <c r="L658" t="str">
        <f>VLOOKUP($D658,'[2]product Table data'!$A$2:$G$12,L$1,FALSE)</f>
        <v>Casual n Light</v>
      </c>
      <c r="M658" t="str">
        <f>VLOOKUP($D658,'[2]product Table data'!$A$2:$G$12,M$1,FALSE)</f>
        <v>Guatemala</v>
      </c>
      <c r="N658" t="str">
        <f>VLOOKUP($D658,'[2]product Table data'!$A$2:$G$12,N$1,FALSE)</f>
        <v>Central America</v>
      </c>
      <c r="O658">
        <f>VLOOKUP($D658,'[2]product Table data'!$A$2:$G$12,O$1,FALSE)</f>
        <v>25</v>
      </c>
      <c r="P658">
        <f>VLOOKUP($D658,'[2]product Table data'!$A$2:$G$12,P$1,FALSE)</f>
        <v>30</v>
      </c>
      <c r="Q658">
        <f t="shared" si="50"/>
        <v>5</v>
      </c>
      <c r="R658" t="str">
        <f t="shared" si="51"/>
        <v>Hub Risk</v>
      </c>
      <c r="S658" t="str">
        <f t="shared" si="52"/>
        <v>Style Risk</v>
      </c>
      <c r="T658" t="str">
        <f t="shared" si="53"/>
        <v>Risk</v>
      </c>
      <c r="U658" t="str">
        <f t="shared" si="54"/>
        <v>Low Value</v>
      </c>
    </row>
    <row r="659" spans="1:21" x14ac:dyDescent="0.2">
      <c r="A659" s="2">
        <v>1450</v>
      </c>
      <c r="B659" s="2" t="s">
        <v>9</v>
      </c>
      <c r="C659" s="2" t="s">
        <v>2044</v>
      </c>
      <c r="D659" s="2" t="s">
        <v>566</v>
      </c>
      <c r="E659" s="2">
        <v>80014</v>
      </c>
      <c r="F659" s="2" t="s">
        <v>2045</v>
      </c>
      <c r="G659" s="2" t="s">
        <v>13</v>
      </c>
      <c r="H659" s="2">
        <v>1</v>
      </c>
      <c r="I659" s="2" t="s">
        <v>14</v>
      </c>
      <c r="J659" s="2" t="str">
        <f>VLOOKUP(E659,[1]LL_Hub!$A$1:$B$13,2,FALSE)</f>
        <v>Denver</v>
      </c>
      <c r="K659" t="str">
        <f>VLOOKUP(D659,'[2]product Table data'!$A$2:$B$12,2,FALSE)</f>
        <v>Female</v>
      </c>
      <c r="L659" t="str">
        <f>VLOOKUP($D659,'[2]product Table data'!$A$2:$G$12,L$1,FALSE)</f>
        <v>Casual n Light</v>
      </c>
      <c r="M659" t="str">
        <f>VLOOKUP($D659,'[2]product Table data'!$A$2:$G$12,M$1,FALSE)</f>
        <v>Guatemala</v>
      </c>
      <c r="N659" t="str">
        <f>VLOOKUP($D659,'[2]product Table data'!$A$2:$G$12,N$1,FALSE)</f>
        <v>Central America</v>
      </c>
      <c r="O659">
        <f>VLOOKUP($D659,'[2]product Table data'!$A$2:$G$12,O$1,FALSE)</f>
        <v>25</v>
      </c>
      <c r="P659">
        <f>VLOOKUP($D659,'[2]product Table data'!$A$2:$G$12,P$1,FALSE)</f>
        <v>30</v>
      </c>
      <c r="Q659">
        <f t="shared" si="50"/>
        <v>5</v>
      </c>
      <c r="R659" t="str">
        <f t="shared" si="51"/>
        <v>Hub Risk</v>
      </c>
      <c r="S659" t="str">
        <f t="shared" si="52"/>
        <v>Style Risk</v>
      </c>
      <c r="T659" t="str">
        <f t="shared" si="53"/>
        <v>Risk</v>
      </c>
      <c r="U659" t="str">
        <f t="shared" si="54"/>
        <v>Low Value</v>
      </c>
    </row>
    <row r="660" spans="1:21" x14ac:dyDescent="0.2">
      <c r="A660" s="2">
        <v>1451</v>
      </c>
      <c r="B660" s="2" t="s">
        <v>9</v>
      </c>
      <c r="C660" s="2" t="s">
        <v>2046</v>
      </c>
      <c r="D660" s="2" t="s">
        <v>566</v>
      </c>
      <c r="E660" s="2">
        <v>80014</v>
      </c>
      <c r="F660" s="2" t="s">
        <v>2047</v>
      </c>
      <c r="G660" s="2" t="s">
        <v>13</v>
      </c>
      <c r="H660" s="2">
        <v>1</v>
      </c>
      <c r="I660" s="2" t="s">
        <v>14</v>
      </c>
      <c r="J660" s="2" t="str">
        <f>VLOOKUP(E660,[1]LL_Hub!$A$1:$B$13,2,FALSE)</f>
        <v>Denver</v>
      </c>
      <c r="K660" t="str">
        <f>VLOOKUP(D660,'[2]product Table data'!$A$2:$B$12,2,FALSE)</f>
        <v>Female</v>
      </c>
      <c r="L660" t="str">
        <f>VLOOKUP($D660,'[2]product Table data'!$A$2:$G$12,L$1,FALSE)</f>
        <v>Casual n Light</v>
      </c>
      <c r="M660" t="str">
        <f>VLOOKUP($D660,'[2]product Table data'!$A$2:$G$12,M$1,FALSE)</f>
        <v>Guatemala</v>
      </c>
      <c r="N660" t="str">
        <f>VLOOKUP($D660,'[2]product Table data'!$A$2:$G$12,N$1,FALSE)</f>
        <v>Central America</v>
      </c>
      <c r="O660">
        <f>VLOOKUP($D660,'[2]product Table data'!$A$2:$G$12,O$1,FALSE)</f>
        <v>25</v>
      </c>
      <c r="P660">
        <f>VLOOKUP($D660,'[2]product Table data'!$A$2:$G$12,P$1,FALSE)</f>
        <v>30</v>
      </c>
      <c r="Q660">
        <f t="shared" si="50"/>
        <v>5</v>
      </c>
      <c r="R660" t="str">
        <f t="shared" si="51"/>
        <v>Hub Risk</v>
      </c>
      <c r="S660" t="str">
        <f t="shared" si="52"/>
        <v>Style Risk</v>
      </c>
      <c r="T660" t="str">
        <f t="shared" si="53"/>
        <v>Risk</v>
      </c>
      <c r="U660" t="str">
        <f t="shared" si="54"/>
        <v>Low Value</v>
      </c>
    </row>
    <row r="661" spans="1:21" x14ac:dyDescent="0.2">
      <c r="A661" s="2">
        <v>3</v>
      </c>
      <c r="B661" s="2" t="s">
        <v>9</v>
      </c>
      <c r="C661" s="2" t="s">
        <v>10</v>
      </c>
      <c r="D661" s="2" t="s">
        <v>11</v>
      </c>
      <c r="E661" s="2">
        <v>90001</v>
      </c>
      <c r="F661" s="2" t="s">
        <v>12</v>
      </c>
      <c r="G661" s="2" t="s">
        <v>13</v>
      </c>
      <c r="H661" s="2">
        <v>1</v>
      </c>
      <c r="I661" s="2" t="s">
        <v>14</v>
      </c>
      <c r="J661" s="2" t="str">
        <f>VLOOKUP(E661,[1]LL_Hub!$A$1:$B$13,2,FALSE)</f>
        <v>Los Angeles</v>
      </c>
      <c r="K661" t="str">
        <f>VLOOKUP($D661,'[2]product Table data'!$A$2:$G$12,2,FALSE)</f>
        <v>Male</v>
      </c>
      <c r="L661" t="str">
        <f>VLOOKUP($D661,'[2]product Table data'!$A$2:$G$12,L$1,FALSE)</f>
        <v>Casual n Light</v>
      </c>
      <c r="M661" t="str">
        <f>VLOOKUP($D661,'[2]product Table data'!$A$2:$G$12,M$1,FALSE)</f>
        <v>Ethiopia</v>
      </c>
      <c r="N661" t="str">
        <f>VLOOKUP($D661,'[2]product Table data'!$A$2:$G$12,N$1,FALSE)</f>
        <v>Africa</v>
      </c>
      <c r="O661">
        <f>VLOOKUP($D661,'[2]product Table data'!$A$2:$G$12,O$1,FALSE)</f>
        <v>10</v>
      </c>
      <c r="P661">
        <f>VLOOKUP($D661,'[2]product Table data'!$A$2:$G$12,P$1,FALSE)</f>
        <v>20</v>
      </c>
      <c r="Q661">
        <f t="shared" si="50"/>
        <v>10</v>
      </c>
      <c r="R661" t="str">
        <f t="shared" si="51"/>
        <v>Hub Risk</v>
      </c>
      <c r="S661" t="str">
        <f t="shared" si="52"/>
        <v>Style Risk</v>
      </c>
      <c r="T661" t="str">
        <f t="shared" si="53"/>
        <v>Risk</v>
      </c>
      <c r="U661" t="str">
        <f t="shared" si="54"/>
        <v>High Value</v>
      </c>
    </row>
    <row r="662" spans="1:21" x14ac:dyDescent="0.2">
      <c r="A662" s="2">
        <v>695</v>
      </c>
      <c r="B662" s="2" t="s">
        <v>9</v>
      </c>
      <c r="C662" s="2" t="s">
        <v>191</v>
      </c>
      <c r="D662" s="2" t="s">
        <v>11</v>
      </c>
      <c r="E662" s="2">
        <v>90005</v>
      </c>
      <c r="F662" s="2" t="s">
        <v>192</v>
      </c>
      <c r="G662" s="2" t="s">
        <v>13</v>
      </c>
      <c r="H662" s="2">
        <v>1</v>
      </c>
      <c r="I662" s="2" t="s">
        <v>14</v>
      </c>
      <c r="J662" s="2" t="str">
        <f>VLOOKUP(E662,[1]LL_Hub!$A$1:$B$13,2,FALSE)</f>
        <v>Los Angeles</v>
      </c>
      <c r="K662" t="str">
        <f>VLOOKUP(D662,'[2]product Table data'!$A$2:$B$12,2,FALSE)</f>
        <v>Male</v>
      </c>
      <c r="L662" t="str">
        <f>VLOOKUP($D662,'[2]product Table data'!$A$2:$G$12,L$1,FALSE)</f>
        <v>Casual n Light</v>
      </c>
      <c r="M662" t="str">
        <f>VLOOKUP($D662,'[2]product Table data'!$A$2:$G$12,M$1,FALSE)</f>
        <v>Ethiopia</v>
      </c>
      <c r="N662" t="str">
        <f>VLOOKUP($D662,'[2]product Table data'!$A$2:$G$12,N$1,FALSE)</f>
        <v>Africa</v>
      </c>
      <c r="O662">
        <f>VLOOKUP($D662,'[2]product Table data'!$A$2:$G$12,O$1,FALSE)</f>
        <v>10</v>
      </c>
      <c r="P662">
        <f>VLOOKUP($D662,'[2]product Table data'!$A$2:$G$12,P$1,FALSE)</f>
        <v>20</v>
      </c>
      <c r="Q662">
        <f t="shared" si="50"/>
        <v>10</v>
      </c>
      <c r="R662" t="str">
        <f t="shared" si="51"/>
        <v>Hub Risk</v>
      </c>
      <c r="S662" t="str">
        <f t="shared" si="52"/>
        <v>Style Risk</v>
      </c>
      <c r="T662" t="str">
        <f t="shared" si="53"/>
        <v>Risk</v>
      </c>
      <c r="U662" t="str">
        <f t="shared" si="54"/>
        <v>High Value</v>
      </c>
    </row>
    <row r="663" spans="1:21" x14ac:dyDescent="0.2">
      <c r="A663" s="2">
        <v>117</v>
      </c>
      <c r="B663" s="2" t="s">
        <v>9</v>
      </c>
      <c r="C663" s="2" t="s">
        <v>58</v>
      </c>
      <c r="D663" s="2" t="s">
        <v>19</v>
      </c>
      <c r="E663" s="2">
        <v>10013</v>
      </c>
      <c r="F663" s="2" t="s">
        <v>35</v>
      </c>
      <c r="G663" s="2" t="s">
        <v>36</v>
      </c>
      <c r="H663" s="2">
        <v>1</v>
      </c>
      <c r="I663" s="2" t="s">
        <v>14</v>
      </c>
      <c r="J663" s="2" t="str">
        <f>VLOOKUP(E663,[1]LL_Hub!$A$1:$B$13,2,FALSE)</f>
        <v>New York</v>
      </c>
      <c r="K663" t="str">
        <f>VLOOKUP(D663,'[2]product Table data'!$A$2:$B$12,2,FALSE)</f>
        <v>Male</v>
      </c>
      <c r="L663" t="str">
        <f>VLOOKUP($D663,'[2]product Table data'!$A$2:$G$12,L$1,FALSE)</f>
        <v>Casual n Light</v>
      </c>
      <c r="M663" t="str">
        <f>VLOOKUP($D663,'[2]product Table data'!$A$2:$G$12,M$1,FALSE)</f>
        <v>Kenya</v>
      </c>
      <c r="N663" t="str">
        <f>VLOOKUP($D663,'[2]product Table data'!$A$2:$G$12,N$1,FALSE)</f>
        <v>Africa</v>
      </c>
      <c r="O663">
        <f>VLOOKUP($D663,'[2]product Table data'!$A$2:$G$12,O$1,FALSE)</f>
        <v>15</v>
      </c>
      <c r="P663">
        <f>VLOOKUP($D663,'[2]product Table data'!$A$2:$G$12,P$1,FALSE)</f>
        <v>30</v>
      </c>
      <c r="Q663">
        <f t="shared" si="50"/>
        <v>15</v>
      </c>
      <c r="R663" t="str">
        <f t="shared" si="51"/>
        <v>-</v>
      </c>
      <c r="S663" t="str">
        <f t="shared" si="52"/>
        <v>Style Risk</v>
      </c>
      <c r="T663" t="str">
        <f t="shared" si="53"/>
        <v>-</v>
      </c>
      <c r="U663" t="str">
        <f t="shared" si="54"/>
        <v>High Value</v>
      </c>
    </row>
    <row r="664" spans="1:21" x14ac:dyDescent="0.2">
      <c r="A664" s="2">
        <v>126</v>
      </c>
      <c r="B664" s="2" t="s">
        <v>9</v>
      </c>
      <c r="C664" s="2" t="s">
        <v>64</v>
      </c>
      <c r="D664" s="2" t="s">
        <v>19</v>
      </c>
      <c r="E664" s="2">
        <v>10022</v>
      </c>
      <c r="F664" s="2" t="s">
        <v>35</v>
      </c>
      <c r="G664" s="2" t="s">
        <v>36</v>
      </c>
      <c r="H664" s="2">
        <v>1</v>
      </c>
      <c r="I664" s="2" t="s">
        <v>14</v>
      </c>
      <c r="J664" s="2" t="str">
        <f>VLOOKUP(E664,[1]LL_Hub!$A$1:$B$13,2,FALSE)</f>
        <v>New York</v>
      </c>
      <c r="K664" t="str">
        <f>VLOOKUP(D664,'[2]product Table data'!$A$2:$B$12,2,FALSE)</f>
        <v>Male</v>
      </c>
      <c r="L664" t="str">
        <f>VLOOKUP($D664,'[2]product Table data'!$A$2:$G$12,L$1,FALSE)</f>
        <v>Casual n Light</v>
      </c>
      <c r="M664" t="str">
        <f>VLOOKUP($D664,'[2]product Table data'!$A$2:$G$12,M$1,FALSE)</f>
        <v>Kenya</v>
      </c>
      <c r="N664" t="str">
        <f>VLOOKUP($D664,'[2]product Table data'!$A$2:$G$12,N$1,FALSE)</f>
        <v>Africa</v>
      </c>
      <c r="O664">
        <f>VLOOKUP($D664,'[2]product Table data'!$A$2:$G$12,O$1,FALSE)</f>
        <v>15</v>
      </c>
      <c r="P664">
        <f>VLOOKUP($D664,'[2]product Table data'!$A$2:$G$12,P$1,FALSE)</f>
        <v>30</v>
      </c>
      <c r="Q664">
        <f t="shared" si="50"/>
        <v>15</v>
      </c>
      <c r="R664" t="str">
        <f t="shared" si="51"/>
        <v>-</v>
      </c>
      <c r="S664" t="str">
        <f t="shared" si="52"/>
        <v>Style Risk</v>
      </c>
      <c r="T664" t="str">
        <f t="shared" si="53"/>
        <v>-</v>
      </c>
      <c r="U664" t="str">
        <f t="shared" si="54"/>
        <v>High Value</v>
      </c>
    </row>
    <row r="665" spans="1:21" x14ac:dyDescent="0.2">
      <c r="A665" s="2">
        <v>128</v>
      </c>
      <c r="B665" s="2" t="s">
        <v>9</v>
      </c>
      <c r="C665" s="2" t="s">
        <v>66</v>
      </c>
      <c r="D665" s="2" t="s">
        <v>19</v>
      </c>
      <c r="E665" s="2">
        <v>10022</v>
      </c>
      <c r="F665" s="2" t="s">
        <v>67</v>
      </c>
      <c r="G665" s="2" t="s">
        <v>13</v>
      </c>
      <c r="H665" s="2">
        <v>1</v>
      </c>
      <c r="I665" s="2" t="s">
        <v>14</v>
      </c>
      <c r="J665" s="2" t="str">
        <f>VLOOKUP(E665,[1]LL_Hub!$A$1:$B$13,2,FALSE)</f>
        <v>New York</v>
      </c>
      <c r="K665" t="str">
        <f>VLOOKUP(D665,'[2]product Table data'!$A$2:$B$12,2,FALSE)</f>
        <v>Male</v>
      </c>
      <c r="L665" t="str">
        <f>VLOOKUP($D665,'[2]product Table data'!$A$2:$G$12,L$1,FALSE)</f>
        <v>Casual n Light</v>
      </c>
      <c r="M665" t="str">
        <f>VLOOKUP($D665,'[2]product Table data'!$A$2:$G$12,M$1,FALSE)</f>
        <v>Kenya</v>
      </c>
      <c r="N665" t="str">
        <f>VLOOKUP($D665,'[2]product Table data'!$A$2:$G$12,N$1,FALSE)</f>
        <v>Africa</v>
      </c>
      <c r="O665">
        <f>VLOOKUP($D665,'[2]product Table data'!$A$2:$G$12,O$1,FALSE)</f>
        <v>15</v>
      </c>
      <c r="P665">
        <f>VLOOKUP($D665,'[2]product Table data'!$A$2:$G$12,P$1,FALSE)</f>
        <v>30</v>
      </c>
      <c r="Q665">
        <f t="shared" si="50"/>
        <v>15</v>
      </c>
      <c r="R665" t="str">
        <f t="shared" si="51"/>
        <v>-</v>
      </c>
      <c r="S665" t="str">
        <f t="shared" si="52"/>
        <v>Style Risk</v>
      </c>
      <c r="T665" t="str">
        <f t="shared" si="53"/>
        <v>-</v>
      </c>
      <c r="U665" t="str">
        <f t="shared" si="54"/>
        <v>High Value</v>
      </c>
    </row>
    <row r="666" spans="1:21" x14ac:dyDescent="0.2">
      <c r="A666" s="2">
        <v>205</v>
      </c>
      <c r="B666" s="2" t="s">
        <v>9</v>
      </c>
      <c r="C666" s="2" t="s">
        <v>89</v>
      </c>
      <c r="D666" s="2" t="s">
        <v>19</v>
      </c>
      <c r="E666" s="2">
        <v>10022</v>
      </c>
      <c r="F666" s="2" t="s">
        <v>90</v>
      </c>
      <c r="G666" s="2" t="s">
        <v>13</v>
      </c>
      <c r="H666" s="2">
        <v>1</v>
      </c>
      <c r="I666" s="2" t="s">
        <v>14</v>
      </c>
      <c r="J666" s="2" t="str">
        <f>VLOOKUP(E666,[1]LL_Hub!$A$1:$B$13,2,FALSE)</f>
        <v>New York</v>
      </c>
      <c r="K666" t="str">
        <f>VLOOKUP(D666,'[2]product Table data'!$A$2:$B$12,2,FALSE)</f>
        <v>Male</v>
      </c>
      <c r="L666" t="str">
        <f>VLOOKUP($D666,'[2]product Table data'!$A$2:$G$12,L$1,FALSE)</f>
        <v>Casual n Light</v>
      </c>
      <c r="M666" t="str">
        <f>VLOOKUP($D666,'[2]product Table data'!$A$2:$G$12,M$1,FALSE)</f>
        <v>Kenya</v>
      </c>
      <c r="N666" t="str">
        <f>VLOOKUP($D666,'[2]product Table data'!$A$2:$G$12,N$1,FALSE)</f>
        <v>Africa</v>
      </c>
      <c r="O666">
        <f>VLOOKUP($D666,'[2]product Table data'!$A$2:$G$12,O$1,FALSE)</f>
        <v>15</v>
      </c>
      <c r="P666">
        <f>VLOOKUP($D666,'[2]product Table data'!$A$2:$G$12,P$1,FALSE)</f>
        <v>30</v>
      </c>
      <c r="Q666">
        <f t="shared" si="50"/>
        <v>15</v>
      </c>
      <c r="R666" t="str">
        <f t="shared" si="51"/>
        <v>-</v>
      </c>
      <c r="S666" t="str">
        <f t="shared" si="52"/>
        <v>Style Risk</v>
      </c>
      <c r="T666" t="str">
        <f t="shared" si="53"/>
        <v>-</v>
      </c>
      <c r="U666" t="str">
        <f t="shared" si="54"/>
        <v>High Value</v>
      </c>
    </row>
    <row r="667" spans="1:21" x14ac:dyDescent="0.2">
      <c r="A667" s="2">
        <v>578</v>
      </c>
      <c r="B667" s="2" t="s">
        <v>9</v>
      </c>
      <c r="C667" s="2" t="s">
        <v>130</v>
      </c>
      <c r="D667" s="2" t="s">
        <v>19</v>
      </c>
      <c r="E667" s="2">
        <v>10001</v>
      </c>
      <c r="F667" s="2" t="s">
        <v>131</v>
      </c>
      <c r="G667" s="2" t="s">
        <v>13</v>
      </c>
      <c r="H667" s="2">
        <v>1</v>
      </c>
      <c r="I667" s="2" t="s">
        <v>14</v>
      </c>
      <c r="J667" s="2" t="str">
        <f>VLOOKUP(E667,[1]LL_Hub!$A$1:$B$13,2,FALSE)</f>
        <v>New York</v>
      </c>
      <c r="K667" t="str">
        <f>VLOOKUP(D667,'[2]product Table data'!$A$2:$B$12,2,FALSE)</f>
        <v>Male</v>
      </c>
      <c r="L667" t="str">
        <f>VLOOKUP($D667,'[2]product Table data'!$A$2:$G$12,L$1,FALSE)</f>
        <v>Casual n Light</v>
      </c>
      <c r="M667" t="str">
        <f>VLOOKUP($D667,'[2]product Table data'!$A$2:$G$12,M$1,FALSE)</f>
        <v>Kenya</v>
      </c>
      <c r="N667" t="str">
        <f>VLOOKUP($D667,'[2]product Table data'!$A$2:$G$12,N$1,FALSE)</f>
        <v>Africa</v>
      </c>
      <c r="O667">
        <f>VLOOKUP($D667,'[2]product Table data'!$A$2:$G$12,O$1,FALSE)</f>
        <v>15</v>
      </c>
      <c r="P667">
        <f>VLOOKUP($D667,'[2]product Table data'!$A$2:$G$12,P$1,FALSE)</f>
        <v>30</v>
      </c>
      <c r="Q667">
        <f t="shared" si="50"/>
        <v>15</v>
      </c>
      <c r="R667" t="str">
        <f t="shared" si="51"/>
        <v>-</v>
      </c>
      <c r="S667" t="str">
        <f t="shared" si="52"/>
        <v>Style Risk</v>
      </c>
      <c r="T667" t="str">
        <f t="shared" si="53"/>
        <v>-</v>
      </c>
      <c r="U667" t="str">
        <f t="shared" si="54"/>
        <v>High Value</v>
      </c>
    </row>
    <row r="668" spans="1:21" x14ac:dyDescent="0.2">
      <c r="A668" s="2">
        <v>582</v>
      </c>
      <c r="B668" s="2" t="s">
        <v>9</v>
      </c>
      <c r="C668" s="2" t="s">
        <v>136</v>
      </c>
      <c r="D668" s="2" t="s">
        <v>19</v>
      </c>
      <c r="E668" s="2">
        <v>10001</v>
      </c>
      <c r="F668" s="2" t="s">
        <v>137</v>
      </c>
      <c r="G668" s="2" t="s">
        <v>13</v>
      </c>
      <c r="H668" s="2">
        <v>1</v>
      </c>
      <c r="I668" s="2" t="s">
        <v>14</v>
      </c>
      <c r="J668" s="2" t="str">
        <f>VLOOKUP(E668,[1]LL_Hub!$A$1:$B$13,2,FALSE)</f>
        <v>New York</v>
      </c>
      <c r="K668" t="str">
        <f>VLOOKUP(D668,'[2]product Table data'!$A$2:$B$12,2,FALSE)</f>
        <v>Male</v>
      </c>
      <c r="L668" t="str">
        <f>VLOOKUP($D668,'[2]product Table data'!$A$2:$G$12,L$1,FALSE)</f>
        <v>Casual n Light</v>
      </c>
      <c r="M668" t="str">
        <f>VLOOKUP($D668,'[2]product Table data'!$A$2:$G$12,M$1,FALSE)</f>
        <v>Kenya</v>
      </c>
      <c r="N668" t="str">
        <f>VLOOKUP($D668,'[2]product Table data'!$A$2:$G$12,N$1,FALSE)</f>
        <v>Africa</v>
      </c>
      <c r="O668">
        <f>VLOOKUP($D668,'[2]product Table data'!$A$2:$G$12,O$1,FALSE)</f>
        <v>15</v>
      </c>
      <c r="P668">
        <f>VLOOKUP($D668,'[2]product Table data'!$A$2:$G$12,P$1,FALSE)</f>
        <v>30</v>
      </c>
      <c r="Q668">
        <f t="shared" si="50"/>
        <v>15</v>
      </c>
      <c r="R668" t="str">
        <f t="shared" si="51"/>
        <v>-</v>
      </c>
      <c r="S668" t="str">
        <f t="shared" si="52"/>
        <v>Style Risk</v>
      </c>
      <c r="T668" t="str">
        <f t="shared" si="53"/>
        <v>-</v>
      </c>
      <c r="U668" t="str">
        <f t="shared" si="54"/>
        <v>High Value</v>
      </c>
    </row>
    <row r="669" spans="1:21" x14ac:dyDescent="0.2">
      <c r="A669" s="2">
        <v>781</v>
      </c>
      <c r="B669" s="2" t="s">
        <v>9</v>
      </c>
      <c r="C669" s="2" t="s">
        <v>237</v>
      </c>
      <c r="D669" s="2" t="s">
        <v>19</v>
      </c>
      <c r="E669" s="2">
        <v>33101</v>
      </c>
      <c r="F669" s="2" t="s">
        <v>96</v>
      </c>
      <c r="G669" s="2" t="s">
        <v>36</v>
      </c>
      <c r="H669" s="2">
        <v>1</v>
      </c>
      <c r="I669" s="2" t="s">
        <v>14</v>
      </c>
      <c r="J669" s="2" t="str">
        <f>VLOOKUP(E669,[1]LL_Hub!$A$1:$B$13,2,FALSE)</f>
        <v>Miami</v>
      </c>
      <c r="K669" t="str">
        <f>VLOOKUP(D669,'[2]product Table data'!$A$2:$B$12,2,FALSE)</f>
        <v>Male</v>
      </c>
      <c r="L669" t="str">
        <f>VLOOKUP($D669,'[2]product Table data'!$A$2:$G$12,L$1,FALSE)</f>
        <v>Casual n Light</v>
      </c>
      <c r="M669" t="str">
        <f>VLOOKUP($D669,'[2]product Table data'!$A$2:$G$12,M$1,FALSE)</f>
        <v>Kenya</v>
      </c>
      <c r="N669" t="str">
        <f>VLOOKUP($D669,'[2]product Table data'!$A$2:$G$12,N$1,FALSE)</f>
        <v>Africa</v>
      </c>
      <c r="O669">
        <f>VLOOKUP($D669,'[2]product Table data'!$A$2:$G$12,O$1,FALSE)</f>
        <v>15</v>
      </c>
      <c r="P669">
        <f>VLOOKUP($D669,'[2]product Table data'!$A$2:$G$12,P$1,FALSE)</f>
        <v>30</v>
      </c>
      <c r="Q669">
        <f t="shared" si="50"/>
        <v>15</v>
      </c>
      <c r="R669" t="str">
        <f t="shared" si="51"/>
        <v>-</v>
      </c>
      <c r="S669" t="str">
        <f t="shared" si="52"/>
        <v>Style Risk</v>
      </c>
      <c r="T669" t="str">
        <f t="shared" si="53"/>
        <v>-</v>
      </c>
      <c r="U669" t="str">
        <f t="shared" si="54"/>
        <v>High Value</v>
      </c>
    </row>
    <row r="670" spans="1:21" x14ac:dyDescent="0.2">
      <c r="A670" s="2">
        <v>62</v>
      </c>
      <c r="B670" s="2" t="s">
        <v>9</v>
      </c>
      <c r="C670" s="2" t="s">
        <v>554</v>
      </c>
      <c r="D670" s="2" t="s">
        <v>505</v>
      </c>
      <c r="E670" s="2">
        <v>10001</v>
      </c>
      <c r="F670" s="2" t="s">
        <v>35</v>
      </c>
      <c r="G670" s="2" t="s">
        <v>36</v>
      </c>
      <c r="H670" s="2">
        <v>1</v>
      </c>
      <c r="I670" s="2" t="s">
        <v>14</v>
      </c>
      <c r="J670" s="2" t="str">
        <f>VLOOKUP(E670,[1]LL_Hub!$A$1:$B$13,2,FALSE)</f>
        <v>New York</v>
      </c>
      <c r="K670" t="str">
        <f>VLOOKUP(D670,'[2]product Table data'!$A$2:$B$12,2,FALSE)</f>
        <v>Female</v>
      </c>
      <c r="L670" t="str">
        <f>VLOOKUP($D670,'[2]product Table data'!$A$2:$G$12,L$1,FALSE)</f>
        <v>Casual n Light</v>
      </c>
      <c r="M670" t="str">
        <f>VLOOKUP($D670,'[2]product Table data'!$A$2:$G$12,M$1,FALSE)</f>
        <v>Honduras</v>
      </c>
      <c r="N670" t="str">
        <f>VLOOKUP($D670,'[2]product Table data'!$A$2:$G$12,N$1,FALSE)</f>
        <v>Central America</v>
      </c>
      <c r="O670">
        <f>VLOOKUP($D670,'[2]product Table data'!$A$2:$G$12,O$1,FALSE)</f>
        <v>30</v>
      </c>
      <c r="P670">
        <f>VLOOKUP($D670,'[2]product Table data'!$A$2:$G$12,P$1,FALSE)</f>
        <v>45</v>
      </c>
      <c r="Q670">
        <f t="shared" si="50"/>
        <v>15</v>
      </c>
      <c r="R670" t="str">
        <f t="shared" si="51"/>
        <v>-</v>
      </c>
      <c r="S670" t="str">
        <f t="shared" si="52"/>
        <v>Style Risk</v>
      </c>
      <c r="T670" t="str">
        <f t="shared" si="53"/>
        <v>-</v>
      </c>
      <c r="U670" t="str">
        <f t="shared" si="54"/>
        <v>High Value</v>
      </c>
    </row>
    <row r="671" spans="1:21" x14ac:dyDescent="0.2">
      <c r="A671" s="2">
        <v>68</v>
      </c>
      <c r="B671" s="2" t="s">
        <v>9</v>
      </c>
      <c r="C671" s="2" t="s">
        <v>560</v>
      </c>
      <c r="D671" s="2" t="s">
        <v>505</v>
      </c>
      <c r="E671" s="2">
        <v>10001</v>
      </c>
      <c r="F671" s="2" t="s">
        <v>35</v>
      </c>
      <c r="G671" s="2" t="s">
        <v>36</v>
      </c>
      <c r="H671" s="2">
        <v>1</v>
      </c>
      <c r="I671" s="2" t="s">
        <v>14</v>
      </c>
      <c r="J671" s="2" t="str">
        <f>VLOOKUP(E671,[1]LL_Hub!$A$1:$B$13,2,FALSE)</f>
        <v>New York</v>
      </c>
      <c r="K671" t="str">
        <f>VLOOKUP(D671,'[2]product Table data'!$A$2:$B$12,2,FALSE)</f>
        <v>Female</v>
      </c>
      <c r="L671" t="str">
        <f>VLOOKUP($D671,'[2]product Table data'!$A$2:$G$12,L$1,FALSE)</f>
        <v>Casual n Light</v>
      </c>
      <c r="M671" t="str">
        <f>VLOOKUP($D671,'[2]product Table data'!$A$2:$G$12,M$1,FALSE)</f>
        <v>Honduras</v>
      </c>
      <c r="N671" t="str">
        <f>VLOOKUP($D671,'[2]product Table data'!$A$2:$G$12,N$1,FALSE)</f>
        <v>Central America</v>
      </c>
      <c r="O671">
        <f>VLOOKUP($D671,'[2]product Table data'!$A$2:$G$12,O$1,FALSE)</f>
        <v>30</v>
      </c>
      <c r="P671">
        <f>VLOOKUP($D671,'[2]product Table data'!$A$2:$G$12,P$1,FALSE)</f>
        <v>45</v>
      </c>
      <c r="Q671">
        <f t="shared" si="50"/>
        <v>15</v>
      </c>
      <c r="R671" t="str">
        <f t="shared" si="51"/>
        <v>-</v>
      </c>
      <c r="S671" t="str">
        <f t="shared" si="52"/>
        <v>Style Risk</v>
      </c>
      <c r="T671" t="str">
        <f t="shared" si="53"/>
        <v>-</v>
      </c>
      <c r="U671" t="str">
        <f t="shared" si="54"/>
        <v>High Value</v>
      </c>
    </row>
    <row r="672" spans="1:21" x14ac:dyDescent="0.2">
      <c r="A672" s="2">
        <v>70</v>
      </c>
      <c r="B672" s="2" t="s">
        <v>9</v>
      </c>
      <c r="C672" s="2" t="s">
        <v>562</v>
      </c>
      <c r="D672" s="2" t="s">
        <v>505</v>
      </c>
      <c r="E672" s="2">
        <v>10001</v>
      </c>
      <c r="F672" s="2" t="s">
        <v>35</v>
      </c>
      <c r="G672" s="2" t="s">
        <v>36</v>
      </c>
      <c r="H672" s="2">
        <v>1</v>
      </c>
      <c r="I672" s="2" t="s">
        <v>14</v>
      </c>
      <c r="J672" s="2" t="str">
        <f>VLOOKUP(E672,[1]LL_Hub!$A$1:$B$13,2,FALSE)</f>
        <v>New York</v>
      </c>
      <c r="K672" t="str">
        <f>VLOOKUP(D672,'[2]product Table data'!$A$2:$B$12,2,FALSE)</f>
        <v>Female</v>
      </c>
      <c r="L672" t="str">
        <f>VLOOKUP($D672,'[2]product Table data'!$A$2:$G$12,L$1,FALSE)</f>
        <v>Casual n Light</v>
      </c>
      <c r="M672" t="str">
        <f>VLOOKUP($D672,'[2]product Table data'!$A$2:$G$12,M$1,FALSE)</f>
        <v>Honduras</v>
      </c>
      <c r="N672" t="str">
        <f>VLOOKUP($D672,'[2]product Table data'!$A$2:$G$12,N$1,FALSE)</f>
        <v>Central America</v>
      </c>
      <c r="O672">
        <f>VLOOKUP($D672,'[2]product Table data'!$A$2:$G$12,O$1,FALSE)</f>
        <v>30</v>
      </c>
      <c r="P672">
        <f>VLOOKUP($D672,'[2]product Table data'!$A$2:$G$12,P$1,FALSE)</f>
        <v>45</v>
      </c>
      <c r="Q672">
        <f t="shared" si="50"/>
        <v>15</v>
      </c>
      <c r="R672" t="str">
        <f t="shared" si="51"/>
        <v>-</v>
      </c>
      <c r="S672" t="str">
        <f t="shared" si="52"/>
        <v>Style Risk</v>
      </c>
      <c r="T672" t="str">
        <f t="shared" si="53"/>
        <v>-</v>
      </c>
      <c r="U672" t="str">
        <f t="shared" si="54"/>
        <v>High Value</v>
      </c>
    </row>
    <row r="673" spans="1:21" x14ac:dyDescent="0.2">
      <c r="A673" s="2">
        <v>77</v>
      </c>
      <c r="B673" s="2" t="s">
        <v>9</v>
      </c>
      <c r="C673" s="2" t="s">
        <v>576</v>
      </c>
      <c r="D673" s="2" t="s">
        <v>505</v>
      </c>
      <c r="E673" s="2">
        <v>10001</v>
      </c>
      <c r="F673" s="2" t="s">
        <v>577</v>
      </c>
      <c r="G673" s="2" t="s">
        <v>13</v>
      </c>
      <c r="H673" s="2">
        <v>1</v>
      </c>
      <c r="I673" s="2" t="s">
        <v>14</v>
      </c>
      <c r="J673" s="2" t="str">
        <f>VLOOKUP(E673,[1]LL_Hub!$A$1:$B$13,2,FALSE)</f>
        <v>New York</v>
      </c>
      <c r="K673" t="str">
        <f>VLOOKUP(D673,'[2]product Table data'!$A$2:$B$12,2,FALSE)</f>
        <v>Female</v>
      </c>
      <c r="L673" t="str">
        <f>VLOOKUP($D673,'[2]product Table data'!$A$2:$G$12,L$1,FALSE)</f>
        <v>Casual n Light</v>
      </c>
      <c r="M673" t="str">
        <f>VLOOKUP($D673,'[2]product Table data'!$A$2:$G$12,M$1,FALSE)</f>
        <v>Honduras</v>
      </c>
      <c r="N673" t="str">
        <f>VLOOKUP($D673,'[2]product Table data'!$A$2:$G$12,N$1,FALSE)</f>
        <v>Central America</v>
      </c>
      <c r="O673">
        <f>VLOOKUP($D673,'[2]product Table data'!$A$2:$G$12,O$1,FALSE)</f>
        <v>30</v>
      </c>
      <c r="P673">
        <f>VLOOKUP($D673,'[2]product Table data'!$A$2:$G$12,P$1,FALSE)</f>
        <v>45</v>
      </c>
      <c r="Q673">
        <f t="shared" si="50"/>
        <v>15</v>
      </c>
      <c r="R673" t="str">
        <f t="shared" si="51"/>
        <v>-</v>
      </c>
      <c r="S673" t="str">
        <f t="shared" si="52"/>
        <v>Style Risk</v>
      </c>
      <c r="T673" t="str">
        <f t="shared" si="53"/>
        <v>-</v>
      </c>
      <c r="U673" t="str">
        <f t="shared" si="54"/>
        <v>High Value</v>
      </c>
    </row>
    <row r="674" spans="1:21" x14ac:dyDescent="0.2">
      <c r="A674" s="2">
        <v>691</v>
      </c>
      <c r="B674" s="2" t="s">
        <v>9</v>
      </c>
      <c r="C674" s="2" t="s">
        <v>1239</v>
      </c>
      <c r="D674" s="2" t="s">
        <v>505</v>
      </c>
      <c r="E674" s="2">
        <v>90005</v>
      </c>
      <c r="F674" s="2" t="s">
        <v>1240</v>
      </c>
      <c r="G674" s="2" t="s">
        <v>13</v>
      </c>
      <c r="H674" s="2">
        <v>1</v>
      </c>
      <c r="I674" s="2" t="s">
        <v>14</v>
      </c>
      <c r="J674" s="2" t="str">
        <f>VLOOKUP(E674,[1]LL_Hub!$A$1:$B$13,2,FALSE)</f>
        <v>Los Angeles</v>
      </c>
      <c r="K674" t="str">
        <f>VLOOKUP(D674,'[2]product Table data'!$A$2:$B$12,2,FALSE)</f>
        <v>Female</v>
      </c>
      <c r="L674" t="str">
        <f>VLOOKUP($D674,'[2]product Table data'!$A$2:$G$12,L$1,FALSE)</f>
        <v>Casual n Light</v>
      </c>
      <c r="M674" t="str">
        <f>VLOOKUP($D674,'[2]product Table data'!$A$2:$G$12,M$1,FALSE)</f>
        <v>Honduras</v>
      </c>
      <c r="N674" t="str">
        <f>VLOOKUP($D674,'[2]product Table data'!$A$2:$G$12,N$1,FALSE)</f>
        <v>Central America</v>
      </c>
      <c r="O674">
        <f>VLOOKUP($D674,'[2]product Table data'!$A$2:$G$12,O$1,FALSE)</f>
        <v>30</v>
      </c>
      <c r="P674">
        <f>VLOOKUP($D674,'[2]product Table data'!$A$2:$G$12,P$1,FALSE)</f>
        <v>45</v>
      </c>
      <c r="Q674">
        <f t="shared" si="50"/>
        <v>15</v>
      </c>
      <c r="R674" t="str">
        <f t="shared" si="51"/>
        <v>Hub Risk</v>
      </c>
      <c r="S674" t="str">
        <f t="shared" si="52"/>
        <v>Style Risk</v>
      </c>
      <c r="T674" t="str">
        <f t="shared" si="53"/>
        <v>Risk</v>
      </c>
      <c r="U674" t="str">
        <f t="shared" si="54"/>
        <v>High Value</v>
      </c>
    </row>
    <row r="675" spans="1:21" x14ac:dyDescent="0.2">
      <c r="A675" s="2">
        <v>692</v>
      </c>
      <c r="B675" s="2" t="s">
        <v>9</v>
      </c>
      <c r="C675" s="2" t="s">
        <v>1241</v>
      </c>
      <c r="D675" s="2" t="s">
        <v>505</v>
      </c>
      <c r="E675" s="2">
        <v>90005</v>
      </c>
      <c r="F675" s="2" t="s">
        <v>1242</v>
      </c>
      <c r="G675" s="2" t="s">
        <v>13</v>
      </c>
      <c r="H675" s="2">
        <v>1</v>
      </c>
      <c r="I675" s="2" t="s">
        <v>14</v>
      </c>
      <c r="J675" s="2" t="str">
        <f>VLOOKUP(E675,[1]LL_Hub!$A$1:$B$13,2,FALSE)</f>
        <v>Los Angeles</v>
      </c>
      <c r="K675" t="str">
        <f>VLOOKUP(D675,'[2]product Table data'!$A$2:$B$12,2,FALSE)</f>
        <v>Female</v>
      </c>
      <c r="L675" t="str">
        <f>VLOOKUP($D675,'[2]product Table data'!$A$2:$G$12,L$1,FALSE)</f>
        <v>Casual n Light</v>
      </c>
      <c r="M675" t="str">
        <f>VLOOKUP($D675,'[2]product Table data'!$A$2:$G$12,M$1,FALSE)</f>
        <v>Honduras</v>
      </c>
      <c r="N675" t="str">
        <f>VLOOKUP($D675,'[2]product Table data'!$A$2:$G$12,N$1,FALSE)</f>
        <v>Central America</v>
      </c>
      <c r="O675">
        <f>VLOOKUP($D675,'[2]product Table data'!$A$2:$G$12,O$1,FALSE)</f>
        <v>30</v>
      </c>
      <c r="P675">
        <f>VLOOKUP($D675,'[2]product Table data'!$A$2:$G$12,P$1,FALSE)</f>
        <v>45</v>
      </c>
      <c r="Q675">
        <f t="shared" si="50"/>
        <v>15</v>
      </c>
      <c r="R675" t="str">
        <f t="shared" si="51"/>
        <v>Hub Risk</v>
      </c>
      <c r="S675" t="str">
        <f t="shared" si="52"/>
        <v>Style Risk</v>
      </c>
      <c r="T675" t="str">
        <f t="shared" si="53"/>
        <v>Risk</v>
      </c>
      <c r="U675" t="str">
        <f t="shared" si="54"/>
        <v>High Value</v>
      </c>
    </row>
    <row r="676" spans="1:21" x14ac:dyDescent="0.2">
      <c r="A676" s="2">
        <v>418</v>
      </c>
      <c r="B676" s="2" t="s">
        <v>9</v>
      </c>
      <c r="C676" s="2" t="s">
        <v>1007</v>
      </c>
      <c r="D676" s="2" t="s">
        <v>604</v>
      </c>
      <c r="E676" s="2">
        <v>33101</v>
      </c>
      <c r="F676" s="2" t="s">
        <v>1008</v>
      </c>
      <c r="G676" s="2" t="s">
        <v>13</v>
      </c>
      <c r="H676" s="2">
        <v>1</v>
      </c>
      <c r="I676" s="2" t="s">
        <v>14</v>
      </c>
      <c r="J676" s="2" t="str">
        <f>VLOOKUP(E676,[1]LL_Hub!$A$1:$B$13,2,FALSE)</f>
        <v>Miami</v>
      </c>
      <c r="K676" t="str">
        <f>VLOOKUP(D676,'[2]product Table data'!$A$2:$B$12,2,FALSE)</f>
        <v>Female</v>
      </c>
      <c r="L676" t="str">
        <f>VLOOKUP($D676,'[2]product Table data'!$A$2:$G$12,L$1,FALSE)</f>
        <v>Fancy Sheek</v>
      </c>
      <c r="M676" t="str">
        <f>VLOOKUP($D676,'[2]product Table data'!$A$2:$G$12,M$1,FALSE)</f>
        <v>Iran</v>
      </c>
      <c r="N676" t="str">
        <f>VLOOKUP($D676,'[2]product Table data'!$A$2:$G$12,N$1,FALSE)</f>
        <v>Middle East</v>
      </c>
      <c r="O676">
        <f>VLOOKUP($D676,'[2]product Table data'!$A$2:$G$12,O$1,FALSE)</f>
        <v>75</v>
      </c>
      <c r="P676">
        <f>VLOOKUP($D676,'[2]product Table data'!$A$2:$G$12,P$1,FALSE)</f>
        <v>125</v>
      </c>
      <c r="Q676">
        <f t="shared" si="50"/>
        <v>50</v>
      </c>
      <c r="R676" t="str">
        <f t="shared" si="51"/>
        <v>-</v>
      </c>
      <c r="S676" t="str">
        <f t="shared" si="52"/>
        <v>Style Risk</v>
      </c>
      <c r="T676" t="str">
        <f t="shared" si="53"/>
        <v>-</v>
      </c>
      <c r="U676" t="str">
        <f t="shared" si="54"/>
        <v>High Value</v>
      </c>
    </row>
    <row r="677" spans="1:21" x14ac:dyDescent="0.2">
      <c r="A677" s="2">
        <v>419</v>
      </c>
      <c r="B677" s="2" t="s">
        <v>9</v>
      </c>
      <c r="C677" s="2" t="s">
        <v>1009</v>
      </c>
      <c r="D677" s="2" t="s">
        <v>604</v>
      </c>
      <c r="E677" s="2">
        <v>33101</v>
      </c>
      <c r="F677" s="2" t="s">
        <v>1010</v>
      </c>
      <c r="G677" s="2" t="s">
        <v>13</v>
      </c>
      <c r="H677" s="2">
        <v>1</v>
      </c>
      <c r="I677" s="2" t="s">
        <v>14</v>
      </c>
      <c r="J677" s="2" t="str">
        <f>VLOOKUP(E677,[1]LL_Hub!$A$1:$B$13,2,FALSE)</f>
        <v>Miami</v>
      </c>
      <c r="K677" t="str">
        <f>VLOOKUP(D677,'[2]product Table data'!$A$2:$B$12,2,FALSE)</f>
        <v>Female</v>
      </c>
      <c r="L677" t="str">
        <f>VLOOKUP($D677,'[2]product Table data'!$A$2:$G$12,L$1,FALSE)</f>
        <v>Fancy Sheek</v>
      </c>
      <c r="M677" t="str">
        <f>VLOOKUP($D677,'[2]product Table data'!$A$2:$G$12,M$1,FALSE)</f>
        <v>Iran</v>
      </c>
      <c r="N677" t="str">
        <f>VLOOKUP($D677,'[2]product Table data'!$A$2:$G$12,N$1,FALSE)</f>
        <v>Middle East</v>
      </c>
      <c r="O677">
        <f>VLOOKUP($D677,'[2]product Table data'!$A$2:$G$12,O$1,FALSE)</f>
        <v>75</v>
      </c>
      <c r="P677">
        <f>VLOOKUP($D677,'[2]product Table data'!$A$2:$G$12,P$1,FALSE)</f>
        <v>125</v>
      </c>
      <c r="Q677">
        <f t="shared" si="50"/>
        <v>50</v>
      </c>
      <c r="R677" t="str">
        <f t="shared" si="51"/>
        <v>-</v>
      </c>
      <c r="S677" t="str">
        <f t="shared" si="52"/>
        <v>Style Risk</v>
      </c>
      <c r="T677" t="str">
        <f t="shared" si="53"/>
        <v>-</v>
      </c>
      <c r="U677" t="str">
        <f t="shared" si="54"/>
        <v>High Value</v>
      </c>
    </row>
    <row r="678" spans="1:21" x14ac:dyDescent="0.2">
      <c r="A678" s="2">
        <v>420</v>
      </c>
      <c r="B678" s="2" t="s">
        <v>9</v>
      </c>
      <c r="C678" s="2" t="s">
        <v>1011</v>
      </c>
      <c r="D678" s="2" t="s">
        <v>604</v>
      </c>
      <c r="E678" s="2">
        <v>33101</v>
      </c>
      <c r="F678" s="2" t="s">
        <v>1012</v>
      </c>
      <c r="G678" s="2" t="s">
        <v>13</v>
      </c>
      <c r="H678" s="2">
        <v>1</v>
      </c>
      <c r="I678" s="2" t="s">
        <v>14</v>
      </c>
      <c r="J678" s="2" t="str">
        <f>VLOOKUP(E678,[1]LL_Hub!$A$1:$B$13,2,FALSE)</f>
        <v>Miami</v>
      </c>
      <c r="K678" t="str">
        <f>VLOOKUP(D678,'[2]product Table data'!$A$2:$B$12,2,FALSE)</f>
        <v>Female</v>
      </c>
      <c r="L678" t="str">
        <f>VLOOKUP($D678,'[2]product Table data'!$A$2:$G$12,L$1,FALSE)</f>
        <v>Fancy Sheek</v>
      </c>
      <c r="M678" t="str">
        <f>VLOOKUP($D678,'[2]product Table data'!$A$2:$G$12,M$1,FALSE)</f>
        <v>Iran</v>
      </c>
      <c r="N678" t="str">
        <f>VLOOKUP($D678,'[2]product Table data'!$A$2:$G$12,N$1,FALSE)</f>
        <v>Middle East</v>
      </c>
      <c r="O678">
        <f>VLOOKUP($D678,'[2]product Table data'!$A$2:$G$12,O$1,FALSE)</f>
        <v>75</v>
      </c>
      <c r="P678">
        <f>VLOOKUP($D678,'[2]product Table data'!$A$2:$G$12,P$1,FALSE)</f>
        <v>125</v>
      </c>
      <c r="Q678">
        <f t="shared" si="50"/>
        <v>50</v>
      </c>
      <c r="R678" t="str">
        <f t="shared" si="51"/>
        <v>-</v>
      </c>
      <c r="S678" t="str">
        <f t="shared" si="52"/>
        <v>Style Risk</v>
      </c>
      <c r="T678" t="str">
        <f t="shared" si="53"/>
        <v>-</v>
      </c>
      <c r="U678" t="str">
        <f t="shared" si="54"/>
        <v>High Value</v>
      </c>
    </row>
    <row r="679" spans="1:21" x14ac:dyDescent="0.2">
      <c r="A679" s="2">
        <v>421</v>
      </c>
      <c r="B679" s="2" t="s">
        <v>9</v>
      </c>
      <c r="C679" s="2" t="s">
        <v>1013</v>
      </c>
      <c r="D679" s="2" t="s">
        <v>604</v>
      </c>
      <c r="E679" s="2">
        <v>33101</v>
      </c>
      <c r="F679" s="2" t="s">
        <v>1014</v>
      </c>
      <c r="G679" s="2" t="s">
        <v>13</v>
      </c>
      <c r="H679" s="2">
        <v>1</v>
      </c>
      <c r="I679" s="2" t="s">
        <v>14</v>
      </c>
      <c r="J679" s="2" t="str">
        <f>VLOOKUP(E679,[1]LL_Hub!$A$1:$B$13,2,FALSE)</f>
        <v>Miami</v>
      </c>
      <c r="K679" t="str">
        <f>VLOOKUP(D679,'[2]product Table data'!$A$2:$B$12,2,FALSE)</f>
        <v>Female</v>
      </c>
      <c r="L679" t="str">
        <f>VLOOKUP($D679,'[2]product Table data'!$A$2:$G$12,L$1,FALSE)</f>
        <v>Fancy Sheek</v>
      </c>
      <c r="M679" t="str">
        <f>VLOOKUP($D679,'[2]product Table data'!$A$2:$G$12,M$1,FALSE)</f>
        <v>Iran</v>
      </c>
      <c r="N679" t="str">
        <f>VLOOKUP($D679,'[2]product Table data'!$A$2:$G$12,N$1,FALSE)</f>
        <v>Middle East</v>
      </c>
      <c r="O679">
        <f>VLOOKUP($D679,'[2]product Table data'!$A$2:$G$12,O$1,FALSE)</f>
        <v>75</v>
      </c>
      <c r="P679">
        <f>VLOOKUP($D679,'[2]product Table data'!$A$2:$G$12,P$1,FALSE)</f>
        <v>125</v>
      </c>
      <c r="Q679">
        <f t="shared" si="50"/>
        <v>50</v>
      </c>
      <c r="R679" t="str">
        <f t="shared" si="51"/>
        <v>-</v>
      </c>
      <c r="S679" t="str">
        <f t="shared" si="52"/>
        <v>Style Risk</v>
      </c>
      <c r="T679" t="str">
        <f t="shared" si="53"/>
        <v>-</v>
      </c>
      <c r="U679" t="str">
        <f t="shared" si="54"/>
        <v>High Value</v>
      </c>
    </row>
    <row r="680" spans="1:21" x14ac:dyDescent="0.2">
      <c r="A680" s="2">
        <v>422</v>
      </c>
      <c r="B680" s="2" t="s">
        <v>9</v>
      </c>
      <c r="C680" s="2" t="s">
        <v>1015</v>
      </c>
      <c r="D680" s="2" t="s">
        <v>604</v>
      </c>
      <c r="E680" s="2">
        <v>33101</v>
      </c>
      <c r="F680" s="2" t="s">
        <v>1016</v>
      </c>
      <c r="G680" s="2" t="s">
        <v>13</v>
      </c>
      <c r="H680" s="2">
        <v>1</v>
      </c>
      <c r="I680" s="2" t="s">
        <v>14</v>
      </c>
      <c r="J680" s="2" t="str">
        <f>VLOOKUP(E680,[1]LL_Hub!$A$1:$B$13,2,FALSE)</f>
        <v>Miami</v>
      </c>
      <c r="K680" t="str">
        <f>VLOOKUP(D680,'[2]product Table data'!$A$2:$B$12,2,FALSE)</f>
        <v>Female</v>
      </c>
      <c r="L680" t="str">
        <f>VLOOKUP($D680,'[2]product Table data'!$A$2:$G$12,L$1,FALSE)</f>
        <v>Fancy Sheek</v>
      </c>
      <c r="M680" t="str">
        <f>VLOOKUP($D680,'[2]product Table data'!$A$2:$G$12,M$1,FALSE)</f>
        <v>Iran</v>
      </c>
      <c r="N680" t="str">
        <f>VLOOKUP($D680,'[2]product Table data'!$A$2:$G$12,N$1,FALSE)</f>
        <v>Middle East</v>
      </c>
      <c r="O680">
        <f>VLOOKUP($D680,'[2]product Table data'!$A$2:$G$12,O$1,FALSE)</f>
        <v>75</v>
      </c>
      <c r="P680">
        <f>VLOOKUP($D680,'[2]product Table data'!$A$2:$G$12,P$1,FALSE)</f>
        <v>125</v>
      </c>
      <c r="Q680">
        <f t="shared" si="50"/>
        <v>50</v>
      </c>
      <c r="R680" t="str">
        <f t="shared" si="51"/>
        <v>-</v>
      </c>
      <c r="S680" t="str">
        <f t="shared" si="52"/>
        <v>Style Risk</v>
      </c>
      <c r="T680" t="str">
        <f t="shared" si="53"/>
        <v>-</v>
      </c>
      <c r="U680" t="str">
        <f t="shared" si="54"/>
        <v>High Value</v>
      </c>
    </row>
    <row r="681" spans="1:21" x14ac:dyDescent="0.2">
      <c r="A681" s="2">
        <v>423</v>
      </c>
      <c r="B681" s="2" t="s">
        <v>9</v>
      </c>
      <c r="C681" s="2" t="s">
        <v>1017</v>
      </c>
      <c r="D681" s="2" t="s">
        <v>604</v>
      </c>
      <c r="E681" s="2">
        <v>33101</v>
      </c>
      <c r="F681" s="2" t="s">
        <v>1018</v>
      </c>
      <c r="G681" s="2" t="s">
        <v>13</v>
      </c>
      <c r="H681" s="2">
        <v>1</v>
      </c>
      <c r="I681" s="2" t="s">
        <v>14</v>
      </c>
      <c r="J681" s="2" t="str">
        <f>VLOOKUP(E681,[1]LL_Hub!$A$1:$B$13,2,FALSE)</f>
        <v>Miami</v>
      </c>
      <c r="K681" t="str">
        <f>VLOOKUP(D681,'[2]product Table data'!$A$2:$B$12,2,FALSE)</f>
        <v>Female</v>
      </c>
      <c r="L681" t="str">
        <f>VLOOKUP($D681,'[2]product Table data'!$A$2:$G$12,L$1,FALSE)</f>
        <v>Fancy Sheek</v>
      </c>
      <c r="M681" t="str">
        <f>VLOOKUP($D681,'[2]product Table data'!$A$2:$G$12,M$1,FALSE)</f>
        <v>Iran</v>
      </c>
      <c r="N681" t="str">
        <f>VLOOKUP($D681,'[2]product Table data'!$A$2:$G$12,N$1,FALSE)</f>
        <v>Middle East</v>
      </c>
      <c r="O681">
        <f>VLOOKUP($D681,'[2]product Table data'!$A$2:$G$12,O$1,FALSE)</f>
        <v>75</v>
      </c>
      <c r="P681">
        <f>VLOOKUP($D681,'[2]product Table data'!$A$2:$G$12,P$1,FALSE)</f>
        <v>125</v>
      </c>
      <c r="Q681">
        <f t="shared" si="50"/>
        <v>50</v>
      </c>
      <c r="R681" t="str">
        <f t="shared" si="51"/>
        <v>-</v>
      </c>
      <c r="S681" t="str">
        <f t="shared" si="52"/>
        <v>Style Risk</v>
      </c>
      <c r="T681" t="str">
        <f t="shared" si="53"/>
        <v>-</v>
      </c>
      <c r="U681" t="str">
        <f t="shared" si="54"/>
        <v>High Value</v>
      </c>
    </row>
    <row r="682" spans="1:21" x14ac:dyDescent="0.2">
      <c r="A682" s="2">
        <v>424</v>
      </c>
      <c r="B682" s="2" t="s">
        <v>9</v>
      </c>
      <c r="C682" s="2" t="s">
        <v>1019</v>
      </c>
      <c r="D682" s="2" t="s">
        <v>604</v>
      </c>
      <c r="E682" s="2">
        <v>33101</v>
      </c>
      <c r="F682" s="2" t="s">
        <v>1020</v>
      </c>
      <c r="G682" s="2" t="s">
        <v>13</v>
      </c>
      <c r="H682" s="2">
        <v>1</v>
      </c>
      <c r="I682" s="2" t="s">
        <v>14</v>
      </c>
      <c r="J682" s="2" t="str">
        <f>VLOOKUP(E682,[1]LL_Hub!$A$1:$B$13,2,FALSE)</f>
        <v>Miami</v>
      </c>
      <c r="K682" t="str">
        <f>VLOOKUP(D682,'[2]product Table data'!$A$2:$B$12,2,FALSE)</f>
        <v>Female</v>
      </c>
      <c r="L682" t="str">
        <f>VLOOKUP($D682,'[2]product Table data'!$A$2:$G$12,L$1,FALSE)</f>
        <v>Fancy Sheek</v>
      </c>
      <c r="M682" t="str">
        <f>VLOOKUP($D682,'[2]product Table data'!$A$2:$G$12,M$1,FALSE)</f>
        <v>Iran</v>
      </c>
      <c r="N682" t="str">
        <f>VLOOKUP($D682,'[2]product Table data'!$A$2:$G$12,N$1,FALSE)</f>
        <v>Middle East</v>
      </c>
      <c r="O682">
        <f>VLOOKUP($D682,'[2]product Table data'!$A$2:$G$12,O$1,FALSE)</f>
        <v>75</v>
      </c>
      <c r="P682">
        <f>VLOOKUP($D682,'[2]product Table data'!$A$2:$G$12,P$1,FALSE)</f>
        <v>125</v>
      </c>
      <c r="Q682">
        <f t="shared" si="50"/>
        <v>50</v>
      </c>
      <c r="R682" t="str">
        <f t="shared" si="51"/>
        <v>-</v>
      </c>
      <c r="S682" t="str">
        <f t="shared" si="52"/>
        <v>Style Risk</v>
      </c>
      <c r="T682" t="str">
        <f t="shared" si="53"/>
        <v>-</v>
      </c>
      <c r="U682" t="str">
        <f t="shared" si="54"/>
        <v>High Value</v>
      </c>
    </row>
    <row r="683" spans="1:21" x14ac:dyDescent="0.2">
      <c r="A683" s="2">
        <v>425</v>
      </c>
      <c r="B683" s="2" t="s">
        <v>9</v>
      </c>
      <c r="C683" s="2" t="s">
        <v>1021</v>
      </c>
      <c r="D683" s="2" t="s">
        <v>604</v>
      </c>
      <c r="E683" s="2">
        <v>33101</v>
      </c>
      <c r="F683" s="2" t="s">
        <v>98</v>
      </c>
      <c r="G683" s="2" t="s">
        <v>36</v>
      </c>
      <c r="H683" s="2">
        <v>1</v>
      </c>
      <c r="I683" s="2" t="s">
        <v>14</v>
      </c>
      <c r="J683" s="2" t="str">
        <f>VLOOKUP(E683,[1]LL_Hub!$A$1:$B$13,2,FALSE)</f>
        <v>Miami</v>
      </c>
      <c r="K683" t="str">
        <f>VLOOKUP(D683,'[2]product Table data'!$A$2:$B$12,2,FALSE)</f>
        <v>Female</v>
      </c>
      <c r="L683" t="str">
        <f>VLOOKUP($D683,'[2]product Table data'!$A$2:$G$12,L$1,FALSE)</f>
        <v>Fancy Sheek</v>
      </c>
      <c r="M683" t="str">
        <f>VLOOKUP($D683,'[2]product Table data'!$A$2:$G$12,M$1,FALSE)</f>
        <v>Iran</v>
      </c>
      <c r="N683" t="str">
        <f>VLOOKUP($D683,'[2]product Table data'!$A$2:$G$12,N$1,FALSE)</f>
        <v>Middle East</v>
      </c>
      <c r="O683">
        <f>VLOOKUP($D683,'[2]product Table data'!$A$2:$G$12,O$1,FALSE)</f>
        <v>75</v>
      </c>
      <c r="P683">
        <f>VLOOKUP($D683,'[2]product Table data'!$A$2:$G$12,P$1,FALSE)</f>
        <v>125</v>
      </c>
      <c r="Q683">
        <f t="shared" si="50"/>
        <v>50</v>
      </c>
      <c r="R683" t="str">
        <f t="shared" si="51"/>
        <v>-</v>
      </c>
      <c r="S683" t="str">
        <f t="shared" si="52"/>
        <v>Style Risk</v>
      </c>
      <c r="T683" t="str">
        <f t="shared" si="53"/>
        <v>-</v>
      </c>
      <c r="U683" t="str">
        <f t="shared" si="54"/>
        <v>High Value</v>
      </c>
    </row>
    <row r="684" spans="1:21" x14ac:dyDescent="0.2">
      <c r="A684" s="2">
        <v>426</v>
      </c>
      <c r="B684" s="2" t="s">
        <v>9</v>
      </c>
      <c r="C684" s="2" t="s">
        <v>1022</v>
      </c>
      <c r="D684" s="2" t="s">
        <v>604</v>
      </c>
      <c r="E684" s="2">
        <v>33101</v>
      </c>
      <c r="F684" s="2" t="s">
        <v>98</v>
      </c>
      <c r="G684" s="2" t="s">
        <v>36</v>
      </c>
      <c r="H684" s="2">
        <v>1</v>
      </c>
      <c r="I684" s="2" t="s">
        <v>14</v>
      </c>
      <c r="J684" s="2" t="str">
        <f>VLOOKUP(E684,[1]LL_Hub!$A$1:$B$13,2,FALSE)</f>
        <v>Miami</v>
      </c>
      <c r="K684" t="str">
        <f>VLOOKUP(D684,'[2]product Table data'!$A$2:$B$12,2,FALSE)</f>
        <v>Female</v>
      </c>
      <c r="L684" t="str">
        <f>VLOOKUP($D684,'[2]product Table data'!$A$2:$G$12,L$1,FALSE)</f>
        <v>Fancy Sheek</v>
      </c>
      <c r="M684" t="str">
        <f>VLOOKUP($D684,'[2]product Table data'!$A$2:$G$12,M$1,FALSE)</f>
        <v>Iran</v>
      </c>
      <c r="N684" t="str">
        <f>VLOOKUP($D684,'[2]product Table data'!$A$2:$G$12,N$1,FALSE)</f>
        <v>Middle East</v>
      </c>
      <c r="O684">
        <f>VLOOKUP($D684,'[2]product Table data'!$A$2:$G$12,O$1,FALSE)</f>
        <v>75</v>
      </c>
      <c r="P684">
        <f>VLOOKUP($D684,'[2]product Table data'!$A$2:$G$12,P$1,FALSE)</f>
        <v>125</v>
      </c>
      <c r="Q684">
        <f t="shared" si="50"/>
        <v>50</v>
      </c>
      <c r="R684" t="str">
        <f t="shared" si="51"/>
        <v>-</v>
      </c>
      <c r="S684" t="str">
        <f t="shared" si="52"/>
        <v>Style Risk</v>
      </c>
      <c r="T684" t="str">
        <f t="shared" si="53"/>
        <v>-</v>
      </c>
      <c r="U684" t="str">
        <f t="shared" si="54"/>
        <v>High Value</v>
      </c>
    </row>
    <row r="685" spans="1:21" x14ac:dyDescent="0.2">
      <c r="A685" s="2">
        <v>427</v>
      </c>
      <c r="B685" s="2" t="s">
        <v>9</v>
      </c>
      <c r="C685" s="2" t="s">
        <v>1023</v>
      </c>
      <c r="D685" s="2" t="s">
        <v>604</v>
      </c>
      <c r="E685" s="2">
        <v>33101</v>
      </c>
      <c r="F685" s="2" t="s">
        <v>98</v>
      </c>
      <c r="G685" s="2" t="s">
        <v>36</v>
      </c>
      <c r="H685" s="2">
        <v>1</v>
      </c>
      <c r="I685" s="2" t="s">
        <v>14</v>
      </c>
      <c r="J685" s="2" t="str">
        <f>VLOOKUP(E685,[1]LL_Hub!$A$1:$B$13,2,FALSE)</f>
        <v>Miami</v>
      </c>
      <c r="K685" t="str">
        <f>VLOOKUP(D685,'[2]product Table data'!$A$2:$B$12,2,FALSE)</f>
        <v>Female</v>
      </c>
      <c r="L685" t="str">
        <f>VLOOKUP($D685,'[2]product Table data'!$A$2:$G$12,L$1,FALSE)</f>
        <v>Fancy Sheek</v>
      </c>
      <c r="M685" t="str">
        <f>VLOOKUP($D685,'[2]product Table data'!$A$2:$G$12,M$1,FALSE)</f>
        <v>Iran</v>
      </c>
      <c r="N685" t="str">
        <f>VLOOKUP($D685,'[2]product Table data'!$A$2:$G$12,N$1,FALSE)</f>
        <v>Middle East</v>
      </c>
      <c r="O685">
        <f>VLOOKUP($D685,'[2]product Table data'!$A$2:$G$12,O$1,FALSE)</f>
        <v>75</v>
      </c>
      <c r="P685">
        <f>VLOOKUP($D685,'[2]product Table data'!$A$2:$G$12,P$1,FALSE)</f>
        <v>125</v>
      </c>
      <c r="Q685">
        <f t="shared" si="50"/>
        <v>50</v>
      </c>
      <c r="R685" t="str">
        <f t="shared" si="51"/>
        <v>-</v>
      </c>
      <c r="S685" t="str">
        <f t="shared" si="52"/>
        <v>Style Risk</v>
      </c>
      <c r="T685" t="str">
        <f t="shared" si="53"/>
        <v>-</v>
      </c>
      <c r="U685" t="str">
        <f t="shared" si="54"/>
        <v>High Value</v>
      </c>
    </row>
    <row r="686" spans="1:21" x14ac:dyDescent="0.2">
      <c r="A686" s="2">
        <v>428</v>
      </c>
      <c r="B686" s="2" t="s">
        <v>9</v>
      </c>
      <c r="C686" s="2" t="s">
        <v>1024</v>
      </c>
      <c r="D686" s="2" t="s">
        <v>604</v>
      </c>
      <c r="E686" s="2">
        <v>33101</v>
      </c>
      <c r="F686" s="2" t="s">
        <v>98</v>
      </c>
      <c r="G686" s="2" t="s">
        <v>36</v>
      </c>
      <c r="H686" s="2">
        <v>1</v>
      </c>
      <c r="I686" s="2" t="s">
        <v>14</v>
      </c>
      <c r="J686" s="2" t="str">
        <f>VLOOKUP(E686,[1]LL_Hub!$A$1:$B$13,2,FALSE)</f>
        <v>Miami</v>
      </c>
      <c r="K686" t="str">
        <f>VLOOKUP(D686,'[2]product Table data'!$A$2:$B$12,2,FALSE)</f>
        <v>Female</v>
      </c>
      <c r="L686" t="str">
        <f>VLOOKUP($D686,'[2]product Table data'!$A$2:$G$12,L$1,FALSE)</f>
        <v>Fancy Sheek</v>
      </c>
      <c r="M686" t="str">
        <f>VLOOKUP($D686,'[2]product Table data'!$A$2:$G$12,M$1,FALSE)</f>
        <v>Iran</v>
      </c>
      <c r="N686" t="str">
        <f>VLOOKUP($D686,'[2]product Table data'!$A$2:$G$12,N$1,FALSE)</f>
        <v>Middle East</v>
      </c>
      <c r="O686">
        <f>VLOOKUP($D686,'[2]product Table data'!$A$2:$G$12,O$1,FALSE)</f>
        <v>75</v>
      </c>
      <c r="P686">
        <f>VLOOKUP($D686,'[2]product Table data'!$A$2:$G$12,P$1,FALSE)</f>
        <v>125</v>
      </c>
      <c r="Q686">
        <f t="shared" si="50"/>
        <v>50</v>
      </c>
      <c r="R686" t="str">
        <f t="shared" si="51"/>
        <v>-</v>
      </c>
      <c r="S686" t="str">
        <f t="shared" si="52"/>
        <v>Style Risk</v>
      </c>
      <c r="T686" t="str">
        <f t="shared" si="53"/>
        <v>-</v>
      </c>
      <c r="U686" t="str">
        <f t="shared" si="54"/>
        <v>High Value</v>
      </c>
    </row>
    <row r="687" spans="1:21" x14ac:dyDescent="0.2">
      <c r="A687" s="2">
        <v>429</v>
      </c>
      <c r="B687" s="2" t="s">
        <v>9</v>
      </c>
      <c r="C687" s="2" t="s">
        <v>1025</v>
      </c>
      <c r="D687" s="2" t="s">
        <v>604</v>
      </c>
      <c r="E687" s="2">
        <v>33101</v>
      </c>
      <c r="F687" s="2" t="s">
        <v>98</v>
      </c>
      <c r="G687" s="2" t="s">
        <v>36</v>
      </c>
      <c r="H687" s="2">
        <v>1</v>
      </c>
      <c r="I687" s="2" t="s">
        <v>14</v>
      </c>
      <c r="J687" s="2" t="str">
        <f>VLOOKUP(E687,[1]LL_Hub!$A$1:$B$13,2,FALSE)</f>
        <v>Miami</v>
      </c>
      <c r="K687" t="str">
        <f>VLOOKUP(D687,'[2]product Table data'!$A$2:$B$12,2,FALSE)</f>
        <v>Female</v>
      </c>
      <c r="L687" t="str">
        <f>VLOOKUP($D687,'[2]product Table data'!$A$2:$G$12,L$1,FALSE)</f>
        <v>Fancy Sheek</v>
      </c>
      <c r="M687" t="str">
        <f>VLOOKUP($D687,'[2]product Table data'!$A$2:$G$12,M$1,FALSE)</f>
        <v>Iran</v>
      </c>
      <c r="N687" t="str">
        <f>VLOOKUP($D687,'[2]product Table data'!$A$2:$G$12,N$1,FALSE)</f>
        <v>Middle East</v>
      </c>
      <c r="O687">
        <f>VLOOKUP($D687,'[2]product Table data'!$A$2:$G$12,O$1,FALSE)</f>
        <v>75</v>
      </c>
      <c r="P687">
        <f>VLOOKUP($D687,'[2]product Table data'!$A$2:$G$12,P$1,FALSE)</f>
        <v>125</v>
      </c>
      <c r="Q687">
        <f t="shared" si="50"/>
        <v>50</v>
      </c>
      <c r="R687" t="str">
        <f t="shared" si="51"/>
        <v>-</v>
      </c>
      <c r="S687" t="str">
        <f t="shared" si="52"/>
        <v>Style Risk</v>
      </c>
      <c r="T687" t="str">
        <f t="shared" si="53"/>
        <v>-</v>
      </c>
      <c r="U687" t="str">
        <f t="shared" si="54"/>
        <v>High Value</v>
      </c>
    </row>
    <row r="688" spans="1:21" x14ac:dyDescent="0.2">
      <c r="A688" s="2">
        <v>430</v>
      </c>
      <c r="B688" s="2" t="s">
        <v>9</v>
      </c>
      <c r="C688" s="2" t="s">
        <v>1026</v>
      </c>
      <c r="D688" s="2" t="s">
        <v>604</v>
      </c>
      <c r="E688" s="2">
        <v>33101</v>
      </c>
      <c r="F688" s="2" t="s">
        <v>98</v>
      </c>
      <c r="G688" s="2" t="s">
        <v>36</v>
      </c>
      <c r="H688" s="2">
        <v>1</v>
      </c>
      <c r="I688" s="2" t="s">
        <v>14</v>
      </c>
      <c r="J688" s="2" t="str">
        <f>VLOOKUP(E688,[1]LL_Hub!$A$1:$B$13,2,FALSE)</f>
        <v>Miami</v>
      </c>
      <c r="K688" t="str">
        <f>VLOOKUP(D688,'[2]product Table data'!$A$2:$B$12,2,FALSE)</f>
        <v>Female</v>
      </c>
      <c r="L688" t="str">
        <f>VLOOKUP($D688,'[2]product Table data'!$A$2:$G$12,L$1,FALSE)</f>
        <v>Fancy Sheek</v>
      </c>
      <c r="M688" t="str">
        <f>VLOOKUP($D688,'[2]product Table data'!$A$2:$G$12,M$1,FALSE)</f>
        <v>Iran</v>
      </c>
      <c r="N688" t="str">
        <f>VLOOKUP($D688,'[2]product Table data'!$A$2:$G$12,N$1,FALSE)</f>
        <v>Middle East</v>
      </c>
      <c r="O688">
        <f>VLOOKUP($D688,'[2]product Table data'!$A$2:$G$12,O$1,FALSE)</f>
        <v>75</v>
      </c>
      <c r="P688">
        <f>VLOOKUP($D688,'[2]product Table data'!$A$2:$G$12,P$1,FALSE)</f>
        <v>125</v>
      </c>
      <c r="Q688">
        <f t="shared" si="50"/>
        <v>50</v>
      </c>
      <c r="R688" t="str">
        <f t="shared" si="51"/>
        <v>-</v>
      </c>
      <c r="S688" t="str">
        <f t="shared" si="52"/>
        <v>Style Risk</v>
      </c>
      <c r="T688" t="str">
        <f t="shared" si="53"/>
        <v>-</v>
      </c>
      <c r="U688" t="str">
        <f t="shared" si="54"/>
        <v>High Value</v>
      </c>
    </row>
    <row r="689" spans="1:21" x14ac:dyDescent="0.2">
      <c r="A689" s="2">
        <v>433</v>
      </c>
      <c r="B689" s="2" t="s">
        <v>9</v>
      </c>
      <c r="C689" s="2" t="s">
        <v>1027</v>
      </c>
      <c r="D689" s="2" t="s">
        <v>604</v>
      </c>
      <c r="E689" s="2">
        <v>33101</v>
      </c>
      <c r="F689" s="2" t="s">
        <v>98</v>
      </c>
      <c r="G689" s="2" t="s">
        <v>36</v>
      </c>
      <c r="H689" s="2">
        <v>1</v>
      </c>
      <c r="I689" s="2" t="s">
        <v>14</v>
      </c>
      <c r="J689" s="2" t="str">
        <f>VLOOKUP(E689,[1]LL_Hub!$A$1:$B$13,2,FALSE)</f>
        <v>Miami</v>
      </c>
      <c r="K689" t="str">
        <f>VLOOKUP(D689,'[2]product Table data'!$A$2:$B$12,2,FALSE)</f>
        <v>Female</v>
      </c>
      <c r="L689" t="str">
        <f>VLOOKUP($D689,'[2]product Table data'!$A$2:$G$12,L$1,FALSE)</f>
        <v>Fancy Sheek</v>
      </c>
      <c r="M689" t="str">
        <f>VLOOKUP($D689,'[2]product Table data'!$A$2:$G$12,M$1,FALSE)</f>
        <v>Iran</v>
      </c>
      <c r="N689" t="str">
        <f>VLOOKUP($D689,'[2]product Table data'!$A$2:$G$12,N$1,FALSE)</f>
        <v>Middle East</v>
      </c>
      <c r="O689">
        <f>VLOOKUP($D689,'[2]product Table data'!$A$2:$G$12,O$1,FALSE)</f>
        <v>75</v>
      </c>
      <c r="P689">
        <f>VLOOKUP($D689,'[2]product Table data'!$A$2:$G$12,P$1,FALSE)</f>
        <v>125</v>
      </c>
      <c r="Q689">
        <f t="shared" si="50"/>
        <v>50</v>
      </c>
      <c r="R689" t="str">
        <f t="shared" si="51"/>
        <v>-</v>
      </c>
      <c r="S689" t="str">
        <f t="shared" si="52"/>
        <v>Style Risk</v>
      </c>
      <c r="T689" t="str">
        <f t="shared" si="53"/>
        <v>-</v>
      </c>
      <c r="U689" t="str">
        <f t="shared" si="54"/>
        <v>High Value</v>
      </c>
    </row>
    <row r="690" spans="1:21" x14ac:dyDescent="0.2">
      <c r="A690" s="2">
        <v>434</v>
      </c>
      <c r="B690" s="2" t="s">
        <v>9</v>
      </c>
      <c r="C690" s="2" t="s">
        <v>1028</v>
      </c>
      <c r="D690" s="2" t="s">
        <v>604</v>
      </c>
      <c r="E690" s="2">
        <v>33101</v>
      </c>
      <c r="F690" s="2" t="s">
        <v>98</v>
      </c>
      <c r="G690" s="2" t="s">
        <v>36</v>
      </c>
      <c r="H690" s="2">
        <v>1</v>
      </c>
      <c r="I690" s="2" t="s">
        <v>14</v>
      </c>
      <c r="J690" s="2" t="str">
        <f>VLOOKUP(E690,[1]LL_Hub!$A$1:$B$13,2,FALSE)</f>
        <v>Miami</v>
      </c>
      <c r="K690" t="str">
        <f>VLOOKUP(D690,'[2]product Table data'!$A$2:$B$12,2,FALSE)</f>
        <v>Female</v>
      </c>
      <c r="L690" t="str">
        <f>VLOOKUP($D690,'[2]product Table data'!$A$2:$G$12,L$1,FALSE)</f>
        <v>Fancy Sheek</v>
      </c>
      <c r="M690" t="str">
        <f>VLOOKUP($D690,'[2]product Table data'!$A$2:$G$12,M$1,FALSE)</f>
        <v>Iran</v>
      </c>
      <c r="N690" t="str">
        <f>VLOOKUP($D690,'[2]product Table data'!$A$2:$G$12,N$1,FALSE)</f>
        <v>Middle East</v>
      </c>
      <c r="O690">
        <f>VLOOKUP($D690,'[2]product Table data'!$A$2:$G$12,O$1,FALSE)</f>
        <v>75</v>
      </c>
      <c r="P690">
        <f>VLOOKUP($D690,'[2]product Table data'!$A$2:$G$12,P$1,FALSE)</f>
        <v>125</v>
      </c>
      <c r="Q690">
        <f t="shared" si="50"/>
        <v>50</v>
      </c>
      <c r="R690" t="str">
        <f t="shared" si="51"/>
        <v>-</v>
      </c>
      <c r="S690" t="str">
        <f t="shared" si="52"/>
        <v>Style Risk</v>
      </c>
      <c r="T690" t="str">
        <f t="shared" si="53"/>
        <v>-</v>
      </c>
      <c r="U690" t="str">
        <f t="shared" si="54"/>
        <v>High Value</v>
      </c>
    </row>
    <row r="691" spans="1:21" x14ac:dyDescent="0.2">
      <c r="A691" s="2">
        <v>435</v>
      </c>
      <c r="B691" s="2" t="s">
        <v>9</v>
      </c>
      <c r="C691" s="2" t="s">
        <v>1029</v>
      </c>
      <c r="D691" s="2" t="s">
        <v>604</v>
      </c>
      <c r="E691" s="2">
        <v>33101</v>
      </c>
      <c r="F691" s="2" t="s">
        <v>98</v>
      </c>
      <c r="G691" s="2" t="s">
        <v>36</v>
      </c>
      <c r="H691" s="2">
        <v>1</v>
      </c>
      <c r="I691" s="2" t="s">
        <v>14</v>
      </c>
      <c r="J691" s="2" t="str">
        <f>VLOOKUP(E691,[1]LL_Hub!$A$1:$B$13,2,FALSE)</f>
        <v>Miami</v>
      </c>
      <c r="K691" t="str">
        <f>VLOOKUP(D691,'[2]product Table data'!$A$2:$B$12,2,FALSE)</f>
        <v>Female</v>
      </c>
      <c r="L691" t="str">
        <f>VLOOKUP($D691,'[2]product Table data'!$A$2:$G$12,L$1,FALSE)</f>
        <v>Fancy Sheek</v>
      </c>
      <c r="M691" t="str">
        <f>VLOOKUP($D691,'[2]product Table data'!$A$2:$G$12,M$1,FALSE)</f>
        <v>Iran</v>
      </c>
      <c r="N691" t="str">
        <f>VLOOKUP($D691,'[2]product Table data'!$A$2:$G$12,N$1,FALSE)</f>
        <v>Middle East</v>
      </c>
      <c r="O691">
        <f>VLOOKUP($D691,'[2]product Table data'!$A$2:$G$12,O$1,FALSE)</f>
        <v>75</v>
      </c>
      <c r="P691">
        <f>VLOOKUP($D691,'[2]product Table data'!$A$2:$G$12,P$1,FALSE)</f>
        <v>125</v>
      </c>
      <c r="Q691">
        <f t="shared" si="50"/>
        <v>50</v>
      </c>
      <c r="R691" t="str">
        <f t="shared" si="51"/>
        <v>-</v>
      </c>
      <c r="S691" t="str">
        <f t="shared" si="52"/>
        <v>Style Risk</v>
      </c>
      <c r="T691" t="str">
        <f t="shared" si="53"/>
        <v>-</v>
      </c>
      <c r="U691" t="str">
        <f t="shared" si="54"/>
        <v>High Value</v>
      </c>
    </row>
    <row r="692" spans="1:21" x14ac:dyDescent="0.2">
      <c r="A692" s="2">
        <v>436</v>
      </c>
      <c r="B692" s="2" t="s">
        <v>9</v>
      </c>
      <c r="C692" s="2" t="s">
        <v>1030</v>
      </c>
      <c r="D692" s="2" t="s">
        <v>604</v>
      </c>
      <c r="E692" s="2">
        <v>33101</v>
      </c>
      <c r="F692" s="2" t="s">
        <v>98</v>
      </c>
      <c r="G692" s="2" t="s">
        <v>36</v>
      </c>
      <c r="H692" s="2">
        <v>1</v>
      </c>
      <c r="I692" s="2" t="s">
        <v>14</v>
      </c>
      <c r="J692" s="2" t="str">
        <f>VLOOKUP(E692,[1]LL_Hub!$A$1:$B$13,2,FALSE)</f>
        <v>Miami</v>
      </c>
      <c r="K692" t="str">
        <f>VLOOKUP(D692,'[2]product Table data'!$A$2:$B$12,2,FALSE)</f>
        <v>Female</v>
      </c>
      <c r="L692" t="str">
        <f>VLOOKUP($D692,'[2]product Table data'!$A$2:$G$12,L$1,FALSE)</f>
        <v>Fancy Sheek</v>
      </c>
      <c r="M692" t="str">
        <f>VLOOKUP($D692,'[2]product Table data'!$A$2:$G$12,M$1,FALSE)</f>
        <v>Iran</v>
      </c>
      <c r="N692" t="str">
        <f>VLOOKUP($D692,'[2]product Table data'!$A$2:$G$12,N$1,FALSE)</f>
        <v>Middle East</v>
      </c>
      <c r="O692">
        <f>VLOOKUP($D692,'[2]product Table data'!$A$2:$G$12,O$1,FALSE)</f>
        <v>75</v>
      </c>
      <c r="P692">
        <f>VLOOKUP($D692,'[2]product Table data'!$A$2:$G$12,P$1,FALSE)</f>
        <v>125</v>
      </c>
      <c r="Q692">
        <f t="shared" si="50"/>
        <v>50</v>
      </c>
      <c r="R692" t="str">
        <f t="shared" si="51"/>
        <v>-</v>
      </c>
      <c r="S692" t="str">
        <f t="shared" si="52"/>
        <v>Style Risk</v>
      </c>
      <c r="T692" t="str">
        <f t="shared" si="53"/>
        <v>-</v>
      </c>
      <c r="U692" t="str">
        <f t="shared" si="54"/>
        <v>High Value</v>
      </c>
    </row>
    <row r="693" spans="1:21" x14ac:dyDescent="0.2">
      <c r="A693" s="2">
        <v>437</v>
      </c>
      <c r="B693" s="2" t="s">
        <v>9</v>
      </c>
      <c r="C693" s="2" t="s">
        <v>1031</v>
      </c>
      <c r="D693" s="2" t="s">
        <v>604</v>
      </c>
      <c r="E693" s="2">
        <v>33101</v>
      </c>
      <c r="F693" s="2" t="s">
        <v>98</v>
      </c>
      <c r="G693" s="2" t="s">
        <v>36</v>
      </c>
      <c r="H693" s="2">
        <v>1</v>
      </c>
      <c r="I693" s="2" t="s">
        <v>14</v>
      </c>
      <c r="J693" s="2" t="str">
        <f>VLOOKUP(E693,[1]LL_Hub!$A$1:$B$13,2,FALSE)</f>
        <v>Miami</v>
      </c>
      <c r="K693" t="str">
        <f>VLOOKUP(D693,'[2]product Table data'!$A$2:$B$12,2,FALSE)</f>
        <v>Female</v>
      </c>
      <c r="L693" t="str">
        <f>VLOOKUP($D693,'[2]product Table data'!$A$2:$G$12,L$1,FALSE)</f>
        <v>Fancy Sheek</v>
      </c>
      <c r="M693" t="str">
        <f>VLOOKUP($D693,'[2]product Table data'!$A$2:$G$12,M$1,FALSE)</f>
        <v>Iran</v>
      </c>
      <c r="N693" t="str">
        <f>VLOOKUP($D693,'[2]product Table data'!$A$2:$G$12,N$1,FALSE)</f>
        <v>Middle East</v>
      </c>
      <c r="O693">
        <f>VLOOKUP($D693,'[2]product Table data'!$A$2:$G$12,O$1,FALSE)</f>
        <v>75</v>
      </c>
      <c r="P693">
        <f>VLOOKUP($D693,'[2]product Table data'!$A$2:$G$12,P$1,FALSE)</f>
        <v>125</v>
      </c>
      <c r="Q693">
        <f t="shared" si="50"/>
        <v>50</v>
      </c>
      <c r="R693" t="str">
        <f t="shared" si="51"/>
        <v>-</v>
      </c>
      <c r="S693" t="str">
        <f t="shared" si="52"/>
        <v>Style Risk</v>
      </c>
      <c r="T693" t="str">
        <f t="shared" si="53"/>
        <v>-</v>
      </c>
      <c r="U693" t="str">
        <f t="shared" si="54"/>
        <v>High Value</v>
      </c>
    </row>
    <row r="694" spans="1:21" x14ac:dyDescent="0.2">
      <c r="A694" s="2">
        <v>438</v>
      </c>
      <c r="B694" s="2" t="s">
        <v>9</v>
      </c>
      <c r="C694" s="2" t="s">
        <v>1032</v>
      </c>
      <c r="D694" s="2" t="s">
        <v>604</v>
      </c>
      <c r="E694" s="2">
        <v>33101</v>
      </c>
      <c r="F694" s="2" t="s">
        <v>1033</v>
      </c>
      <c r="G694" s="2" t="s">
        <v>13</v>
      </c>
      <c r="H694" s="2">
        <v>1</v>
      </c>
      <c r="I694" s="2" t="s">
        <v>14</v>
      </c>
      <c r="J694" s="2" t="str">
        <f>VLOOKUP(E694,[1]LL_Hub!$A$1:$B$13,2,FALSE)</f>
        <v>Miami</v>
      </c>
      <c r="K694" t="str">
        <f>VLOOKUP(D694,'[2]product Table data'!$A$2:$B$12,2,FALSE)</f>
        <v>Female</v>
      </c>
      <c r="L694" t="str">
        <f>VLOOKUP($D694,'[2]product Table data'!$A$2:$G$12,L$1,FALSE)</f>
        <v>Fancy Sheek</v>
      </c>
      <c r="M694" t="str">
        <f>VLOOKUP($D694,'[2]product Table data'!$A$2:$G$12,M$1,FALSE)</f>
        <v>Iran</v>
      </c>
      <c r="N694" t="str">
        <f>VLOOKUP($D694,'[2]product Table data'!$A$2:$G$12,N$1,FALSE)</f>
        <v>Middle East</v>
      </c>
      <c r="O694">
        <f>VLOOKUP($D694,'[2]product Table data'!$A$2:$G$12,O$1,FALSE)</f>
        <v>75</v>
      </c>
      <c r="P694">
        <f>VLOOKUP($D694,'[2]product Table data'!$A$2:$G$12,P$1,FALSE)</f>
        <v>125</v>
      </c>
      <c r="Q694">
        <f t="shared" si="50"/>
        <v>50</v>
      </c>
      <c r="R694" t="str">
        <f t="shared" si="51"/>
        <v>-</v>
      </c>
      <c r="S694" t="str">
        <f t="shared" si="52"/>
        <v>Style Risk</v>
      </c>
      <c r="T694" t="str">
        <f t="shared" si="53"/>
        <v>-</v>
      </c>
      <c r="U694" t="str">
        <f t="shared" si="54"/>
        <v>High Value</v>
      </c>
    </row>
    <row r="695" spans="1:21" x14ac:dyDescent="0.2">
      <c r="A695" s="2">
        <v>439</v>
      </c>
      <c r="B695" s="2" t="s">
        <v>9</v>
      </c>
      <c r="C695" s="2" t="s">
        <v>1034</v>
      </c>
      <c r="D695" s="2" t="s">
        <v>604</v>
      </c>
      <c r="E695" s="2">
        <v>33101</v>
      </c>
      <c r="F695" s="2" t="s">
        <v>1035</v>
      </c>
      <c r="G695" s="2" t="s">
        <v>13</v>
      </c>
      <c r="H695" s="2">
        <v>1</v>
      </c>
      <c r="I695" s="2" t="s">
        <v>14</v>
      </c>
      <c r="J695" s="2" t="str">
        <f>VLOOKUP(E695,[1]LL_Hub!$A$1:$B$13,2,FALSE)</f>
        <v>Miami</v>
      </c>
      <c r="K695" t="str">
        <f>VLOOKUP(D695,'[2]product Table data'!$A$2:$B$12,2,FALSE)</f>
        <v>Female</v>
      </c>
      <c r="L695" t="str">
        <f>VLOOKUP($D695,'[2]product Table data'!$A$2:$G$12,L$1,FALSE)</f>
        <v>Fancy Sheek</v>
      </c>
      <c r="M695" t="str">
        <f>VLOOKUP($D695,'[2]product Table data'!$A$2:$G$12,M$1,FALSE)</f>
        <v>Iran</v>
      </c>
      <c r="N695" t="str">
        <f>VLOOKUP($D695,'[2]product Table data'!$A$2:$G$12,N$1,FALSE)</f>
        <v>Middle East</v>
      </c>
      <c r="O695">
        <f>VLOOKUP($D695,'[2]product Table data'!$A$2:$G$12,O$1,FALSE)</f>
        <v>75</v>
      </c>
      <c r="P695">
        <f>VLOOKUP($D695,'[2]product Table data'!$A$2:$G$12,P$1,FALSE)</f>
        <v>125</v>
      </c>
      <c r="Q695">
        <f t="shared" si="50"/>
        <v>50</v>
      </c>
      <c r="R695" t="str">
        <f t="shared" si="51"/>
        <v>-</v>
      </c>
      <c r="S695" t="str">
        <f t="shared" si="52"/>
        <v>Style Risk</v>
      </c>
      <c r="T695" t="str">
        <f t="shared" si="53"/>
        <v>-</v>
      </c>
      <c r="U695" t="str">
        <f t="shared" si="54"/>
        <v>High Value</v>
      </c>
    </row>
    <row r="696" spans="1:21" x14ac:dyDescent="0.2">
      <c r="A696" s="2">
        <v>440</v>
      </c>
      <c r="B696" s="2" t="s">
        <v>9</v>
      </c>
      <c r="C696" s="2" t="s">
        <v>1036</v>
      </c>
      <c r="D696" s="2" t="s">
        <v>604</v>
      </c>
      <c r="E696" s="2">
        <v>33101</v>
      </c>
      <c r="F696" s="2" t="s">
        <v>1037</v>
      </c>
      <c r="G696" s="2" t="s">
        <v>13</v>
      </c>
      <c r="H696" s="2">
        <v>1</v>
      </c>
      <c r="I696" s="2" t="s">
        <v>14</v>
      </c>
      <c r="J696" s="2" t="str">
        <f>VLOOKUP(E696,[1]LL_Hub!$A$1:$B$13,2,FALSE)</f>
        <v>Miami</v>
      </c>
      <c r="K696" t="str">
        <f>VLOOKUP(D696,'[2]product Table data'!$A$2:$B$12,2,FALSE)</f>
        <v>Female</v>
      </c>
      <c r="L696" t="str">
        <f>VLOOKUP($D696,'[2]product Table data'!$A$2:$G$12,L$1,FALSE)</f>
        <v>Fancy Sheek</v>
      </c>
      <c r="M696" t="str">
        <f>VLOOKUP($D696,'[2]product Table data'!$A$2:$G$12,M$1,FALSE)</f>
        <v>Iran</v>
      </c>
      <c r="N696" t="str">
        <f>VLOOKUP($D696,'[2]product Table data'!$A$2:$G$12,N$1,FALSE)</f>
        <v>Middle East</v>
      </c>
      <c r="O696">
        <f>VLOOKUP($D696,'[2]product Table data'!$A$2:$G$12,O$1,FALSE)</f>
        <v>75</v>
      </c>
      <c r="P696">
        <f>VLOOKUP($D696,'[2]product Table data'!$A$2:$G$12,P$1,FALSE)</f>
        <v>125</v>
      </c>
      <c r="Q696">
        <f t="shared" si="50"/>
        <v>50</v>
      </c>
      <c r="R696" t="str">
        <f t="shared" si="51"/>
        <v>-</v>
      </c>
      <c r="S696" t="str">
        <f t="shared" si="52"/>
        <v>Style Risk</v>
      </c>
      <c r="T696" t="str">
        <f t="shared" si="53"/>
        <v>-</v>
      </c>
      <c r="U696" t="str">
        <f t="shared" si="54"/>
        <v>High Value</v>
      </c>
    </row>
    <row r="697" spans="1:21" x14ac:dyDescent="0.2">
      <c r="A697" s="2">
        <v>441</v>
      </c>
      <c r="B697" s="2" t="s">
        <v>9</v>
      </c>
      <c r="C697" s="2" t="s">
        <v>1038</v>
      </c>
      <c r="D697" s="2" t="s">
        <v>604</v>
      </c>
      <c r="E697" s="2">
        <v>33101</v>
      </c>
      <c r="F697" s="2" t="s">
        <v>1039</v>
      </c>
      <c r="G697" s="2" t="s">
        <v>13</v>
      </c>
      <c r="H697" s="2">
        <v>1</v>
      </c>
      <c r="I697" s="2" t="s">
        <v>14</v>
      </c>
      <c r="J697" s="2" t="str">
        <f>VLOOKUP(E697,[1]LL_Hub!$A$1:$B$13,2,FALSE)</f>
        <v>Miami</v>
      </c>
      <c r="K697" t="str">
        <f>VLOOKUP(D697,'[2]product Table data'!$A$2:$B$12,2,FALSE)</f>
        <v>Female</v>
      </c>
      <c r="L697" t="str">
        <f>VLOOKUP($D697,'[2]product Table data'!$A$2:$G$12,L$1,FALSE)</f>
        <v>Fancy Sheek</v>
      </c>
      <c r="M697" t="str">
        <f>VLOOKUP($D697,'[2]product Table data'!$A$2:$G$12,M$1,FALSE)</f>
        <v>Iran</v>
      </c>
      <c r="N697" t="str">
        <f>VLOOKUP($D697,'[2]product Table data'!$A$2:$G$12,N$1,FALSE)</f>
        <v>Middle East</v>
      </c>
      <c r="O697">
        <f>VLOOKUP($D697,'[2]product Table data'!$A$2:$G$12,O$1,FALSE)</f>
        <v>75</v>
      </c>
      <c r="P697">
        <f>VLOOKUP($D697,'[2]product Table data'!$A$2:$G$12,P$1,FALSE)</f>
        <v>125</v>
      </c>
      <c r="Q697">
        <f t="shared" si="50"/>
        <v>50</v>
      </c>
      <c r="R697" t="str">
        <f t="shared" si="51"/>
        <v>-</v>
      </c>
      <c r="S697" t="str">
        <f t="shared" si="52"/>
        <v>Style Risk</v>
      </c>
      <c r="T697" t="str">
        <f t="shared" si="53"/>
        <v>-</v>
      </c>
      <c r="U697" t="str">
        <f t="shared" si="54"/>
        <v>High Value</v>
      </c>
    </row>
    <row r="698" spans="1:21" x14ac:dyDescent="0.2">
      <c r="A698" s="2">
        <v>442</v>
      </c>
      <c r="B698" s="2" t="s">
        <v>9</v>
      </c>
      <c r="C698" s="2" t="s">
        <v>1040</v>
      </c>
      <c r="D698" s="2" t="s">
        <v>604</v>
      </c>
      <c r="E698" s="2">
        <v>33101</v>
      </c>
      <c r="F698" s="2" t="s">
        <v>1041</v>
      </c>
      <c r="G698" s="2" t="s">
        <v>13</v>
      </c>
      <c r="H698" s="2">
        <v>1</v>
      </c>
      <c r="I698" s="2" t="s">
        <v>14</v>
      </c>
      <c r="J698" s="2" t="str">
        <f>VLOOKUP(E698,[1]LL_Hub!$A$1:$B$13,2,FALSE)</f>
        <v>Miami</v>
      </c>
      <c r="K698" t="str">
        <f>VLOOKUP(D698,'[2]product Table data'!$A$2:$B$12,2,FALSE)</f>
        <v>Female</v>
      </c>
      <c r="L698" t="str">
        <f>VLOOKUP($D698,'[2]product Table data'!$A$2:$G$12,L$1,FALSE)</f>
        <v>Fancy Sheek</v>
      </c>
      <c r="M698" t="str">
        <f>VLOOKUP($D698,'[2]product Table data'!$A$2:$G$12,M$1,FALSE)</f>
        <v>Iran</v>
      </c>
      <c r="N698" t="str">
        <f>VLOOKUP($D698,'[2]product Table data'!$A$2:$G$12,N$1,FALSE)</f>
        <v>Middle East</v>
      </c>
      <c r="O698">
        <f>VLOOKUP($D698,'[2]product Table data'!$A$2:$G$12,O$1,FALSE)</f>
        <v>75</v>
      </c>
      <c r="P698">
        <f>VLOOKUP($D698,'[2]product Table data'!$A$2:$G$12,P$1,FALSE)</f>
        <v>125</v>
      </c>
      <c r="Q698">
        <f t="shared" si="50"/>
        <v>50</v>
      </c>
      <c r="R698" t="str">
        <f t="shared" si="51"/>
        <v>-</v>
      </c>
      <c r="S698" t="str">
        <f t="shared" si="52"/>
        <v>Style Risk</v>
      </c>
      <c r="T698" t="str">
        <f t="shared" si="53"/>
        <v>-</v>
      </c>
      <c r="U698" t="str">
        <f t="shared" si="54"/>
        <v>High Value</v>
      </c>
    </row>
    <row r="699" spans="1:21" x14ac:dyDescent="0.2">
      <c r="A699" s="2">
        <v>443</v>
      </c>
      <c r="B699" s="2" t="s">
        <v>9</v>
      </c>
      <c r="C699" s="2" t="s">
        <v>1042</v>
      </c>
      <c r="D699" s="2" t="s">
        <v>604</v>
      </c>
      <c r="E699" s="2">
        <v>33101</v>
      </c>
      <c r="F699" s="2" t="s">
        <v>1043</v>
      </c>
      <c r="G699" s="2" t="s">
        <v>13</v>
      </c>
      <c r="H699" s="2">
        <v>1</v>
      </c>
      <c r="I699" s="2" t="s">
        <v>14</v>
      </c>
      <c r="J699" s="2" t="str">
        <f>VLOOKUP(E699,[1]LL_Hub!$A$1:$B$13,2,FALSE)</f>
        <v>Miami</v>
      </c>
      <c r="K699" t="str">
        <f>VLOOKUP(D699,'[2]product Table data'!$A$2:$B$12,2,FALSE)</f>
        <v>Female</v>
      </c>
      <c r="L699" t="str">
        <f>VLOOKUP($D699,'[2]product Table data'!$A$2:$G$12,L$1,FALSE)</f>
        <v>Fancy Sheek</v>
      </c>
      <c r="M699" t="str">
        <f>VLOOKUP($D699,'[2]product Table data'!$A$2:$G$12,M$1,FALSE)</f>
        <v>Iran</v>
      </c>
      <c r="N699" t="str">
        <f>VLOOKUP($D699,'[2]product Table data'!$A$2:$G$12,N$1,FALSE)</f>
        <v>Middle East</v>
      </c>
      <c r="O699">
        <f>VLOOKUP($D699,'[2]product Table data'!$A$2:$G$12,O$1,FALSE)</f>
        <v>75</v>
      </c>
      <c r="P699">
        <f>VLOOKUP($D699,'[2]product Table data'!$A$2:$G$12,P$1,FALSE)</f>
        <v>125</v>
      </c>
      <c r="Q699">
        <f t="shared" si="50"/>
        <v>50</v>
      </c>
      <c r="R699" t="str">
        <f t="shared" si="51"/>
        <v>-</v>
      </c>
      <c r="S699" t="str">
        <f t="shared" si="52"/>
        <v>Style Risk</v>
      </c>
      <c r="T699" t="str">
        <f t="shared" si="53"/>
        <v>-</v>
      </c>
      <c r="U699" t="str">
        <f t="shared" si="54"/>
        <v>High Value</v>
      </c>
    </row>
    <row r="700" spans="1:21" x14ac:dyDescent="0.2">
      <c r="A700" s="2">
        <v>445</v>
      </c>
      <c r="B700" s="2" t="s">
        <v>9</v>
      </c>
      <c r="C700" s="2" t="s">
        <v>1046</v>
      </c>
      <c r="D700" s="2" t="s">
        <v>604</v>
      </c>
      <c r="E700" s="2">
        <v>33101</v>
      </c>
      <c r="F700" s="2" t="s">
        <v>1047</v>
      </c>
      <c r="G700" s="2" t="s">
        <v>13</v>
      </c>
      <c r="H700" s="2">
        <v>1</v>
      </c>
      <c r="I700" s="2" t="s">
        <v>14</v>
      </c>
      <c r="J700" s="2" t="str">
        <f>VLOOKUP(E700,[1]LL_Hub!$A$1:$B$13,2,FALSE)</f>
        <v>Miami</v>
      </c>
      <c r="K700" t="str">
        <f>VLOOKUP(D700,'[2]product Table data'!$A$2:$B$12,2,FALSE)</f>
        <v>Female</v>
      </c>
      <c r="L700" t="str">
        <f>VLOOKUP($D700,'[2]product Table data'!$A$2:$G$12,L$1,FALSE)</f>
        <v>Fancy Sheek</v>
      </c>
      <c r="M700" t="str">
        <f>VLOOKUP($D700,'[2]product Table data'!$A$2:$G$12,M$1,FALSE)</f>
        <v>Iran</v>
      </c>
      <c r="N700" t="str">
        <f>VLOOKUP($D700,'[2]product Table data'!$A$2:$G$12,N$1,FALSE)</f>
        <v>Middle East</v>
      </c>
      <c r="O700">
        <f>VLOOKUP($D700,'[2]product Table data'!$A$2:$G$12,O$1,FALSE)</f>
        <v>75</v>
      </c>
      <c r="P700">
        <f>VLOOKUP($D700,'[2]product Table data'!$A$2:$G$12,P$1,FALSE)</f>
        <v>125</v>
      </c>
      <c r="Q700">
        <f t="shared" si="50"/>
        <v>50</v>
      </c>
      <c r="R700" t="str">
        <f t="shared" si="51"/>
        <v>-</v>
      </c>
      <c r="S700" t="str">
        <f t="shared" si="52"/>
        <v>Style Risk</v>
      </c>
      <c r="T700" t="str">
        <f t="shared" si="53"/>
        <v>-</v>
      </c>
      <c r="U700" t="str">
        <f t="shared" si="54"/>
        <v>High Value</v>
      </c>
    </row>
    <row r="701" spans="1:21" x14ac:dyDescent="0.2">
      <c r="A701" s="2">
        <v>446</v>
      </c>
      <c r="B701" s="2" t="s">
        <v>9</v>
      </c>
      <c r="C701" s="2" t="s">
        <v>1048</v>
      </c>
      <c r="D701" s="2" t="s">
        <v>604</v>
      </c>
      <c r="E701" s="2">
        <v>33101</v>
      </c>
      <c r="F701" s="2" t="s">
        <v>98</v>
      </c>
      <c r="G701" s="2" t="s">
        <v>36</v>
      </c>
      <c r="H701" s="2">
        <v>1</v>
      </c>
      <c r="I701" s="2" t="s">
        <v>14</v>
      </c>
      <c r="J701" s="2" t="str">
        <f>VLOOKUP(E701,[1]LL_Hub!$A$1:$B$13,2,FALSE)</f>
        <v>Miami</v>
      </c>
      <c r="K701" t="str">
        <f>VLOOKUP(D701,'[2]product Table data'!$A$2:$B$12,2,FALSE)</f>
        <v>Female</v>
      </c>
      <c r="L701" t="str">
        <f>VLOOKUP($D701,'[2]product Table data'!$A$2:$G$12,L$1,FALSE)</f>
        <v>Fancy Sheek</v>
      </c>
      <c r="M701" t="str">
        <f>VLOOKUP($D701,'[2]product Table data'!$A$2:$G$12,M$1,FALSE)</f>
        <v>Iran</v>
      </c>
      <c r="N701" t="str">
        <f>VLOOKUP($D701,'[2]product Table data'!$A$2:$G$12,N$1,FALSE)</f>
        <v>Middle East</v>
      </c>
      <c r="O701">
        <f>VLOOKUP($D701,'[2]product Table data'!$A$2:$G$12,O$1,FALSE)</f>
        <v>75</v>
      </c>
      <c r="P701">
        <f>VLOOKUP($D701,'[2]product Table data'!$A$2:$G$12,P$1,FALSE)</f>
        <v>125</v>
      </c>
      <c r="Q701">
        <f t="shared" si="50"/>
        <v>50</v>
      </c>
      <c r="R701" t="str">
        <f t="shared" si="51"/>
        <v>-</v>
      </c>
      <c r="S701" t="str">
        <f t="shared" si="52"/>
        <v>Style Risk</v>
      </c>
      <c r="T701" t="str">
        <f t="shared" si="53"/>
        <v>-</v>
      </c>
      <c r="U701" t="str">
        <f t="shared" si="54"/>
        <v>High Value</v>
      </c>
    </row>
    <row r="702" spans="1:21" hidden="1" x14ac:dyDescent="0.2">
      <c r="A702" s="2">
        <v>452</v>
      </c>
      <c r="B702" s="2" t="s">
        <v>9</v>
      </c>
      <c r="C702" s="2" t="s">
        <v>1054</v>
      </c>
      <c r="D702" s="2" t="s">
        <v>604</v>
      </c>
      <c r="E702" s="2">
        <v>33101</v>
      </c>
      <c r="F702" s="2" t="s">
        <v>1055</v>
      </c>
      <c r="G702" s="2" t="s">
        <v>13</v>
      </c>
      <c r="H702" s="2">
        <v>1</v>
      </c>
      <c r="I702" s="2" t="s">
        <v>17</v>
      </c>
      <c r="J702" s="2" t="str">
        <f>VLOOKUP(E702,[1]LL_Hub!$A$1:$B$13,2,FALSE)</f>
        <v>Miami</v>
      </c>
      <c r="K702" t="str">
        <f>VLOOKUP(D702,'[2]product Table data'!$A$2:$B$12,2,FALSE)</f>
        <v>Female</v>
      </c>
      <c r="L702" t="str">
        <f>VLOOKUP($D702,'[2]product Table data'!$A$2:$G$12,L$1,FALSE)</f>
        <v>Fancy Sheek</v>
      </c>
      <c r="M702" t="str">
        <f>VLOOKUP($D702,'[2]product Table data'!$A$2:$G$12,M$1,FALSE)</f>
        <v>Iran</v>
      </c>
      <c r="N702" t="str">
        <f>VLOOKUP($D702,'[2]product Table data'!$A$2:$G$12,N$1,FALSE)</f>
        <v>Middle East</v>
      </c>
      <c r="O702">
        <f>VLOOKUP($D702,'[2]product Table data'!$A$2:$G$12,O$1,FALSE)</f>
        <v>75</v>
      </c>
      <c r="P702">
        <f>VLOOKUP($D702,'[2]product Table data'!$A$2:$G$12,P$1,FALSE)</f>
        <v>125</v>
      </c>
      <c r="Q702">
        <f t="shared" si="50"/>
        <v>50</v>
      </c>
      <c r="R702" t="str">
        <f t="shared" si="51"/>
        <v>-</v>
      </c>
      <c r="S702" t="str">
        <f t="shared" si="52"/>
        <v>Style Risk</v>
      </c>
      <c r="T702" t="str">
        <f t="shared" si="53"/>
        <v>-</v>
      </c>
      <c r="U702" t="str">
        <f t="shared" si="54"/>
        <v>High Value</v>
      </c>
    </row>
    <row r="703" spans="1:21" hidden="1" x14ac:dyDescent="0.2">
      <c r="A703" s="2">
        <v>453</v>
      </c>
      <c r="B703" s="2" t="s">
        <v>9</v>
      </c>
      <c r="C703" s="2" t="s">
        <v>1056</v>
      </c>
      <c r="D703" s="2" t="s">
        <v>604</v>
      </c>
      <c r="E703" s="2">
        <v>33101</v>
      </c>
      <c r="F703" s="2" t="s">
        <v>1057</v>
      </c>
      <c r="G703" s="2" t="s">
        <v>13</v>
      </c>
      <c r="H703" s="2">
        <v>1</v>
      </c>
      <c r="I703" s="2" t="s">
        <v>17</v>
      </c>
      <c r="J703" s="2" t="str">
        <f>VLOOKUP(E703,[1]LL_Hub!$A$1:$B$13,2,FALSE)</f>
        <v>Miami</v>
      </c>
      <c r="K703" t="str">
        <f>VLOOKUP(D703,'[2]product Table data'!$A$2:$B$12,2,FALSE)</f>
        <v>Female</v>
      </c>
      <c r="L703" t="str">
        <f>VLOOKUP($D703,'[2]product Table data'!$A$2:$G$12,L$1,FALSE)</f>
        <v>Fancy Sheek</v>
      </c>
      <c r="M703" t="str">
        <f>VLOOKUP($D703,'[2]product Table data'!$A$2:$G$12,M$1,FALSE)</f>
        <v>Iran</v>
      </c>
      <c r="N703" t="str">
        <f>VLOOKUP($D703,'[2]product Table data'!$A$2:$G$12,N$1,FALSE)</f>
        <v>Middle East</v>
      </c>
      <c r="O703">
        <f>VLOOKUP($D703,'[2]product Table data'!$A$2:$G$12,O$1,FALSE)</f>
        <v>75</v>
      </c>
      <c r="P703">
        <f>VLOOKUP($D703,'[2]product Table data'!$A$2:$G$12,P$1,FALSE)</f>
        <v>125</v>
      </c>
      <c r="Q703">
        <f t="shared" si="50"/>
        <v>50</v>
      </c>
      <c r="R703" t="str">
        <f t="shared" si="51"/>
        <v>-</v>
      </c>
      <c r="S703" t="str">
        <f t="shared" si="52"/>
        <v>Style Risk</v>
      </c>
      <c r="T703" t="str">
        <f t="shared" si="53"/>
        <v>-</v>
      </c>
      <c r="U703" t="str">
        <f t="shared" si="54"/>
        <v>High Value</v>
      </c>
    </row>
    <row r="704" spans="1:21" hidden="1" x14ac:dyDescent="0.2">
      <c r="A704" s="2">
        <v>454</v>
      </c>
      <c r="B704" s="2" t="s">
        <v>9</v>
      </c>
      <c r="C704" s="2" t="s">
        <v>1058</v>
      </c>
      <c r="D704" s="2" t="s">
        <v>604</v>
      </c>
      <c r="E704" s="2">
        <v>33101</v>
      </c>
      <c r="F704" s="2" t="s">
        <v>1059</v>
      </c>
      <c r="G704" s="2" t="s">
        <v>13</v>
      </c>
      <c r="H704" s="2">
        <v>1</v>
      </c>
      <c r="I704" s="2" t="s">
        <v>17</v>
      </c>
      <c r="J704" s="2" t="str">
        <f>VLOOKUP(E704,[1]LL_Hub!$A$1:$B$13,2,FALSE)</f>
        <v>Miami</v>
      </c>
      <c r="K704" t="str">
        <f>VLOOKUP(D704,'[2]product Table data'!$A$2:$B$12,2,FALSE)</f>
        <v>Female</v>
      </c>
      <c r="L704" t="str">
        <f>VLOOKUP($D704,'[2]product Table data'!$A$2:$G$12,L$1,FALSE)</f>
        <v>Fancy Sheek</v>
      </c>
      <c r="M704" t="str">
        <f>VLOOKUP($D704,'[2]product Table data'!$A$2:$G$12,M$1,FALSE)</f>
        <v>Iran</v>
      </c>
      <c r="N704" t="str">
        <f>VLOOKUP($D704,'[2]product Table data'!$A$2:$G$12,N$1,FALSE)</f>
        <v>Middle East</v>
      </c>
      <c r="O704">
        <f>VLOOKUP($D704,'[2]product Table data'!$A$2:$G$12,O$1,FALSE)</f>
        <v>75</v>
      </c>
      <c r="P704">
        <f>VLOOKUP($D704,'[2]product Table data'!$A$2:$G$12,P$1,FALSE)</f>
        <v>125</v>
      </c>
      <c r="Q704">
        <f t="shared" si="50"/>
        <v>50</v>
      </c>
      <c r="R704" t="str">
        <f t="shared" si="51"/>
        <v>-</v>
      </c>
      <c r="S704" t="str">
        <f t="shared" si="52"/>
        <v>Style Risk</v>
      </c>
      <c r="T704" t="str">
        <f t="shared" si="53"/>
        <v>-</v>
      </c>
      <c r="U704" t="str">
        <f t="shared" si="54"/>
        <v>High Value</v>
      </c>
    </row>
    <row r="705" spans="1:21" hidden="1" x14ac:dyDescent="0.2">
      <c r="A705" s="2">
        <v>455</v>
      </c>
      <c r="B705" s="2" t="s">
        <v>9</v>
      </c>
      <c r="C705" s="2" t="s">
        <v>1060</v>
      </c>
      <c r="D705" s="2" t="s">
        <v>604</v>
      </c>
      <c r="E705" s="2">
        <v>33101</v>
      </c>
      <c r="F705" s="2" t="s">
        <v>1061</v>
      </c>
      <c r="G705" s="2" t="s">
        <v>13</v>
      </c>
      <c r="H705" s="2">
        <v>1</v>
      </c>
      <c r="I705" s="2" t="s">
        <v>17</v>
      </c>
      <c r="J705" s="2" t="str">
        <f>VLOOKUP(E705,[1]LL_Hub!$A$1:$B$13,2,FALSE)</f>
        <v>Miami</v>
      </c>
      <c r="K705" t="str">
        <f>VLOOKUP(D705,'[2]product Table data'!$A$2:$B$12,2,FALSE)</f>
        <v>Female</v>
      </c>
      <c r="L705" t="str">
        <f>VLOOKUP($D705,'[2]product Table data'!$A$2:$G$12,L$1,FALSE)</f>
        <v>Fancy Sheek</v>
      </c>
      <c r="M705" t="str">
        <f>VLOOKUP($D705,'[2]product Table data'!$A$2:$G$12,M$1,FALSE)</f>
        <v>Iran</v>
      </c>
      <c r="N705" t="str">
        <f>VLOOKUP($D705,'[2]product Table data'!$A$2:$G$12,N$1,FALSE)</f>
        <v>Middle East</v>
      </c>
      <c r="O705">
        <f>VLOOKUP($D705,'[2]product Table data'!$A$2:$G$12,O$1,FALSE)</f>
        <v>75</v>
      </c>
      <c r="P705">
        <f>VLOOKUP($D705,'[2]product Table data'!$A$2:$G$12,P$1,FALSE)</f>
        <v>125</v>
      </c>
      <c r="Q705">
        <f t="shared" si="50"/>
        <v>50</v>
      </c>
      <c r="R705" t="str">
        <f t="shared" si="51"/>
        <v>-</v>
      </c>
      <c r="S705" t="str">
        <f t="shared" si="52"/>
        <v>Style Risk</v>
      </c>
      <c r="T705" t="str">
        <f t="shared" si="53"/>
        <v>-</v>
      </c>
      <c r="U705" t="str">
        <f t="shared" si="54"/>
        <v>High Value</v>
      </c>
    </row>
    <row r="706" spans="1:21" hidden="1" x14ac:dyDescent="0.2">
      <c r="A706" s="2">
        <v>456</v>
      </c>
      <c r="B706" s="2" t="s">
        <v>9</v>
      </c>
      <c r="C706" s="2" t="s">
        <v>1062</v>
      </c>
      <c r="D706" s="2" t="s">
        <v>604</v>
      </c>
      <c r="E706" s="2">
        <v>33125</v>
      </c>
      <c r="F706" s="2" t="s">
        <v>1063</v>
      </c>
      <c r="G706" s="2" t="s">
        <v>13</v>
      </c>
      <c r="H706" s="2">
        <v>1</v>
      </c>
      <c r="I706" s="2" t="s">
        <v>17</v>
      </c>
      <c r="J706" s="2" t="str">
        <f>VLOOKUP(E706,[1]LL_Hub!$A$1:$B$13,2,FALSE)</f>
        <v>Miami</v>
      </c>
      <c r="K706" t="str">
        <f>VLOOKUP(D706,'[2]product Table data'!$A$2:$B$12,2,FALSE)</f>
        <v>Female</v>
      </c>
      <c r="L706" t="str">
        <f>VLOOKUP($D706,'[2]product Table data'!$A$2:$G$12,L$1,FALSE)</f>
        <v>Fancy Sheek</v>
      </c>
      <c r="M706" t="str">
        <f>VLOOKUP($D706,'[2]product Table data'!$A$2:$G$12,M$1,FALSE)</f>
        <v>Iran</v>
      </c>
      <c r="N706" t="str">
        <f>VLOOKUP($D706,'[2]product Table data'!$A$2:$G$12,N$1,FALSE)</f>
        <v>Middle East</v>
      </c>
      <c r="O706">
        <f>VLOOKUP($D706,'[2]product Table data'!$A$2:$G$12,O$1,FALSE)</f>
        <v>75</v>
      </c>
      <c r="P706">
        <f>VLOOKUP($D706,'[2]product Table data'!$A$2:$G$12,P$1,FALSE)</f>
        <v>125</v>
      </c>
      <c r="Q706">
        <f t="shared" si="50"/>
        <v>50</v>
      </c>
      <c r="R706" t="str">
        <f t="shared" si="51"/>
        <v>-</v>
      </c>
      <c r="S706" t="str">
        <f t="shared" si="52"/>
        <v>Style Risk</v>
      </c>
      <c r="T706" t="str">
        <f t="shared" si="53"/>
        <v>-</v>
      </c>
      <c r="U706" t="str">
        <f t="shared" si="54"/>
        <v>High Value</v>
      </c>
    </row>
    <row r="707" spans="1:21" hidden="1" x14ac:dyDescent="0.2">
      <c r="A707" s="2">
        <v>457</v>
      </c>
      <c r="B707" s="2" t="s">
        <v>9</v>
      </c>
      <c r="C707" s="2" t="s">
        <v>1064</v>
      </c>
      <c r="D707" s="2" t="s">
        <v>604</v>
      </c>
      <c r="E707" s="2">
        <v>33125</v>
      </c>
      <c r="F707" s="2" t="s">
        <v>1065</v>
      </c>
      <c r="G707" s="2" t="s">
        <v>13</v>
      </c>
      <c r="H707" s="2">
        <v>1</v>
      </c>
      <c r="I707" s="2" t="s">
        <v>17</v>
      </c>
      <c r="J707" s="2" t="str">
        <f>VLOOKUP(E707,[1]LL_Hub!$A$1:$B$13,2,FALSE)</f>
        <v>Miami</v>
      </c>
      <c r="K707" t="str">
        <f>VLOOKUP(D707,'[2]product Table data'!$A$2:$B$12,2,FALSE)</f>
        <v>Female</v>
      </c>
      <c r="L707" t="str">
        <f>VLOOKUP($D707,'[2]product Table data'!$A$2:$G$12,L$1,FALSE)</f>
        <v>Fancy Sheek</v>
      </c>
      <c r="M707" t="str">
        <f>VLOOKUP($D707,'[2]product Table data'!$A$2:$G$12,M$1,FALSE)</f>
        <v>Iran</v>
      </c>
      <c r="N707" t="str">
        <f>VLOOKUP($D707,'[2]product Table data'!$A$2:$G$12,N$1,FALSE)</f>
        <v>Middle East</v>
      </c>
      <c r="O707">
        <f>VLOOKUP($D707,'[2]product Table data'!$A$2:$G$12,O$1,FALSE)</f>
        <v>75</v>
      </c>
      <c r="P707">
        <f>VLOOKUP($D707,'[2]product Table data'!$A$2:$G$12,P$1,FALSE)</f>
        <v>125</v>
      </c>
      <c r="Q707">
        <f t="shared" ref="Q707:Q770" si="55">P707-O707</f>
        <v>50</v>
      </c>
      <c r="R707" t="str">
        <f t="shared" ref="R707:R770" si="56">IF(OR(J707="Los Angeles",J707="Denver"),"Hub Risk","-")</f>
        <v>-</v>
      </c>
      <c r="S707" t="str">
        <f t="shared" ref="S707:S770" si="57">IF(OR(L707="Casual n Light",L707="Fancy Sheek"),"Style Risk","-")</f>
        <v>Style Risk</v>
      </c>
      <c r="T707" t="str">
        <f t="shared" ref="T707:T770" si="58">IF(AND(R707="Hub Risk", S707="Style Risk"), "Risk", "-")</f>
        <v>-</v>
      </c>
      <c r="U707" t="str">
        <f t="shared" ref="U707:U770" si="59">IF(Q707&lt;=5, "Low Value", "High Value")</f>
        <v>High Value</v>
      </c>
    </row>
    <row r="708" spans="1:21" hidden="1" x14ac:dyDescent="0.2">
      <c r="A708" s="2">
        <v>460</v>
      </c>
      <c r="B708" s="2" t="s">
        <v>9</v>
      </c>
      <c r="C708" s="2" t="s">
        <v>1066</v>
      </c>
      <c r="D708" s="2" t="s">
        <v>604</v>
      </c>
      <c r="E708" s="2">
        <v>33125</v>
      </c>
      <c r="F708" s="2" t="s">
        <v>1067</v>
      </c>
      <c r="G708" s="2" t="s">
        <v>13</v>
      </c>
      <c r="H708" s="2">
        <v>1</v>
      </c>
      <c r="I708" s="2" t="s">
        <v>17</v>
      </c>
      <c r="J708" s="2" t="str">
        <f>VLOOKUP(E708,[1]LL_Hub!$A$1:$B$13,2,FALSE)</f>
        <v>Miami</v>
      </c>
      <c r="K708" t="str">
        <f>VLOOKUP(D708,'[2]product Table data'!$A$2:$B$12,2,FALSE)</f>
        <v>Female</v>
      </c>
      <c r="L708" t="str">
        <f>VLOOKUP($D708,'[2]product Table data'!$A$2:$G$12,L$1,FALSE)</f>
        <v>Fancy Sheek</v>
      </c>
      <c r="M708" t="str">
        <f>VLOOKUP($D708,'[2]product Table data'!$A$2:$G$12,M$1,FALSE)</f>
        <v>Iran</v>
      </c>
      <c r="N708" t="str">
        <f>VLOOKUP($D708,'[2]product Table data'!$A$2:$G$12,N$1,FALSE)</f>
        <v>Middle East</v>
      </c>
      <c r="O708">
        <f>VLOOKUP($D708,'[2]product Table data'!$A$2:$G$12,O$1,FALSE)</f>
        <v>75</v>
      </c>
      <c r="P708">
        <f>VLOOKUP($D708,'[2]product Table data'!$A$2:$G$12,P$1,FALSE)</f>
        <v>125</v>
      </c>
      <c r="Q708">
        <f t="shared" si="55"/>
        <v>50</v>
      </c>
      <c r="R708" t="str">
        <f t="shared" si="56"/>
        <v>-</v>
      </c>
      <c r="S708" t="str">
        <f t="shared" si="57"/>
        <v>Style Risk</v>
      </c>
      <c r="T708" t="str">
        <f t="shared" si="58"/>
        <v>-</v>
      </c>
      <c r="U708" t="str">
        <f t="shared" si="59"/>
        <v>High Value</v>
      </c>
    </row>
    <row r="709" spans="1:21" hidden="1" x14ac:dyDescent="0.2">
      <c r="A709" s="2">
        <v>461</v>
      </c>
      <c r="B709" s="2" t="s">
        <v>9</v>
      </c>
      <c r="C709" s="2" t="s">
        <v>1068</v>
      </c>
      <c r="D709" s="2" t="s">
        <v>604</v>
      </c>
      <c r="E709" s="2">
        <v>33125</v>
      </c>
      <c r="F709" s="2" t="s">
        <v>1069</v>
      </c>
      <c r="G709" s="2" t="s">
        <v>13</v>
      </c>
      <c r="H709" s="2">
        <v>1</v>
      </c>
      <c r="I709" s="2" t="s">
        <v>17</v>
      </c>
      <c r="J709" s="2" t="str">
        <f>VLOOKUP(E709,[1]LL_Hub!$A$1:$B$13,2,FALSE)</f>
        <v>Miami</v>
      </c>
      <c r="K709" t="str">
        <f>VLOOKUP(D709,'[2]product Table data'!$A$2:$B$12,2,FALSE)</f>
        <v>Female</v>
      </c>
      <c r="L709" t="str">
        <f>VLOOKUP($D709,'[2]product Table data'!$A$2:$G$12,L$1,FALSE)</f>
        <v>Fancy Sheek</v>
      </c>
      <c r="M709" t="str">
        <f>VLOOKUP($D709,'[2]product Table data'!$A$2:$G$12,M$1,FALSE)</f>
        <v>Iran</v>
      </c>
      <c r="N709" t="str">
        <f>VLOOKUP($D709,'[2]product Table data'!$A$2:$G$12,N$1,FALSE)</f>
        <v>Middle East</v>
      </c>
      <c r="O709">
        <f>VLOOKUP($D709,'[2]product Table data'!$A$2:$G$12,O$1,FALSE)</f>
        <v>75</v>
      </c>
      <c r="P709">
        <f>VLOOKUP($D709,'[2]product Table data'!$A$2:$G$12,P$1,FALSE)</f>
        <v>125</v>
      </c>
      <c r="Q709">
        <f t="shared" si="55"/>
        <v>50</v>
      </c>
      <c r="R709" t="str">
        <f t="shared" si="56"/>
        <v>-</v>
      </c>
      <c r="S709" t="str">
        <f t="shared" si="57"/>
        <v>Style Risk</v>
      </c>
      <c r="T709" t="str">
        <f t="shared" si="58"/>
        <v>-</v>
      </c>
      <c r="U709" t="str">
        <f t="shared" si="59"/>
        <v>High Value</v>
      </c>
    </row>
    <row r="710" spans="1:21" hidden="1" x14ac:dyDescent="0.2">
      <c r="A710" s="2">
        <v>462</v>
      </c>
      <c r="B710" s="2" t="s">
        <v>9</v>
      </c>
      <c r="C710" s="2" t="s">
        <v>1070</v>
      </c>
      <c r="D710" s="2" t="s">
        <v>604</v>
      </c>
      <c r="E710" s="2">
        <v>33125</v>
      </c>
      <c r="F710" s="2" t="s">
        <v>98</v>
      </c>
      <c r="G710" s="2" t="s">
        <v>36</v>
      </c>
      <c r="H710" s="2">
        <v>1</v>
      </c>
      <c r="I710" s="2" t="s">
        <v>17</v>
      </c>
      <c r="J710" s="2" t="str">
        <f>VLOOKUP(E710,[1]LL_Hub!$A$1:$B$13,2,FALSE)</f>
        <v>Miami</v>
      </c>
      <c r="K710" t="str">
        <f>VLOOKUP(D710,'[2]product Table data'!$A$2:$B$12,2,FALSE)</f>
        <v>Female</v>
      </c>
      <c r="L710" t="str">
        <f>VLOOKUP($D710,'[2]product Table data'!$A$2:$G$12,L$1,FALSE)</f>
        <v>Fancy Sheek</v>
      </c>
      <c r="M710" t="str">
        <f>VLOOKUP($D710,'[2]product Table data'!$A$2:$G$12,M$1,FALSE)</f>
        <v>Iran</v>
      </c>
      <c r="N710" t="str">
        <f>VLOOKUP($D710,'[2]product Table data'!$A$2:$G$12,N$1,FALSE)</f>
        <v>Middle East</v>
      </c>
      <c r="O710">
        <f>VLOOKUP($D710,'[2]product Table data'!$A$2:$G$12,O$1,FALSE)</f>
        <v>75</v>
      </c>
      <c r="P710">
        <f>VLOOKUP($D710,'[2]product Table data'!$A$2:$G$12,P$1,FALSE)</f>
        <v>125</v>
      </c>
      <c r="Q710">
        <f t="shared" si="55"/>
        <v>50</v>
      </c>
      <c r="R710" t="str">
        <f t="shared" si="56"/>
        <v>-</v>
      </c>
      <c r="S710" t="str">
        <f t="shared" si="57"/>
        <v>Style Risk</v>
      </c>
      <c r="T710" t="str">
        <f t="shared" si="58"/>
        <v>-</v>
      </c>
      <c r="U710" t="str">
        <f t="shared" si="59"/>
        <v>High Value</v>
      </c>
    </row>
    <row r="711" spans="1:21" hidden="1" x14ac:dyDescent="0.2">
      <c r="A711" s="2">
        <v>464</v>
      </c>
      <c r="B711" s="2" t="s">
        <v>9</v>
      </c>
      <c r="C711" s="2" t="s">
        <v>1071</v>
      </c>
      <c r="D711" s="2" t="s">
        <v>604</v>
      </c>
      <c r="E711" s="2">
        <v>33125</v>
      </c>
      <c r="F711" s="2" t="s">
        <v>98</v>
      </c>
      <c r="G711" s="2" t="s">
        <v>36</v>
      </c>
      <c r="H711" s="2">
        <v>1</v>
      </c>
      <c r="I711" s="2" t="s">
        <v>17</v>
      </c>
      <c r="J711" s="2" t="str">
        <f>VLOOKUP(E711,[1]LL_Hub!$A$1:$B$13,2,FALSE)</f>
        <v>Miami</v>
      </c>
      <c r="K711" t="str">
        <f>VLOOKUP(D711,'[2]product Table data'!$A$2:$B$12,2,FALSE)</f>
        <v>Female</v>
      </c>
      <c r="L711" t="str">
        <f>VLOOKUP($D711,'[2]product Table data'!$A$2:$G$12,L$1,FALSE)</f>
        <v>Fancy Sheek</v>
      </c>
      <c r="M711" t="str">
        <f>VLOOKUP($D711,'[2]product Table data'!$A$2:$G$12,M$1,FALSE)</f>
        <v>Iran</v>
      </c>
      <c r="N711" t="str">
        <f>VLOOKUP($D711,'[2]product Table data'!$A$2:$G$12,N$1,FALSE)</f>
        <v>Middle East</v>
      </c>
      <c r="O711">
        <f>VLOOKUP($D711,'[2]product Table data'!$A$2:$G$12,O$1,FALSE)</f>
        <v>75</v>
      </c>
      <c r="P711">
        <f>VLOOKUP($D711,'[2]product Table data'!$A$2:$G$12,P$1,FALSE)</f>
        <v>125</v>
      </c>
      <c r="Q711">
        <f t="shared" si="55"/>
        <v>50</v>
      </c>
      <c r="R711" t="str">
        <f t="shared" si="56"/>
        <v>-</v>
      </c>
      <c r="S711" t="str">
        <f t="shared" si="57"/>
        <v>Style Risk</v>
      </c>
      <c r="T711" t="str">
        <f t="shared" si="58"/>
        <v>-</v>
      </c>
      <c r="U711" t="str">
        <f t="shared" si="59"/>
        <v>High Value</v>
      </c>
    </row>
    <row r="712" spans="1:21" hidden="1" x14ac:dyDescent="0.2">
      <c r="A712" s="2">
        <v>466</v>
      </c>
      <c r="B712" s="2" t="s">
        <v>9</v>
      </c>
      <c r="C712" s="2" t="s">
        <v>1072</v>
      </c>
      <c r="D712" s="2" t="s">
        <v>604</v>
      </c>
      <c r="E712" s="2">
        <v>33125</v>
      </c>
      <c r="F712" s="2" t="s">
        <v>98</v>
      </c>
      <c r="G712" s="2" t="s">
        <v>36</v>
      </c>
      <c r="H712" s="2">
        <v>1</v>
      </c>
      <c r="I712" s="2" t="s">
        <v>17</v>
      </c>
      <c r="J712" s="2" t="str">
        <f>VLOOKUP(E712,[1]LL_Hub!$A$1:$B$13,2,FALSE)</f>
        <v>Miami</v>
      </c>
      <c r="K712" t="str">
        <f>VLOOKUP(D712,'[2]product Table data'!$A$2:$B$12,2,FALSE)</f>
        <v>Female</v>
      </c>
      <c r="L712" t="str">
        <f>VLOOKUP($D712,'[2]product Table data'!$A$2:$G$12,L$1,FALSE)</f>
        <v>Fancy Sheek</v>
      </c>
      <c r="M712" t="str">
        <f>VLOOKUP($D712,'[2]product Table data'!$A$2:$G$12,M$1,FALSE)</f>
        <v>Iran</v>
      </c>
      <c r="N712" t="str">
        <f>VLOOKUP($D712,'[2]product Table data'!$A$2:$G$12,N$1,FALSE)</f>
        <v>Middle East</v>
      </c>
      <c r="O712">
        <f>VLOOKUP($D712,'[2]product Table data'!$A$2:$G$12,O$1,FALSE)</f>
        <v>75</v>
      </c>
      <c r="P712">
        <f>VLOOKUP($D712,'[2]product Table data'!$A$2:$G$12,P$1,FALSE)</f>
        <v>125</v>
      </c>
      <c r="Q712">
        <f t="shared" si="55"/>
        <v>50</v>
      </c>
      <c r="R712" t="str">
        <f t="shared" si="56"/>
        <v>-</v>
      </c>
      <c r="S712" t="str">
        <f t="shared" si="57"/>
        <v>Style Risk</v>
      </c>
      <c r="T712" t="str">
        <f t="shared" si="58"/>
        <v>-</v>
      </c>
      <c r="U712" t="str">
        <f t="shared" si="59"/>
        <v>High Value</v>
      </c>
    </row>
    <row r="713" spans="1:21" hidden="1" x14ac:dyDescent="0.2">
      <c r="A713" s="2">
        <v>467</v>
      </c>
      <c r="B713" s="2" t="s">
        <v>9</v>
      </c>
      <c r="C713" s="2" t="s">
        <v>1073</v>
      </c>
      <c r="D713" s="2" t="s">
        <v>604</v>
      </c>
      <c r="E713" s="2">
        <v>33125</v>
      </c>
      <c r="F713" s="2" t="s">
        <v>98</v>
      </c>
      <c r="G713" s="2" t="s">
        <v>36</v>
      </c>
      <c r="H713" s="2">
        <v>1</v>
      </c>
      <c r="I713" s="2" t="s">
        <v>17</v>
      </c>
      <c r="J713" s="2" t="str">
        <f>VLOOKUP(E713,[1]LL_Hub!$A$1:$B$13,2,FALSE)</f>
        <v>Miami</v>
      </c>
      <c r="K713" t="str">
        <f>VLOOKUP(D713,'[2]product Table data'!$A$2:$B$12,2,FALSE)</f>
        <v>Female</v>
      </c>
      <c r="L713" t="str">
        <f>VLOOKUP($D713,'[2]product Table data'!$A$2:$G$12,L$1,FALSE)</f>
        <v>Fancy Sheek</v>
      </c>
      <c r="M713" t="str">
        <f>VLOOKUP($D713,'[2]product Table data'!$A$2:$G$12,M$1,FALSE)</f>
        <v>Iran</v>
      </c>
      <c r="N713" t="str">
        <f>VLOOKUP($D713,'[2]product Table data'!$A$2:$G$12,N$1,FALSE)</f>
        <v>Middle East</v>
      </c>
      <c r="O713">
        <f>VLOOKUP($D713,'[2]product Table data'!$A$2:$G$12,O$1,FALSE)</f>
        <v>75</v>
      </c>
      <c r="P713">
        <f>VLOOKUP($D713,'[2]product Table data'!$A$2:$G$12,P$1,FALSE)</f>
        <v>125</v>
      </c>
      <c r="Q713">
        <f t="shared" si="55"/>
        <v>50</v>
      </c>
      <c r="R713" t="str">
        <f t="shared" si="56"/>
        <v>-</v>
      </c>
      <c r="S713" t="str">
        <f t="shared" si="57"/>
        <v>Style Risk</v>
      </c>
      <c r="T713" t="str">
        <f t="shared" si="58"/>
        <v>-</v>
      </c>
      <c r="U713" t="str">
        <f t="shared" si="59"/>
        <v>High Value</v>
      </c>
    </row>
    <row r="714" spans="1:21" hidden="1" x14ac:dyDescent="0.2">
      <c r="A714" s="2">
        <v>468</v>
      </c>
      <c r="B714" s="2" t="s">
        <v>9</v>
      </c>
      <c r="C714" s="2" t="s">
        <v>1074</v>
      </c>
      <c r="D714" s="2" t="s">
        <v>604</v>
      </c>
      <c r="E714" s="2">
        <v>33125</v>
      </c>
      <c r="F714" s="2" t="s">
        <v>98</v>
      </c>
      <c r="G714" s="2" t="s">
        <v>36</v>
      </c>
      <c r="H714" s="2">
        <v>1</v>
      </c>
      <c r="I714" s="2" t="s">
        <v>17</v>
      </c>
      <c r="J714" s="2" t="str">
        <f>VLOOKUP(E714,[1]LL_Hub!$A$1:$B$13,2,FALSE)</f>
        <v>Miami</v>
      </c>
      <c r="K714" t="str">
        <f>VLOOKUP(D714,'[2]product Table data'!$A$2:$B$12,2,FALSE)</f>
        <v>Female</v>
      </c>
      <c r="L714" t="str">
        <f>VLOOKUP($D714,'[2]product Table data'!$A$2:$G$12,L$1,FALSE)</f>
        <v>Fancy Sheek</v>
      </c>
      <c r="M714" t="str">
        <f>VLOOKUP($D714,'[2]product Table data'!$A$2:$G$12,M$1,FALSE)</f>
        <v>Iran</v>
      </c>
      <c r="N714" t="str">
        <f>VLOOKUP($D714,'[2]product Table data'!$A$2:$G$12,N$1,FALSE)</f>
        <v>Middle East</v>
      </c>
      <c r="O714">
        <f>VLOOKUP($D714,'[2]product Table data'!$A$2:$G$12,O$1,FALSE)</f>
        <v>75</v>
      </c>
      <c r="P714">
        <f>VLOOKUP($D714,'[2]product Table data'!$A$2:$G$12,P$1,FALSE)</f>
        <v>125</v>
      </c>
      <c r="Q714">
        <f t="shared" si="55"/>
        <v>50</v>
      </c>
      <c r="R714" t="str">
        <f t="shared" si="56"/>
        <v>-</v>
      </c>
      <c r="S714" t="str">
        <f t="shared" si="57"/>
        <v>Style Risk</v>
      </c>
      <c r="T714" t="str">
        <f t="shared" si="58"/>
        <v>-</v>
      </c>
      <c r="U714" t="str">
        <f t="shared" si="59"/>
        <v>High Value</v>
      </c>
    </row>
    <row r="715" spans="1:21" hidden="1" x14ac:dyDescent="0.2">
      <c r="A715" s="2">
        <v>470</v>
      </c>
      <c r="B715" s="2" t="s">
        <v>9</v>
      </c>
      <c r="C715" s="2" t="s">
        <v>1075</v>
      </c>
      <c r="D715" s="2" t="s">
        <v>566</v>
      </c>
      <c r="E715" s="2">
        <v>33125</v>
      </c>
      <c r="F715" s="2" t="s">
        <v>96</v>
      </c>
      <c r="G715" s="2" t="s">
        <v>36</v>
      </c>
      <c r="H715" s="2">
        <v>1</v>
      </c>
      <c r="I715" s="2" t="s">
        <v>17</v>
      </c>
      <c r="J715" s="2" t="str">
        <f>VLOOKUP(E715,[1]LL_Hub!$A$1:$B$13,2,FALSE)</f>
        <v>Miami</v>
      </c>
      <c r="K715" t="str">
        <f>VLOOKUP(D715,'[2]product Table data'!$A$2:$B$12,2,FALSE)</f>
        <v>Female</v>
      </c>
      <c r="L715" t="str">
        <f>VLOOKUP($D715,'[2]product Table data'!$A$2:$G$12,L$1,FALSE)</f>
        <v>Casual n Light</v>
      </c>
      <c r="M715" t="str">
        <f>VLOOKUP($D715,'[2]product Table data'!$A$2:$G$12,M$1,FALSE)</f>
        <v>Guatemala</v>
      </c>
      <c r="N715" t="str">
        <f>VLOOKUP($D715,'[2]product Table data'!$A$2:$G$12,N$1,FALSE)</f>
        <v>Central America</v>
      </c>
      <c r="O715">
        <f>VLOOKUP($D715,'[2]product Table data'!$A$2:$G$12,O$1,FALSE)</f>
        <v>25</v>
      </c>
      <c r="P715">
        <f>VLOOKUP($D715,'[2]product Table data'!$A$2:$G$12,P$1,FALSE)</f>
        <v>30</v>
      </c>
      <c r="Q715">
        <f t="shared" si="55"/>
        <v>5</v>
      </c>
      <c r="R715" t="str">
        <f t="shared" si="56"/>
        <v>-</v>
      </c>
      <c r="S715" t="str">
        <f t="shared" si="57"/>
        <v>Style Risk</v>
      </c>
      <c r="T715" t="str">
        <f t="shared" si="58"/>
        <v>-</v>
      </c>
      <c r="U715" t="str">
        <f t="shared" si="59"/>
        <v>Low Value</v>
      </c>
    </row>
    <row r="716" spans="1:21" hidden="1" x14ac:dyDescent="0.2">
      <c r="A716" s="2">
        <v>472</v>
      </c>
      <c r="B716" s="2" t="s">
        <v>9</v>
      </c>
      <c r="C716" s="2" t="s">
        <v>1076</v>
      </c>
      <c r="D716" s="2" t="s">
        <v>604</v>
      </c>
      <c r="E716" s="2">
        <v>33125</v>
      </c>
      <c r="F716" s="2" t="s">
        <v>98</v>
      </c>
      <c r="G716" s="2" t="s">
        <v>36</v>
      </c>
      <c r="H716" s="2">
        <v>1</v>
      </c>
      <c r="I716" s="2" t="s">
        <v>17</v>
      </c>
      <c r="J716" s="2" t="str">
        <f>VLOOKUP(E716,[1]LL_Hub!$A$1:$B$13,2,FALSE)</f>
        <v>Miami</v>
      </c>
      <c r="K716" t="str">
        <f>VLOOKUP(D716,'[2]product Table data'!$A$2:$B$12,2,FALSE)</f>
        <v>Female</v>
      </c>
      <c r="L716" t="str">
        <f>VLOOKUP($D716,'[2]product Table data'!$A$2:$G$12,L$1,FALSE)</f>
        <v>Fancy Sheek</v>
      </c>
      <c r="M716" t="str">
        <f>VLOOKUP($D716,'[2]product Table data'!$A$2:$G$12,M$1,FALSE)</f>
        <v>Iran</v>
      </c>
      <c r="N716" t="str">
        <f>VLOOKUP($D716,'[2]product Table data'!$A$2:$G$12,N$1,FALSE)</f>
        <v>Middle East</v>
      </c>
      <c r="O716">
        <f>VLOOKUP($D716,'[2]product Table data'!$A$2:$G$12,O$1,FALSE)</f>
        <v>75</v>
      </c>
      <c r="P716">
        <f>VLOOKUP($D716,'[2]product Table data'!$A$2:$G$12,P$1,FALSE)</f>
        <v>125</v>
      </c>
      <c r="Q716">
        <f t="shared" si="55"/>
        <v>50</v>
      </c>
      <c r="R716" t="str">
        <f t="shared" si="56"/>
        <v>-</v>
      </c>
      <c r="S716" t="str">
        <f t="shared" si="57"/>
        <v>Style Risk</v>
      </c>
      <c r="T716" t="str">
        <f t="shared" si="58"/>
        <v>-</v>
      </c>
      <c r="U716" t="str">
        <f t="shared" si="59"/>
        <v>High Value</v>
      </c>
    </row>
    <row r="717" spans="1:21" hidden="1" x14ac:dyDescent="0.2">
      <c r="A717" s="2">
        <v>473</v>
      </c>
      <c r="B717" s="2" t="s">
        <v>9</v>
      </c>
      <c r="C717" s="2" t="s">
        <v>1077</v>
      </c>
      <c r="D717" s="2" t="s">
        <v>968</v>
      </c>
      <c r="E717" s="2">
        <v>33125</v>
      </c>
      <c r="F717" s="2" t="s">
        <v>98</v>
      </c>
      <c r="G717" s="2" t="s">
        <v>36</v>
      </c>
      <c r="H717" s="2">
        <v>1</v>
      </c>
      <c r="I717" s="2" t="s">
        <v>17</v>
      </c>
      <c r="J717" s="2" t="str">
        <f>VLOOKUP(E717,[1]LL_Hub!$A$1:$B$13,2,FALSE)</f>
        <v>Miami</v>
      </c>
      <c r="K717" t="str">
        <f>VLOOKUP(D717,'[2]product Table data'!$A$2:$B$12,2,FALSE)</f>
        <v>Female</v>
      </c>
      <c r="L717" t="str">
        <f>VLOOKUP($D717,'[2]product Table data'!$A$2:$G$12,L$1,FALSE)</f>
        <v>Fancy Sheek</v>
      </c>
      <c r="M717" t="str">
        <f>VLOOKUP($D717,'[2]product Table data'!$A$2:$G$12,M$1,FALSE)</f>
        <v>Azerbaijan</v>
      </c>
      <c r="N717" t="str">
        <f>VLOOKUP($D717,'[2]product Table data'!$A$2:$G$12,N$1,FALSE)</f>
        <v>Middle East</v>
      </c>
      <c r="O717">
        <f>VLOOKUP($D717,'[2]product Table data'!$A$2:$G$12,O$1,FALSE)</f>
        <v>1200</v>
      </c>
      <c r="P717">
        <f>VLOOKUP($D717,'[2]product Table data'!$A$2:$G$12,P$1,FALSE)</f>
        <v>2000</v>
      </c>
      <c r="Q717">
        <f t="shared" si="55"/>
        <v>800</v>
      </c>
      <c r="R717" t="str">
        <f t="shared" si="56"/>
        <v>-</v>
      </c>
      <c r="S717" t="str">
        <f t="shared" si="57"/>
        <v>Style Risk</v>
      </c>
      <c r="T717" t="str">
        <f t="shared" si="58"/>
        <v>-</v>
      </c>
      <c r="U717" t="str">
        <f t="shared" si="59"/>
        <v>High Value</v>
      </c>
    </row>
    <row r="718" spans="1:21" hidden="1" x14ac:dyDescent="0.2">
      <c r="A718" s="2">
        <v>474</v>
      </c>
      <c r="B718" s="2" t="s">
        <v>9</v>
      </c>
      <c r="C718" s="2" t="s">
        <v>1078</v>
      </c>
      <c r="D718" s="2" t="s">
        <v>968</v>
      </c>
      <c r="E718" s="2">
        <v>33125</v>
      </c>
      <c r="F718" s="2" t="s">
        <v>98</v>
      </c>
      <c r="G718" s="2" t="s">
        <v>36</v>
      </c>
      <c r="H718" s="2">
        <v>1</v>
      </c>
      <c r="I718" s="2" t="s">
        <v>17</v>
      </c>
      <c r="J718" s="2" t="str">
        <f>VLOOKUP(E718,[1]LL_Hub!$A$1:$B$13,2,FALSE)</f>
        <v>Miami</v>
      </c>
      <c r="K718" t="str">
        <f>VLOOKUP(D718,'[2]product Table data'!$A$2:$B$12,2,FALSE)</f>
        <v>Female</v>
      </c>
      <c r="L718" t="str">
        <f>VLOOKUP($D718,'[2]product Table data'!$A$2:$G$12,L$1,FALSE)</f>
        <v>Fancy Sheek</v>
      </c>
      <c r="M718" t="str">
        <f>VLOOKUP($D718,'[2]product Table data'!$A$2:$G$12,M$1,FALSE)</f>
        <v>Azerbaijan</v>
      </c>
      <c r="N718" t="str">
        <f>VLOOKUP($D718,'[2]product Table data'!$A$2:$G$12,N$1,FALSE)</f>
        <v>Middle East</v>
      </c>
      <c r="O718">
        <f>VLOOKUP($D718,'[2]product Table data'!$A$2:$G$12,O$1,FALSE)</f>
        <v>1200</v>
      </c>
      <c r="P718">
        <f>VLOOKUP($D718,'[2]product Table data'!$A$2:$G$12,P$1,FALSE)</f>
        <v>2000</v>
      </c>
      <c r="Q718">
        <f t="shared" si="55"/>
        <v>800</v>
      </c>
      <c r="R718" t="str">
        <f t="shared" si="56"/>
        <v>-</v>
      </c>
      <c r="S718" t="str">
        <f t="shared" si="57"/>
        <v>Style Risk</v>
      </c>
      <c r="T718" t="str">
        <f t="shared" si="58"/>
        <v>-</v>
      </c>
      <c r="U718" t="str">
        <f t="shared" si="59"/>
        <v>High Value</v>
      </c>
    </row>
    <row r="719" spans="1:21" hidden="1" x14ac:dyDescent="0.2">
      <c r="A719" s="2">
        <v>475</v>
      </c>
      <c r="B719" s="2" t="s">
        <v>9</v>
      </c>
      <c r="C719" s="2" t="s">
        <v>1079</v>
      </c>
      <c r="D719" s="2" t="s">
        <v>968</v>
      </c>
      <c r="E719" s="2">
        <v>33125</v>
      </c>
      <c r="F719" s="2" t="s">
        <v>98</v>
      </c>
      <c r="G719" s="2" t="s">
        <v>36</v>
      </c>
      <c r="H719" s="2">
        <v>1</v>
      </c>
      <c r="I719" s="2" t="s">
        <v>17</v>
      </c>
      <c r="J719" s="2" t="str">
        <f>VLOOKUP(E719,[1]LL_Hub!$A$1:$B$13,2,FALSE)</f>
        <v>Miami</v>
      </c>
      <c r="K719" t="str">
        <f>VLOOKUP(D719,'[2]product Table data'!$A$2:$B$12,2,FALSE)</f>
        <v>Female</v>
      </c>
      <c r="L719" t="str">
        <f>VLOOKUP($D719,'[2]product Table data'!$A$2:$G$12,L$1,FALSE)</f>
        <v>Fancy Sheek</v>
      </c>
      <c r="M719" t="str">
        <f>VLOOKUP($D719,'[2]product Table data'!$A$2:$G$12,M$1,FALSE)</f>
        <v>Azerbaijan</v>
      </c>
      <c r="N719" t="str">
        <f>VLOOKUP($D719,'[2]product Table data'!$A$2:$G$12,N$1,FALSE)</f>
        <v>Middle East</v>
      </c>
      <c r="O719">
        <f>VLOOKUP($D719,'[2]product Table data'!$A$2:$G$12,O$1,FALSE)</f>
        <v>1200</v>
      </c>
      <c r="P719">
        <f>VLOOKUP($D719,'[2]product Table data'!$A$2:$G$12,P$1,FALSE)</f>
        <v>2000</v>
      </c>
      <c r="Q719">
        <f t="shared" si="55"/>
        <v>800</v>
      </c>
      <c r="R719" t="str">
        <f t="shared" si="56"/>
        <v>-</v>
      </c>
      <c r="S719" t="str">
        <f t="shared" si="57"/>
        <v>Style Risk</v>
      </c>
      <c r="T719" t="str">
        <f t="shared" si="58"/>
        <v>-</v>
      </c>
      <c r="U719" t="str">
        <f t="shared" si="59"/>
        <v>High Value</v>
      </c>
    </row>
    <row r="720" spans="1:21" hidden="1" x14ac:dyDescent="0.2">
      <c r="A720" s="2">
        <v>477</v>
      </c>
      <c r="B720" s="2" t="s">
        <v>9</v>
      </c>
      <c r="C720" s="2" t="s">
        <v>1080</v>
      </c>
      <c r="D720" s="2" t="s">
        <v>968</v>
      </c>
      <c r="E720" s="2">
        <v>33125</v>
      </c>
      <c r="F720" s="2" t="s">
        <v>98</v>
      </c>
      <c r="G720" s="2" t="s">
        <v>36</v>
      </c>
      <c r="H720" s="2">
        <v>1</v>
      </c>
      <c r="I720" s="2" t="s">
        <v>17</v>
      </c>
      <c r="J720" s="2" t="str">
        <f>VLOOKUP(E720,[1]LL_Hub!$A$1:$B$13,2,FALSE)</f>
        <v>Miami</v>
      </c>
      <c r="K720" t="str">
        <f>VLOOKUP(D720,'[2]product Table data'!$A$2:$B$12,2,FALSE)</f>
        <v>Female</v>
      </c>
      <c r="L720" t="str">
        <f>VLOOKUP($D720,'[2]product Table data'!$A$2:$G$12,L$1,FALSE)</f>
        <v>Fancy Sheek</v>
      </c>
      <c r="M720" t="str">
        <f>VLOOKUP($D720,'[2]product Table data'!$A$2:$G$12,M$1,FALSE)</f>
        <v>Azerbaijan</v>
      </c>
      <c r="N720" t="str">
        <f>VLOOKUP($D720,'[2]product Table data'!$A$2:$G$12,N$1,FALSE)</f>
        <v>Middle East</v>
      </c>
      <c r="O720">
        <f>VLOOKUP($D720,'[2]product Table data'!$A$2:$G$12,O$1,FALSE)</f>
        <v>1200</v>
      </c>
      <c r="P720">
        <f>VLOOKUP($D720,'[2]product Table data'!$A$2:$G$12,P$1,FALSE)</f>
        <v>2000</v>
      </c>
      <c r="Q720">
        <f t="shared" si="55"/>
        <v>800</v>
      </c>
      <c r="R720" t="str">
        <f t="shared" si="56"/>
        <v>-</v>
      </c>
      <c r="S720" t="str">
        <f t="shared" si="57"/>
        <v>Style Risk</v>
      </c>
      <c r="T720" t="str">
        <f t="shared" si="58"/>
        <v>-</v>
      </c>
      <c r="U720" t="str">
        <f t="shared" si="59"/>
        <v>High Value</v>
      </c>
    </row>
    <row r="721" spans="1:21" hidden="1" x14ac:dyDescent="0.2">
      <c r="A721" s="2">
        <v>478</v>
      </c>
      <c r="B721" s="2" t="s">
        <v>9</v>
      </c>
      <c r="C721" s="2" t="s">
        <v>1081</v>
      </c>
      <c r="D721" s="2" t="s">
        <v>968</v>
      </c>
      <c r="E721" s="2">
        <v>33125</v>
      </c>
      <c r="F721" s="2" t="s">
        <v>98</v>
      </c>
      <c r="G721" s="2" t="s">
        <v>36</v>
      </c>
      <c r="H721" s="2">
        <v>1</v>
      </c>
      <c r="I721" s="2" t="s">
        <v>17</v>
      </c>
      <c r="J721" s="2" t="str">
        <f>VLOOKUP(E721,[1]LL_Hub!$A$1:$B$13,2,FALSE)</f>
        <v>Miami</v>
      </c>
      <c r="K721" t="str">
        <f>VLOOKUP(D721,'[2]product Table data'!$A$2:$B$12,2,FALSE)</f>
        <v>Female</v>
      </c>
      <c r="L721" t="str">
        <f>VLOOKUP($D721,'[2]product Table data'!$A$2:$G$12,L$1,FALSE)</f>
        <v>Fancy Sheek</v>
      </c>
      <c r="M721" t="str">
        <f>VLOOKUP($D721,'[2]product Table data'!$A$2:$G$12,M$1,FALSE)</f>
        <v>Azerbaijan</v>
      </c>
      <c r="N721" t="str">
        <f>VLOOKUP($D721,'[2]product Table data'!$A$2:$G$12,N$1,FALSE)</f>
        <v>Middle East</v>
      </c>
      <c r="O721">
        <f>VLOOKUP($D721,'[2]product Table data'!$A$2:$G$12,O$1,FALSE)</f>
        <v>1200</v>
      </c>
      <c r="P721">
        <f>VLOOKUP($D721,'[2]product Table data'!$A$2:$G$12,P$1,FALSE)</f>
        <v>2000</v>
      </c>
      <c r="Q721">
        <f t="shared" si="55"/>
        <v>800</v>
      </c>
      <c r="R721" t="str">
        <f t="shared" si="56"/>
        <v>-</v>
      </c>
      <c r="S721" t="str">
        <f t="shared" si="57"/>
        <v>Style Risk</v>
      </c>
      <c r="T721" t="str">
        <f t="shared" si="58"/>
        <v>-</v>
      </c>
      <c r="U721" t="str">
        <f t="shared" si="59"/>
        <v>High Value</v>
      </c>
    </row>
    <row r="722" spans="1:21" hidden="1" x14ac:dyDescent="0.2">
      <c r="A722" s="2">
        <v>479</v>
      </c>
      <c r="B722" s="2" t="s">
        <v>9</v>
      </c>
      <c r="C722" s="2" t="s">
        <v>1082</v>
      </c>
      <c r="D722" s="2" t="s">
        <v>968</v>
      </c>
      <c r="E722" s="2">
        <v>33125</v>
      </c>
      <c r="F722" s="2" t="s">
        <v>98</v>
      </c>
      <c r="G722" s="2" t="s">
        <v>36</v>
      </c>
      <c r="H722" s="2">
        <v>1</v>
      </c>
      <c r="I722" s="2" t="s">
        <v>17</v>
      </c>
      <c r="J722" s="2" t="str">
        <f>VLOOKUP(E722,[1]LL_Hub!$A$1:$B$13,2,FALSE)</f>
        <v>Miami</v>
      </c>
      <c r="K722" t="str">
        <f>VLOOKUP(D722,'[2]product Table data'!$A$2:$B$12,2,FALSE)</f>
        <v>Female</v>
      </c>
      <c r="L722" t="str">
        <f>VLOOKUP($D722,'[2]product Table data'!$A$2:$G$12,L$1,FALSE)</f>
        <v>Fancy Sheek</v>
      </c>
      <c r="M722" t="str">
        <f>VLOOKUP($D722,'[2]product Table data'!$A$2:$G$12,M$1,FALSE)</f>
        <v>Azerbaijan</v>
      </c>
      <c r="N722" t="str">
        <f>VLOOKUP($D722,'[2]product Table data'!$A$2:$G$12,N$1,FALSE)</f>
        <v>Middle East</v>
      </c>
      <c r="O722">
        <f>VLOOKUP($D722,'[2]product Table data'!$A$2:$G$12,O$1,FALSE)</f>
        <v>1200</v>
      </c>
      <c r="P722">
        <f>VLOOKUP($D722,'[2]product Table data'!$A$2:$G$12,P$1,FALSE)</f>
        <v>2000</v>
      </c>
      <c r="Q722">
        <f t="shared" si="55"/>
        <v>800</v>
      </c>
      <c r="R722" t="str">
        <f t="shared" si="56"/>
        <v>-</v>
      </c>
      <c r="S722" t="str">
        <f t="shared" si="57"/>
        <v>Style Risk</v>
      </c>
      <c r="T722" t="str">
        <f t="shared" si="58"/>
        <v>-</v>
      </c>
      <c r="U722" t="str">
        <f t="shared" si="59"/>
        <v>High Value</v>
      </c>
    </row>
    <row r="723" spans="1:21" hidden="1" x14ac:dyDescent="0.2">
      <c r="A723" s="2">
        <v>480</v>
      </c>
      <c r="B723" s="2" t="s">
        <v>9</v>
      </c>
      <c r="C723" s="2" t="s">
        <v>1083</v>
      </c>
      <c r="D723" s="2" t="s">
        <v>968</v>
      </c>
      <c r="E723" s="2">
        <v>33125</v>
      </c>
      <c r="F723" s="2" t="s">
        <v>98</v>
      </c>
      <c r="G723" s="2" t="s">
        <v>36</v>
      </c>
      <c r="H723" s="2">
        <v>1</v>
      </c>
      <c r="I723" s="2" t="s">
        <v>17</v>
      </c>
      <c r="J723" s="2" t="str">
        <f>VLOOKUP(E723,[1]LL_Hub!$A$1:$B$13,2,FALSE)</f>
        <v>Miami</v>
      </c>
      <c r="K723" t="str">
        <f>VLOOKUP(D723,'[2]product Table data'!$A$2:$B$12,2,FALSE)</f>
        <v>Female</v>
      </c>
      <c r="L723" t="str">
        <f>VLOOKUP($D723,'[2]product Table data'!$A$2:$G$12,L$1,FALSE)</f>
        <v>Fancy Sheek</v>
      </c>
      <c r="M723" t="str">
        <f>VLOOKUP($D723,'[2]product Table data'!$A$2:$G$12,M$1,FALSE)</f>
        <v>Azerbaijan</v>
      </c>
      <c r="N723" t="str">
        <f>VLOOKUP($D723,'[2]product Table data'!$A$2:$G$12,N$1,FALSE)</f>
        <v>Middle East</v>
      </c>
      <c r="O723">
        <f>VLOOKUP($D723,'[2]product Table data'!$A$2:$G$12,O$1,FALSE)</f>
        <v>1200</v>
      </c>
      <c r="P723">
        <f>VLOOKUP($D723,'[2]product Table data'!$A$2:$G$12,P$1,FALSE)</f>
        <v>2000</v>
      </c>
      <c r="Q723">
        <f t="shared" si="55"/>
        <v>800</v>
      </c>
      <c r="R723" t="str">
        <f t="shared" si="56"/>
        <v>-</v>
      </c>
      <c r="S723" t="str">
        <f t="shared" si="57"/>
        <v>Style Risk</v>
      </c>
      <c r="T723" t="str">
        <f t="shared" si="58"/>
        <v>-</v>
      </c>
      <c r="U723" t="str">
        <f t="shared" si="59"/>
        <v>High Value</v>
      </c>
    </row>
    <row r="724" spans="1:21" hidden="1" x14ac:dyDescent="0.2">
      <c r="A724" s="2">
        <v>481</v>
      </c>
      <c r="B724" s="2" t="s">
        <v>9</v>
      </c>
      <c r="C724" s="2" t="s">
        <v>1084</v>
      </c>
      <c r="D724" s="2" t="s">
        <v>604</v>
      </c>
      <c r="E724" s="2">
        <v>33125</v>
      </c>
      <c r="F724" s="2" t="s">
        <v>98</v>
      </c>
      <c r="G724" s="2" t="s">
        <v>36</v>
      </c>
      <c r="H724" s="2">
        <v>1</v>
      </c>
      <c r="I724" s="2" t="s">
        <v>17</v>
      </c>
      <c r="J724" s="2" t="str">
        <f>VLOOKUP(E724,[1]LL_Hub!$A$1:$B$13,2,FALSE)</f>
        <v>Miami</v>
      </c>
      <c r="K724" t="str">
        <f>VLOOKUP(D724,'[2]product Table data'!$A$2:$B$12,2,FALSE)</f>
        <v>Female</v>
      </c>
      <c r="L724" t="str">
        <f>VLOOKUP($D724,'[2]product Table data'!$A$2:$G$12,L$1,FALSE)</f>
        <v>Fancy Sheek</v>
      </c>
      <c r="M724" t="str">
        <f>VLOOKUP($D724,'[2]product Table data'!$A$2:$G$12,M$1,FALSE)</f>
        <v>Iran</v>
      </c>
      <c r="N724" t="str">
        <f>VLOOKUP($D724,'[2]product Table data'!$A$2:$G$12,N$1,FALSE)</f>
        <v>Middle East</v>
      </c>
      <c r="O724">
        <f>VLOOKUP($D724,'[2]product Table data'!$A$2:$G$12,O$1,FALSE)</f>
        <v>75</v>
      </c>
      <c r="P724">
        <f>VLOOKUP($D724,'[2]product Table data'!$A$2:$G$12,P$1,FALSE)</f>
        <v>125</v>
      </c>
      <c r="Q724">
        <f t="shared" si="55"/>
        <v>50</v>
      </c>
      <c r="R724" t="str">
        <f t="shared" si="56"/>
        <v>-</v>
      </c>
      <c r="S724" t="str">
        <f t="shared" si="57"/>
        <v>Style Risk</v>
      </c>
      <c r="T724" t="str">
        <f t="shared" si="58"/>
        <v>-</v>
      </c>
      <c r="U724" t="str">
        <f t="shared" si="59"/>
        <v>High Value</v>
      </c>
    </row>
    <row r="725" spans="1:21" hidden="1" x14ac:dyDescent="0.2">
      <c r="A725" s="2">
        <v>485</v>
      </c>
      <c r="B725" s="2" t="s">
        <v>9</v>
      </c>
      <c r="C725" s="2" t="s">
        <v>1085</v>
      </c>
      <c r="D725" s="2" t="s">
        <v>604</v>
      </c>
      <c r="E725" s="2">
        <v>33125</v>
      </c>
      <c r="F725" s="2" t="s">
        <v>1086</v>
      </c>
      <c r="G725" s="2" t="s">
        <v>13</v>
      </c>
      <c r="H725" s="2">
        <v>1</v>
      </c>
      <c r="I725" s="2" t="s">
        <v>17</v>
      </c>
      <c r="J725" s="2" t="str">
        <f>VLOOKUP(E725,[1]LL_Hub!$A$1:$B$13,2,FALSE)</f>
        <v>Miami</v>
      </c>
      <c r="K725" t="str">
        <f>VLOOKUP(D725,'[2]product Table data'!$A$2:$B$12,2,FALSE)</f>
        <v>Female</v>
      </c>
      <c r="L725" t="str">
        <f>VLOOKUP($D725,'[2]product Table data'!$A$2:$G$12,L$1,FALSE)</f>
        <v>Fancy Sheek</v>
      </c>
      <c r="M725" t="str">
        <f>VLOOKUP($D725,'[2]product Table data'!$A$2:$G$12,M$1,FALSE)</f>
        <v>Iran</v>
      </c>
      <c r="N725" t="str">
        <f>VLOOKUP($D725,'[2]product Table data'!$A$2:$G$12,N$1,FALSE)</f>
        <v>Middle East</v>
      </c>
      <c r="O725">
        <f>VLOOKUP($D725,'[2]product Table data'!$A$2:$G$12,O$1,FALSE)</f>
        <v>75</v>
      </c>
      <c r="P725">
        <f>VLOOKUP($D725,'[2]product Table data'!$A$2:$G$12,P$1,FALSE)</f>
        <v>125</v>
      </c>
      <c r="Q725">
        <f t="shared" si="55"/>
        <v>50</v>
      </c>
      <c r="R725" t="str">
        <f t="shared" si="56"/>
        <v>-</v>
      </c>
      <c r="S725" t="str">
        <f t="shared" si="57"/>
        <v>Style Risk</v>
      </c>
      <c r="T725" t="str">
        <f t="shared" si="58"/>
        <v>-</v>
      </c>
      <c r="U725" t="str">
        <f t="shared" si="59"/>
        <v>High Value</v>
      </c>
    </row>
    <row r="726" spans="1:21" hidden="1" x14ac:dyDescent="0.2">
      <c r="A726" s="2">
        <v>490</v>
      </c>
      <c r="B726" s="2" t="s">
        <v>9</v>
      </c>
      <c r="C726" s="2" t="s">
        <v>1087</v>
      </c>
      <c r="D726" s="2" t="s">
        <v>505</v>
      </c>
      <c r="E726" s="2">
        <v>33125</v>
      </c>
      <c r="F726" s="2" t="s">
        <v>96</v>
      </c>
      <c r="G726" s="2" t="s">
        <v>36</v>
      </c>
      <c r="H726" s="2">
        <v>1</v>
      </c>
      <c r="I726" s="2" t="s">
        <v>17</v>
      </c>
      <c r="J726" s="2" t="str">
        <f>VLOOKUP(E726,[1]LL_Hub!$A$1:$B$13,2,FALSE)</f>
        <v>Miami</v>
      </c>
      <c r="K726" t="str">
        <f>VLOOKUP(D726,'[2]product Table data'!$A$2:$B$12,2,FALSE)</f>
        <v>Female</v>
      </c>
      <c r="L726" t="str">
        <f>VLOOKUP($D726,'[2]product Table data'!$A$2:$G$12,L$1,FALSE)</f>
        <v>Casual n Light</v>
      </c>
      <c r="M726" t="str">
        <f>VLOOKUP($D726,'[2]product Table data'!$A$2:$G$12,M$1,FALSE)</f>
        <v>Honduras</v>
      </c>
      <c r="N726" t="str">
        <f>VLOOKUP($D726,'[2]product Table data'!$A$2:$G$12,N$1,FALSE)</f>
        <v>Central America</v>
      </c>
      <c r="O726">
        <f>VLOOKUP($D726,'[2]product Table data'!$A$2:$G$12,O$1,FALSE)</f>
        <v>30</v>
      </c>
      <c r="P726">
        <f>VLOOKUP($D726,'[2]product Table data'!$A$2:$G$12,P$1,FALSE)</f>
        <v>45</v>
      </c>
      <c r="Q726">
        <f t="shared" si="55"/>
        <v>15</v>
      </c>
      <c r="R726" t="str">
        <f t="shared" si="56"/>
        <v>-</v>
      </c>
      <c r="S726" t="str">
        <f t="shared" si="57"/>
        <v>Style Risk</v>
      </c>
      <c r="T726" t="str">
        <f t="shared" si="58"/>
        <v>-</v>
      </c>
      <c r="U726" t="str">
        <f t="shared" si="59"/>
        <v>High Value</v>
      </c>
    </row>
    <row r="727" spans="1:21" hidden="1" x14ac:dyDescent="0.2">
      <c r="A727" s="2">
        <v>492</v>
      </c>
      <c r="B727" s="2" t="s">
        <v>9</v>
      </c>
      <c r="C727" s="2" t="s">
        <v>1088</v>
      </c>
      <c r="D727" s="2" t="s">
        <v>604</v>
      </c>
      <c r="E727" s="2">
        <v>33125</v>
      </c>
      <c r="F727" s="2" t="s">
        <v>1089</v>
      </c>
      <c r="G727" s="2" t="s">
        <v>13</v>
      </c>
      <c r="H727" s="2">
        <v>1</v>
      </c>
      <c r="I727" s="2" t="s">
        <v>17</v>
      </c>
      <c r="J727" s="2" t="str">
        <f>VLOOKUP(E727,[1]LL_Hub!$A$1:$B$13,2,FALSE)</f>
        <v>Miami</v>
      </c>
      <c r="K727" t="str">
        <f>VLOOKUP(D727,'[2]product Table data'!$A$2:$B$12,2,FALSE)</f>
        <v>Female</v>
      </c>
      <c r="L727" t="str">
        <f>VLOOKUP($D727,'[2]product Table data'!$A$2:$G$12,L$1,FALSE)</f>
        <v>Fancy Sheek</v>
      </c>
      <c r="M727" t="str">
        <f>VLOOKUP($D727,'[2]product Table data'!$A$2:$G$12,M$1,FALSE)</f>
        <v>Iran</v>
      </c>
      <c r="N727" t="str">
        <f>VLOOKUP($D727,'[2]product Table data'!$A$2:$G$12,N$1,FALSE)</f>
        <v>Middle East</v>
      </c>
      <c r="O727">
        <f>VLOOKUP($D727,'[2]product Table data'!$A$2:$G$12,O$1,FALSE)</f>
        <v>75</v>
      </c>
      <c r="P727">
        <f>VLOOKUP($D727,'[2]product Table data'!$A$2:$G$12,P$1,FALSE)</f>
        <v>125</v>
      </c>
      <c r="Q727">
        <f t="shared" si="55"/>
        <v>50</v>
      </c>
      <c r="R727" t="str">
        <f t="shared" si="56"/>
        <v>-</v>
      </c>
      <c r="S727" t="str">
        <f t="shared" si="57"/>
        <v>Style Risk</v>
      </c>
      <c r="T727" t="str">
        <f t="shared" si="58"/>
        <v>-</v>
      </c>
      <c r="U727" t="str">
        <f t="shared" si="59"/>
        <v>High Value</v>
      </c>
    </row>
    <row r="728" spans="1:21" hidden="1" x14ac:dyDescent="0.2">
      <c r="A728" s="2">
        <v>493</v>
      </c>
      <c r="B728" s="2" t="s">
        <v>9</v>
      </c>
      <c r="C728" s="2" t="s">
        <v>1090</v>
      </c>
      <c r="D728" s="2" t="s">
        <v>604</v>
      </c>
      <c r="E728" s="2">
        <v>33125</v>
      </c>
      <c r="F728" s="2" t="s">
        <v>1091</v>
      </c>
      <c r="G728" s="2" t="s">
        <v>13</v>
      </c>
      <c r="H728" s="2">
        <v>1</v>
      </c>
      <c r="I728" s="2" t="s">
        <v>17</v>
      </c>
      <c r="J728" s="2" t="str">
        <f>VLOOKUP(E728,[1]LL_Hub!$A$1:$B$13,2,FALSE)</f>
        <v>Miami</v>
      </c>
      <c r="K728" t="str">
        <f>VLOOKUP(D728,'[2]product Table data'!$A$2:$B$12,2,FALSE)</f>
        <v>Female</v>
      </c>
      <c r="L728" t="str">
        <f>VLOOKUP($D728,'[2]product Table data'!$A$2:$G$12,L$1,FALSE)</f>
        <v>Fancy Sheek</v>
      </c>
      <c r="M728" t="str">
        <f>VLOOKUP($D728,'[2]product Table data'!$A$2:$G$12,M$1,FALSE)</f>
        <v>Iran</v>
      </c>
      <c r="N728" t="str">
        <f>VLOOKUP($D728,'[2]product Table data'!$A$2:$G$12,N$1,FALSE)</f>
        <v>Middle East</v>
      </c>
      <c r="O728">
        <f>VLOOKUP($D728,'[2]product Table data'!$A$2:$G$12,O$1,FALSE)</f>
        <v>75</v>
      </c>
      <c r="P728">
        <f>VLOOKUP($D728,'[2]product Table data'!$A$2:$G$12,P$1,FALSE)</f>
        <v>125</v>
      </c>
      <c r="Q728">
        <f t="shared" si="55"/>
        <v>50</v>
      </c>
      <c r="R728" t="str">
        <f t="shared" si="56"/>
        <v>-</v>
      </c>
      <c r="S728" t="str">
        <f t="shared" si="57"/>
        <v>Style Risk</v>
      </c>
      <c r="T728" t="str">
        <f t="shared" si="58"/>
        <v>-</v>
      </c>
      <c r="U728" t="str">
        <f t="shared" si="59"/>
        <v>High Value</v>
      </c>
    </row>
    <row r="729" spans="1:21" hidden="1" x14ac:dyDescent="0.2">
      <c r="A729" s="2">
        <v>494</v>
      </c>
      <c r="B729" s="2" t="s">
        <v>9</v>
      </c>
      <c r="C729" s="2" t="s">
        <v>1092</v>
      </c>
      <c r="D729" s="2" t="s">
        <v>604</v>
      </c>
      <c r="E729" s="2">
        <v>33125</v>
      </c>
      <c r="F729" s="2" t="s">
        <v>1093</v>
      </c>
      <c r="G729" s="2" t="s">
        <v>13</v>
      </c>
      <c r="H729" s="2">
        <v>1</v>
      </c>
      <c r="I729" s="2" t="s">
        <v>17</v>
      </c>
      <c r="J729" s="2" t="str">
        <f>VLOOKUP(E729,[1]LL_Hub!$A$1:$B$13,2,FALSE)</f>
        <v>Miami</v>
      </c>
      <c r="K729" t="str">
        <f>VLOOKUP(D729,'[2]product Table data'!$A$2:$B$12,2,FALSE)</f>
        <v>Female</v>
      </c>
      <c r="L729" t="str">
        <f>VLOOKUP($D729,'[2]product Table data'!$A$2:$G$12,L$1,FALSE)</f>
        <v>Fancy Sheek</v>
      </c>
      <c r="M729" t="str">
        <f>VLOOKUP($D729,'[2]product Table data'!$A$2:$G$12,M$1,FALSE)</f>
        <v>Iran</v>
      </c>
      <c r="N729" t="str">
        <f>VLOOKUP($D729,'[2]product Table data'!$A$2:$G$12,N$1,FALSE)</f>
        <v>Middle East</v>
      </c>
      <c r="O729">
        <f>VLOOKUP($D729,'[2]product Table data'!$A$2:$G$12,O$1,FALSE)</f>
        <v>75</v>
      </c>
      <c r="P729">
        <f>VLOOKUP($D729,'[2]product Table data'!$A$2:$G$12,P$1,FALSE)</f>
        <v>125</v>
      </c>
      <c r="Q729">
        <f t="shared" si="55"/>
        <v>50</v>
      </c>
      <c r="R729" t="str">
        <f t="shared" si="56"/>
        <v>-</v>
      </c>
      <c r="S729" t="str">
        <f t="shared" si="57"/>
        <v>Style Risk</v>
      </c>
      <c r="T729" t="str">
        <f t="shared" si="58"/>
        <v>-</v>
      </c>
      <c r="U729" t="str">
        <f t="shared" si="59"/>
        <v>High Value</v>
      </c>
    </row>
    <row r="730" spans="1:21" hidden="1" x14ac:dyDescent="0.2">
      <c r="A730" s="2">
        <v>495</v>
      </c>
      <c r="B730" s="2" t="s">
        <v>9</v>
      </c>
      <c r="C730" s="2" t="s">
        <v>1094</v>
      </c>
      <c r="D730" s="2" t="s">
        <v>604</v>
      </c>
      <c r="E730" s="2">
        <v>33125</v>
      </c>
      <c r="F730" s="2" t="s">
        <v>1095</v>
      </c>
      <c r="G730" s="2" t="s">
        <v>13</v>
      </c>
      <c r="H730" s="2">
        <v>1</v>
      </c>
      <c r="I730" s="2" t="s">
        <v>17</v>
      </c>
      <c r="J730" s="2" t="str">
        <f>VLOOKUP(E730,[1]LL_Hub!$A$1:$B$13,2,FALSE)</f>
        <v>Miami</v>
      </c>
      <c r="K730" t="str">
        <f>VLOOKUP(D730,'[2]product Table data'!$A$2:$B$12,2,FALSE)</f>
        <v>Female</v>
      </c>
      <c r="L730" t="str">
        <f>VLOOKUP($D730,'[2]product Table data'!$A$2:$G$12,L$1,FALSE)</f>
        <v>Fancy Sheek</v>
      </c>
      <c r="M730" t="str">
        <f>VLOOKUP($D730,'[2]product Table data'!$A$2:$G$12,M$1,FALSE)</f>
        <v>Iran</v>
      </c>
      <c r="N730" t="str">
        <f>VLOOKUP($D730,'[2]product Table data'!$A$2:$G$12,N$1,FALSE)</f>
        <v>Middle East</v>
      </c>
      <c r="O730">
        <f>VLOOKUP($D730,'[2]product Table data'!$A$2:$G$12,O$1,FALSE)</f>
        <v>75</v>
      </c>
      <c r="P730">
        <f>VLOOKUP($D730,'[2]product Table data'!$A$2:$G$12,P$1,FALSE)</f>
        <v>125</v>
      </c>
      <c r="Q730">
        <f t="shared" si="55"/>
        <v>50</v>
      </c>
      <c r="R730" t="str">
        <f t="shared" si="56"/>
        <v>-</v>
      </c>
      <c r="S730" t="str">
        <f t="shared" si="57"/>
        <v>Style Risk</v>
      </c>
      <c r="T730" t="str">
        <f t="shared" si="58"/>
        <v>-</v>
      </c>
      <c r="U730" t="str">
        <f t="shared" si="59"/>
        <v>High Value</v>
      </c>
    </row>
    <row r="731" spans="1:21" hidden="1" x14ac:dyDescent="0.2">
      <c r="A731" s="2">
        <v>496</v>
      </c>
      <c r="B731" s="2" t="s">
        <v>9</v>
      </c>
      <c r="C731" s="2" t="s">
        <v>1096</v>
      </c>
      <c r="D731" s="2" t="s">
        <v>604</v>
      </c>
      <c r="E731" s="2">
        <v>33125</v>
      </c>
      <c r="F731" s="2" t="s">
        <v>1097</v>
      </c>
      <c r="G731" s="2" t="s">
        <v>13</v>
      </c>
      <c r="H731" s="2">
        <v>1</v>
      </c>
      <c r="I731" s="2" t="s">
        <v>17</v>
      </c>
      <c r="J731" s="2" t="str">
        <f>VLOOKUP(E731,[1]LL_Hub!$A$1:$B$13,2,FALSE)</f>
        <v>Miami</v>
      </c>
      <c r="K731" t="str">
        <f>VLOOKUP(D731,'[2]product Table data'!$A$2:$B$12,2,FALSE)</f>
        <v>Female</v>
      </c>
      <c r="L731" t="str">
        <f>VLOOKUP($D731,'[2]product Table data'!$A$2:$G$12,L$1,FALSE)</f>
        <v>Fancy Sheek</v>
      </c>
      <c r="M731" t="str">
        <f>VLOOKUP($D731,'[2]product Table data'!$A$2:$G$12,M$1,FALSE)</f>
        <v>Iran</v>
      </c>
      <c r="N731" t="str">
        <f>VLOOKUP($D731,'[2]product Table data'!$A$2:$G$12,N$1,FALSE)</f>
        <v>Middle East</v>
      </c>
      <c r="O731">
        <f>VLOOKUP($D731,'[2]product Table data'!$A$2:$G$12,O$1,FALSE)</f>
        <v>75</v>
      </c>
      <c r="P731">
        <f>VLOOKUP($D731,'[2]product Table data'!$A$2:$G$12,P$1,FALSE)</f>
        <v>125</v>
      </c>
      <c r="Q731">
        <f t="shared" si="55"/>
        <v>50</v>
      </c>
      <c r="R731" t="str">
        <f t="shared" si="56"/>
        <v>-</v>
      </c>
      <c r="S731" t="str">
        <f t="shared" si="57"/>
        <v>Style Risk</v>
      </c>
      <c r="T731" t="str">
        <f t="shared" si="58"/>
        <v>-</v>
      </c>
      <c r="U731" t="str">
        <f t="shared" si="59"/>
        <v>High Value</v>
      </c>
    </row>
    <row r="732" spans="1:21" hidden="1" x14ac:dyDescent="0.2">
      <c r="A732" s="2">
        <v>499</v>
      </c>
      <c r="B732" s="2" t="s">
        <v>9</v>
      </c>
      <c r="C732" s="2" t="s">
        <v>1098</v>
      </c>
      <c r="D732" s="2" t="s">
        <v>604</v>
      </c>
      <c r="E732" s="2">
        <v>33125</v>
      </c>
      <c r="F732" s="2" t="s">
        <v>98</v>
      </c>
      <c r="G732" s="2" t="s">
        <v>36</v>
      </c>
      <c r="H732" s="2">
        <v>1</v>
      </c>
      <c r="I732" s="2" t="s">
        <v>17</v>
      </c>
      <c r="J732" s="2" t="str">
        <f>VLOOKUP(E732,[1]LL_Hub!$A$1:$B$13,2,FALSE)</f>
        <v>Miami</v>
      </c>
      <c r="K732" t="str">
        <f>VLOOKUP(D732,'[2]product Table data'!$A$2:$B$12,2,FALSE)</f>
        <v>Female</v>
      </c>
      <c r="L732" t="str">
        <f>VLOOKUP($D732,'[2]product Table data'!$A$2:$G$12,L$1,FALSE)</f>
        <v>Fancy Sheek</v>
      </c>
      <c r="M732" t="str">
        <f>VLOOKUP($D732,'[2]product Table data'!$A$2:$G$12,M$1,FALSE)</f>
        <v>Iran</v>
      </c>
      <c r="N732" t="str">
        <f>VLOOKUP($D732,'[2]product Table data'!$A$2:$G$12,N$1,FALSE)</f>
        <v>Middle East</v>
      </c>
      <c r="O732">
        <f>VLOOKUP($D732,'[2]product Table data'!$A$2:$G$12,O$1,FALSE)</f>
        <v>75</v>
      </c>
      <c r="P732">
        <f>VLOOKUP($D732,'[2]product Table data'!$A$2:$G$12,P$1,FALSE)</f>
        <v>125</v>
      </c>
      <c r="Q732">
        <f t="shared" si="55"/>
        <v>50</v>
      </c>
      <c r="R732" t="str">
        <f t="shared" si="56"/>
        <v>-</v>
      </c>
      <c r="S732" t="str">
        <f t="shared" si="57"/>
        <v>Style Risk</v>
      </c>
      <c r="T732" t="str">
        <f t="shared" si="58"/>
        <v>-</v>
      </c>
      <c r="U732" t="str">
        <f t="shared" si="59"/>
        <v>High Value</v>
      </c>
    </row>
    <row r="733" spans="1:21" x14ac:dyDescent="0.2">
      <c r="A733" s="2">
        <v>447</v>
      </c>
      <c r="B733" s="2" t="s">
        <v>9</v>
      </c>
      <c r="C733" s="2" t="s">
        <v>1049</v>
      </c>
      <c r="D733" s="2" t="s">
        <v>604</v>
      </c>
      <c r="E733" s="2">
        <v>33101</v>
      </c>
      <c r="F733" s="2" t="s">
        <v>98</v>
      </c>
      <c r="G733" s="2" t="s">
        <v>36</v>
      </c>
      <c r="H733" s="2">
        <v>1</v>
      </c>
      <c r="I733" s="2" t="s">
        <v>14</v>
      </c>
      <c r="J733" s="2" t="str">
        <f>VLOOKUP(E733,[1]LL_Hub!$A$1:$B$13,2,FALSE)</f>
        <v>Miami</v>
      </c>
      <c r="K733" t="str">
        <f>VLOOKUP(D733,'[2]product Table data'!$A$2:$B$12,2,FALSE)</f>
        <v>Female</v>
      </c>
      <c r="L733" t="str">
        <f>VLOOKUP($D733,'[2]product Table data'!$A$2:$G$12,L$1,FALSE)</f>
        <v>Fancy Sheek</v>
      </c>
      <c r="M733" t="str">
        <f>VLOOKUP($D733,'[2]product Table data'!$A$2:$G$12,M$1,FALSE)</f>
        <v>Iran</v>
      </c>
      <c r="N733" t="str">
        <f>VLOOKUP($D733,'[2]product Table data'!$A$2:$G$12,N$1,FALSE)</f>
        <v>Middle East</v>
      </c>
      <c r="O733">
        <f>VLOOKUP($D733,'[2]product Table data'!$A$2:$G$12,O$1,FALSE)</f>
        <v>75</v>
      </c>
      <c r="P733">
        <f>VLOOKUP($D733,'[2]product Table data'!$A$2:$G$12,P$1,FALSE)</f>
        <v>125</v>
      </c>
      <c r="Q733">
        <f t="shared" si="55"/>
        <v>50</v>
      </c>
      <c r="R733" t="str">
        <f t="shared" si="56"/>
        <v>-</v>
      </c>
      <c r="S733" t="str">
        <f t="shared" si="57"/>
        <v>Style Risk</v>
      </c>
      <c r="T733" t="str">
        <f t="shared" si="58"/>
        <v>-</v>
      </c>
      <c r="U733" t="str">
        <f t="shared" si="59"/>
        <v>High Value</v>
      </c>
    </row>
    <row r="734" spans="1:21" hidden="1" x14ac:dyDescent="0.2">
      <c r="A734" s="2">
        <v>501</v>
      </c>
      <c r="B734" s="2" t="s">
        <v>9</v>
      </c>
      <c r="C734" s="2" t="s">
        <v>1101</v>
      </c>
      <c r="D734" s="2" t="s">
        <v>558</v>
      </c>
      <c r="E734" s="2">
        <v>33159</v>
      </c>
      <c r="F734" s="2" t="s">
        <v>98</v>
      </c>
      <c r="G734" s="2" t="s">
        <v>36</v>
      </c>
      <c r="H734" s="2">
        <v>1</v>
      </c>
      <c r="I734" s="2" t="s">
        <v>17</v>
      </c>
      <c r="J734" s="2" t="str">
        <f>VLOOKUP(E734,[1]LL_Hub!$A$1:$B$13,2,FALSE)</f>
        <v>Miami</v>
      </c>
      <c r="K734" t="str">
        <f>VLOOKUP(D734,'[2]product Table data'!$A$2:$B$12,2,FALSE)</f>
        <v>Female</v>
      </c>
      <c r="L734" t="str">
        <f>VLOOKUP($D734,'[2]product Table data'!$A$2:$G$12,L$1,FALSE)</f>
        <v>Fancy Sheek</v>
      </c>
      <c r="M734" t="str">
        <f>VLOOKUP($D734,'[2]product Table data'!$A$2:$G$12,M$1,FALSE)</f>
        <v>Afghanistan</v>
      </c>
      <c r="N734" t="str">
        <f>VLOOKUP($D734,'[2]product Table data'!$A$2:$G$12,N$1,FALSE)</f>
        <v>Middle East</v>
      </c>
      <c r="O734">
        <f>VLOOKUP($D734,'[2]product Table data'!$A$2:$G$12,O$1,FALSE)</f>
        <v>150</v>
      </c>
      <c r="P734">
        <f>VLOOKUP($D734,'[2]product Table data'!$A$2:$G$12,P$1,FALSE)</f>
        <v>75</v>
      </c>
      <c r="Q734">
        <f t="shared" si="55"/>
        <v>-75</v>
      </c>
      <c r="R734" t="str">
        <f t="shared" si="56"/>
        <v>-</v>
      </c>
      <c r="S734" t="str">
        <f t="shared" si="57"/>
        <v>Style Risk</v>
      </c>
      <c r="T734" t="str">
        <f t="shared" si="58"/>
        <v>-</v>
      </c>
      <c r="U734" t="str">
        <f t="shared" si="59"/>
        <v>Low Value</v>
      </c>
    </row>
    <row r="735" spans="1:21" hidden="1" x14ac:dyDescent="0.2">
      <c r="A735" s="2">
        <v>503</v>
      </c>
      <c r="B735" s="2" t="s">
        <v>9</v>
      </c>
      <c r="C735" s="2" t="s">
        <v>1102</v>
      </c>
      <c r="D735" s="2" t="s">
        <v>604</v>
      </c>
      <c r="E735" s="2">
        <v>33159</v>
      </c>
      <c r="F735" s="2" t="s">
        <v>98</v>
      </c>
      <c r="G735" s="2" t="s">
        <v>36</v>
      </c>
      <c r="H735" s="2">
        <v>1</v>
      </c>
      <c r="I735" s="2" t="s">
        <v>17</v>
      </c>
      <c r="J735" s="2" t="str">
        <f>VLOOKUP(E735,[1]LL_Hub!$A$1:$B$13,2,FALSE)</f>
        <v>Miami</v>
      </c>
      <c r="K735" t="str">
        <f>VLOOKUP(D735,'[2]product Table data'!$A$2:$B$12,2,FALSE)</f>
        <v>Female</v>
      </c>
      <c r="L735" t="str">
        <f>VLOOKUP($D735,'[2]product Table data'!$A$2:$G$12,L$1,FALSE)</f>
        <v>Fancy Sheek</v>
      </c>
      <c r="M735" t="str">
        <f>VLOOKUP($D735,'[2]product Table data'!$A$2:$G$12,M$1,FALSE)</f>
        <v>Iran</v>
      </c>
      <c r="N735" t="str">
        <f>VLOOKUP($D735,'[2]product Table data'!$A$2:$G$12,N$1,FALSE)</f>
        <v>Middle East</v>
      </c>
      <c r="O735">
        <f>VLOOKUP($D735,'[2]product Table data'!$A$2:$G$12,O$1,FALSE)</f>
        <v>75</v>
      </c>
      <c r="P735">
        <f>VLOOKUP($D735,'[2]product Table data'!$A$2:$G$12,P$1,FALSE)</f>
        <v>125</v>
      </c>
      <c r="Q735">
        <f t="shared" si="55"/>
        <v>50</v>
      </c>
      <c r="R735" t="str">
        <f t="shared" si="56"/>
        <v>-</v>
      </c>
      <c r="S735" t="str">
        <f t="shared" si="57"/>
        <v>Style Risk</v>
      </c>
      <c r="T735" t="str">
        <f t="shared" si="58"/>
        <v>-</v>
      </c>
      <c r="U735" t="str">
        <f t="shared" si="59"/>
        <v>High Value</v>
      </c>
    </row>
    <row r="736" spans="1:21" hidden="1" x14ac:dyDescent="0.2">
      <c r="A736" s="2">
        <v>504</v>
      </c>
      <c r="B736" s="2" t="s">
        <v>9</v>
      </c>
      <c r="C736" s="2" t="s">
        <v>1103</v>
      </c>
      <c r="D736" s="2" t="s">
        <v>604</v>
      </c>
      <c r="E736" s="2">
        <v>33159</v>
      </c>
      <c r="F736" s="2" t="s">
        <v>98</v>
      </c>
      <c r="G736" s="2" t="s">
        <v>36</v>
      </c>
      <c r="H736" s="2">
        <v>1</v>
      </c>
      <c r="I736" s="2" t="s">
        <v>17</v>
      </c>
      <c r="J736" s="2" t="str">
        <f>VLOOKUP(E736,[1]LL_Hub!$A$1:$B$13,2,FALSE)</f>
        <v>Miami</v>
      </c>
      <c r="K736" t="str">
        <f>VLOOKUP(D736,'[2]product Table data'!$A$2:$B$12,2,FALSE)</f>
        <v>Female</v>
      </c>
      <c r="L736" t="str">
        <f>VLOOKUP($D736,'[2]product Table data'!$A$2:$G$12,L$1,FALSE)</f>
        <v>Fancy Sheek</v>
      </c>
      <c r="M736" t="str">
        <f>VLOOKUP($D736,'[2]product Table data'!$A$2:$G$12,M$1,FALSE)</f>
        <v>Iran</v>
      </c>
      <c r="N736" t="str">
        <f>VLOOKUP($D736,'[2]product Table data'!$A$2:$G$12,N$1,FALSE)</f>
        <v>Middle East</v>
      </c>
      <c r="O736">
        <f>VLOOKUP($D736,'[2]product Table data'!$A$2:$G$12,O$1,FALSE)</f>
        <v>75</v>
      </c>
      <c r="P736">
        <f>VLOOKUP($D736,'[2]product Table data'!$A$2:$G$12,P$1,FALSE)</f>
        <v>125</v>
      </c>
      <c r="Q736">
        <f t="shared" si="55"/>
        <v>50</v>
      </c>
      <c r="R736" t="str">
        <f t="shared" si="56"/>
        <v>-</v>
      </c>
      <c r="S736" t="str">
        <f t="shared" si="57"/>
        <v>Style Risk</v>
      </c>
      <c r="T736" t="str">
        <f t="shared" si="58"/>
        <v>-</v>
      </c>
      <c r="U736" t="str">
        <f t="shared" si="59"/>
        <v>High Value</v>
      </c>
    </row>
    <row r="737" spans="1:21" hidden="1" x14ac:dyDescent="0.2">
      <c r="A737" s="2">
        <v>505</v>
      </c>
      <c r="B737" s="2" t="s">
        <v>9</v>
      </c>
      <c r="C737" s="2" t="s">
        <v>1104</v>
      </c>
      <c r="D737" s="2" t="s">
        <v>604</v>
      </c>
      <c r="E737" s="2">
        <v>33159</v>
      </c>
      <c r="F737" s="2" t="s">
        <v>98</v>
      </c>
      <c r="G737" s="2" t="s">
        <v>36</v>
      </c>
      <c r="H737" s="2">
        <v>1</v>
      </c>
      <c r="I737" s="2" t="s">
        <v>17</v>
      </c>
      <c r="J737" s="2" t="str">
        <f>VLOOKUP(E737,[1]LL_Hub!$A$1:$B$13,2,FALSE)</f>
        <v>Miami</v>
      </c>
      <c r="K737" t="str">
        <f>VLOOKUP(D737,'[2]product Table data'!$A$2:$B$12,2,FALSE)</f>
        <v>Female</v>
      </c>
      <c r="L737" t="str">
        <f>VLOOKUP($D737,'[2]product Table data'!$A$2:$G$12,L$1,FALSE)</f>
        <v>Fancy Sheek</v>
      </c>
      <c r="M737" t="str">
        <f>VLOOKUP($D737,'[2]product Table data'!$A$2:$G$12,M$1,FALSE)</f>
        <v>Iran</v>
      </c>
      <c r="N737" t="str">
        <f>VLOOKUP($D737,'[2]product Table data'!$A$2:$G$12,N$1,FALSE)</f>
        <v>Middle East</v>
      </c>
      <c r="O737">
        <f>VLOOKUP($D737,'[2]product Table data'!$A$2:$G$12,O$1,FALSE)</f>
        <v>75</v>
      </c>
      <c r="P737">
        <f>VLOOKUP($D737,'[2]product Table data'!$A$2:$G$12,P$1,FALSE)</f>
        <v>125</v>
      </c>
      <c r="Q737">
        <f t="shared" si="55"/>
        <v>50</v>
      </c>
      <c r="R737" t="str">
        <f t="shared" si="56"/>
        <v>-</v>
      </c>
      <c r="S737" t="str">
        <f t="shared" si="57"/>
        <v>Style Risk</v>
      </c>
      <c r="T737" t="str">
        <f t="shared" si="58"/>
        <v>-</v>
      </c>
      <c r="U737" t="str">
        <f t="shared" si="59"/>
        <v>High Value</v>
      </c>
    </row>
    <row r="738" spans="1:21" hidden="1" x14ac:dyDescent="0.2">
      <c r="A738" s="2">
        <v>506</v>
      </c>
      <c r="B738" s="2" t="s">
        <v>9</v>
      </c>
      <c r="C738" s="2" t="s">
        <v>1105</v>
      </c>
      <c r="D738" s="2" t="s">
        <v>604</v>
      </c>
      <c r="E738" s="2">
        <v>33159</v>
      </c>
      <c r="F738" s="2" t="s">
        <v>1106</v>
      </c>
      <c r="G738" s="2" t="s">
        <v>13</v>
      </c>
      <c r="H738" s="2">
        <v>1</v>
      </c>
      <c r="I738" s="2" t="s">
        <v>17</v>
      </c>
      <c r="J738" s="2" t="str">
        <f>VLOOKUP(E738,[1]LL_Hub!$A$1:$B$13,2,FALSE)</f>
        <v>Miami</v>
      </c>
      <c r="K738" t="str">
        <f>VLOOKUP(D738,'[2]product Table data'!$A$2:$B$12,2,FALSE)</f>
        <v>Female</v>
      </c>
      <c r="L738" t="str">
        <f>VLOOKUP($D738,'[2]product Table data'!$A$2:$G$12,L$1,FALSE)</f>
        <v>Fancy Sheek</v>
      </c>
      <c r="M738" t="str">
        <f>VLOOKUP($D738,'[2]product Table data'!$A$2:$G$12,M$1,FALSE)</f>
        <v>Iran</v>
      </c>
      <c r="N738" t="str">
        <f>VLOOKUP($D738,'[2]product Table data'!$A$2:$G$12,N$1,FALSE)</f>
        <v>Middle East</v>
      </c>
      <c r="O738">
        <f>VLOOKUP($D738,'[2]product Table data'!$A$2:$G$12,O$1,FALSE)</f>
        <v>75</v>
      </c>
      <c r="P738">
        <f>VLOOKUP($D738,'[2]product Table data'!$A$2:$G$12,P$1,FALSE)</f>
        <v>125</v>
      </c>
      <c r="Q738">
        <f t="shared" si="55"/>
        <v>50</v>
      </c>
      <c r="R738" t="str">
        <f t="shared" si="56"/>
        <v>-</v>
      </c>
      <c r="S738" t="str">
        <f t="shared" si="57"/>
        <v>Style Risk</v>
      </c>
      <c r="T738" t="str">
        <f t="shared" si="58"/>
        <v>-</v>
      </c>
      <c r="U738" t="str">
        <f t="shared" si="59"/>
        <v>High Value</v>
      </c>
    </row>
    <row r="739" spans="1:21" hidden="1" x14ac:dyDescent="0.2">
      <c r="A739" s="2">
        <v>507</v>
      </c>
      <c r="B739" s="2" t="s">
        <v>9</v>
      </c>
      <c r="C739" s="2" t="s">
        <v>1107</v>
      </c>
      <c r="D739" s="2" t="s">
        <v>604</v>
      </c>
      <c r="E739" s="2">
        <v>33159</v>
      </c>
      <c r="F739" s="2" t="s">
        <v>1108</v>
      </c>
      <c r="G739" s="2" t="s">
        <v>13</v>
      </c>
      <c r="H739" s="2">
        <v>1</v>
      </c>
      <c r="I739" s="2" t="s">
        <v>17</v>
      </c>
      <c r="J739" s="2" t="str">
        <f>VLOOKUP(E739,[1]LL_Hub!$A$1:$B$13,2,FALSE)</f>
        <v>Miami</v>
      </c>
      <c r="K739" t="str">
        <f>VLOOKUP(D739,'[2]product Table data'!$A$2:$B$12,2,FALSE)</f>
        <v>Female</v>
      </c>
      <c r="L739" t="str">
        <f>VLOOKUP($D739,'[2]product Table data'!$A$2:$G$12,L$1,FALSE)</f>
        <v>Fancy Sheek</v>
      </c>
      <c r="M739" t="str">
        <f>VLOOKUP($D739,'[2]product Table data'!$A$2:$G$12,M$1,FALSE)</f>
        <v>Iran</v>
      </c>
      <c r="N739" t="str">
        <f>VLOOKUP($D739,'[2]product Table data'!$A$2:$G$12,N$1,FALSE)</f>
        <v>Middle East</v>
      </c>
      <c r="O739">
        <f>VLOOKUP($D739,'[2]product Table data'!$A$2:$G$12,O$1,FALSE)</f>
        <v>75</v>
      </c>
      <c r="P739">
        <f>VLOOKUP($D739,'[2]product Table data'!$A$2:$G$12,P$1,FALSE)</f>
        <v>125</v>
      </c>
      <c r="Q739">
        <f t="shared" si="55"/>
        <v>50</v>
      </c>
      <c r="R739" t="str">
        <f t="shared" si="56"/>
        <v>-</v>
      </c>
      <c r="S739" t="str">
        <f t="shared" si="57"/>
        <v>Style Risk</v>
      </c>
      <c r="T739" t="str">
        <f t="shared" si="58"/>
        <v>-</v>
      </c>
      <c r="U739" t="str">
        <f t="shared" si="59"/>
        <v>High Value</v>
      </c>
    </row>
    <row r="740" spans="1:21" hidden="1" x14ac:dyDescent="0.2">
      <c r="A740" s="2">
        <v>508</v>
      </c>
      <c r="B740" s="2" t="s">
        <v>9</v>
      </c>
      <c r="C740" s="2" t="s">
        <v>1109</v>
      </c>
      <c r="D740" s="2" t="s">
        <v>604</v>
      </c>
      <c r="E740" s="2">
        <v>33159</v>
      </c>
      <c r="F740" s="2" t="s">
        <v>1110</v>
      </c>
      <c r="G740" s="2" t="s">
        <v>13</v>
      </c>
      <c r="H740" s="2">
        <v>1</v>
      </c>
      <c r="I740" s="2" t="s">
        <v>17</v>
      </c>
      <c r="J740" s="2" t="str">
        <f>VLOOKUP(E740,[1]LL_Hub!$A$1:$B$13,2,FALSE)</f>
        <v>Miami</v>
      </c>
      <c r="K740" t="str">
        <f>VLOOKUP(D740,'[2]product Table data'!$A$2:$B$12,2,FALSE)</f>
        <v>Female</v>
      </c>
      <c r="L740" t="str">
        <f>VLOOKUP($D740,'[2]product Table data'!$A$2:$G$12,L$1,FALSE)</f>
        <v>Fancy Sheek</v>
      </c>
      <c r="M740" t="str">
        <f>VLOOKUP($D740,'[2]product Table data'!$A$2:$G$12,M$1,FALSE)</f>
        <v>Iran</v>
      </c>
      <c r="N740" t="str">
        <f>VLOOKUP($D740,'[2]product Table data'!$A$2:$G$12,N$1,FALSE)</f>
        <v>Middle East</v>
      </c>
      <c r="O740">
        <f>VLOOKUP($D740,'[2]product Table data'!$A$2:$G$12,O$1,FALSE)</f>
        <v>75</v>
      </c>
      <c r="P740">
        <f>VLOOKUP($D740,'[2]product Table data'!$A$2:$G$12,P$1,FALSE)</f>
        <v>125</v>
      </c>
      <c r="Q740">
        <f t="shared" si="55"/>
        <v>50</v>
      </c>
      <c r="R740" t="str">
        <f t="shared" si="56"/>
        <v>-</v>
      </c>
      <c r="S740" t="str">
        <f t="shared" si="57"/>
        <v>Style Risk</v>
      </c>
      <c r="T740" t="str">
        <f t="shared" si="58"/>
        <v>-</v>
      </c>
      <c r="U740" t="str">
        <f t="shared" si="59"/>
        <v>High Value</v>
      </c>
    </row>
    <row r="741" spans="1:21" hidden="1" x14ac:dyDescent="0.2">
      <c r="A741" s="2">
        <v>509</v>
      </c>
      <c r="B741" s="2" t="s">
        <v>9</v>
      </c>
      <c r="C741" s="2" t="s">
        <v>1111</v>
      </c>
      <c r="D741" s="2" t="s">
        <v>604</v>
      </c>
      <c r="E741" s="2">
        <v>33159</v>
      </c>
      <c r="F741" s="2" t="s">
        <v>98</v>
      </c>
      <c r="G741" s="2" t="s">
        <v>36</v>
      </c>
      <c r="H741" s="2">
        <v>1</v>
      </c>
      <c r="I741" s="2" t="s">
        <v>17</v>
      </c>
      <c r="J741" s="2" t="str">
        <f>VLOOKUP(E741,[1]LL_Hub!$A$1:$B$13,2,FALSE)</f>
        <v>Miami</v>
      </c>
      <c r="K741" t="str">
        <f>VLOOKUP(D741,'[2]product Table data'!$A$2:$B$12,2,FALSE)</f>
        <v>Female</v>
      </c>
      <c r="L741" t="str">
        <f>VLOOKUP($D741,'[2]product Table data'!$A$2:$G$12,L$1,FALSE)</f>
        <v>Fancy Sheek</v>
      </c>
      <c r="M741" t="str">
        <f>VLOOKUP($D741,'[2]product Table data'!$A$2:$G$12,M$1,FALSE)</f>
        <v>Iran</v>
      </c>
      <c r="N741" t="str">
        <f>VLOOKUP($D741,'[2]product Table data'!$A$2:$G$12,N$1,FALSE)</f>
        <v>Middle East</v>
      </c>
      <c r="O741">
        <f>VLOOKUP($D741,'[2]product Table data'!$A$2:$G$12,O$1,FALSE)</f>
        <v>75</v>
      </c>
      <c r="P741">
        <f>VLOOKUP($D741,'[2]product Table data'!$A$2:$G$12,P$1,FALSE)</f>
        <v>125</v>
      </c>
      <c r="Q741">
        <f t="shared" si="55"/>
        <v>50</v>
      </c>
      <c r="R741" t="str">
        <f t="shared" si="56"/>
        <v>-</v>
      </c>
      <c r="S741" t="str">
        <f t="shared" si="57"/>
        <v>Style Risk</v>
      </c>
      <c r="T741" t="str">
        <f t="shared" si="58"/>
        <v>-</v>
      </c>
      <c r="U741" t="str">
        <f t="shared" si="59"/>
        <v>High Value</v>
      </c>
    </row>
    <row r="742" spans="1:21" hidden="1" x14ac:dyDescent="0.2">
      <c r="A742" s="2">
        <v>513</v>
      </c>
      <c r="B742" s="2" t="s">
        <v>9</v>
      </c>
      <c r="C742" s="2" t="s">
        <v>1112</v>
      </c>
      <c r="D742" s="2" t="s">
        <v>604</v>
      </c>
      <c r="E742" s="2">
        <v>33159</v>
      </c>
      <c r="F742" s="2" t="s">
        <v>98</v>
      </c>
      <c r="G742" s="2" t="s">
        <v>36</v>
      </c>
      <c r="H742" s="2">
        <v>1</v>
      </c>
      <c r="I742" s="2" t="s">
        <v>17</v>
      </c>
      <c r="J742" s="2" t="str">
        <f>VLOOKUP(E742,[1]LL_Hub!$A$1:$B$13,2,FALSE)</f>
        <v>Miami</v>
      </c>
      <c r="K742" t="str">
        <f>VLOOKUP(D742,'[2]product Table data'!$A$2:$B$12,2,FALSE)</f>
        <v>Female</v>
      </c>
      <c r="L742" t="str">
        <f>VLOOKUP($D742,'[2]product Table data'!$A$2:$G$12,L$1,FALSE)</f>
        <v>Fancy Sheek</v>
      </c>
      <c r="M742" t="str">
        <f>VLOOKUP($D742,'[2]product Table data'!$A$2:$G$12,M$1,FALSE)</f>
        <v>Iran</v>
      </c>
      <c r="N742" t="str">
        <f>VLOOKUP($D742,'[2]product Table data'!$A$2:$G$12,N$1,FALSE)</f>
        <v>Middle East</v>
      </c>
      <c r="O742">
        <f>VLOOKUP($D742,'[2]product Table data'!$A$2:$G$12,O$1,FALSE)</f>
        <v>75</v>
      </c>
      <c r="P742">
        <f>VLOOKUP($D742,'[2]product Table data'!$A$2:$G$12,P$1,FALSE)</f>
        <v>125</v>
      </c>
      <c r="Q742">
        <f t="shared" si="55"/>
        <v>50</v>
      </c>
      <c r="R742" t="str">
        <f t="shared" si="56"/>
        <v>-</v>
      </c>
      <c r="S742" t="str">
        <f t="shared" si="57"/>
        <v>Style Risk</v>
      </c>
      <c r="T742" t="str">
        <f t="shared" si="58"/>
        <v>-</v>
      </c>
      <c r="U742" t="str">
        <f t="shared" si="59"/>
        <v>High Value</v>
      </c>
    </row>
    <row r="743" spans="1:21" x14ac:dyDescent="0.2">
      <c r="A743" s="2">
        <v>448</v>
      </c>
      <c r="B743" s="2" t="s">
        <v>9</v>
      </c>
      <c r="C743" s="2" t="s">
        <v>1050</v>
      </c>
      <c r="D743" s="2" t="s">
        <v>604</v>
      </c>
      <c r="E743" s="2">
        <v>33101</v>
      </c>
      <c r="F743" s="2" t="s">
        <v>98</v>
      </c>
      <c r="G743" s="2" t="s">
        <v>36</v>
      </c>
      <c r="H743" s="2">
        <v>1</v>
      </c>
      <c r="I743" s="2" t="s">
        <v>14</v>
      </c>
      <c r="J743" s="2" t="str">
        <f>VLOOKUP(E743,[1]LL_Hub!$A$1:$B$13,2,FALSE)</f>
        <v>Miami</v>
      </c>
      <c r="K743" t="str">
        <f>VLOOKUP(D743,'[2]product Table data'!$A$2:$B$12,2,FALSE)</f>
        <v>Female</v>
      </c>
      <c r="L743" t="str">
        <f>VLOOKUP($D743,'[2]product Table data'!$A$2:$G$12,L$1,FALSE)</f>
        <v>Fancy Sheek</v>
      </c>
      <c r="M743" t="str">
        <f>VLOOKUP($D743,'[2]product Table data'!$A$2:$G$12,M$1,FALSE)</f>
        <v>Iran</v>
      </c>
      <c r="N743" t="str">
        <f>VLOOKUP($D743,'[2]product Table data'!$A$2:$G$12,N$1,FALSE)</f>
        <v>Middle East</v>
      </c>
      <c r="O743">
        <f>VLOOKUP($D743,'[2]product Table data'!$A$2:$G$12,O$1,FALSE)</f>
        <v>75</v>
      </c>
      <c r="P743">
        <f>VLOOKUP($D743,'[2]product Table data'!$A$2:$G$12,P$1,FALSE)</f>
        <v>125</v>
      </c>
      <c r="Q743">
        <f t="shared" si="55"/>
        <v>50</v>
      </c>
      <c r="R743" t="str">
        <f t="shared" si="56"/>
        <v>-</v>
      </c>
      <c r="S743" t="str">
        <f t="shared" si="57"/>
        <v>Style Risk</v>
      </c>
      <c r="T743" t="str">
        <f t="shared" si="58"/>
        <v>-</v>
      </c>
      <c r="U743" t="str">
        <f t="shared" si="59"/>
        <v>High Value</v>
      </c>
    </row>
    <row r="744" spans="1:21" x14ac:dyDescent="0.2">
      <c r="A744" s="2">
        <v>449</v>
      </c>
      <c r="B744" s="2" t="s">
        <v>9</v>
      </c>
      <c r="C744" s="2" t="s">
        <v>1051</v>
      </c>
      <c r="D744" s="2" t="s">
        <v>604</v>
      </c>
      <c r="E744" s="2">
        <v>33101</v>
      </c>
      <c r="F744" s="2" t="s">
        <v>98</v>
      </c>
      <c r="G744" s="2" t="s">
        <v>36</v>
      </c>
      <c r="H744" s="2">
        <v>1</v>
      </c>
      <c r="I744" s="2" t="s">
        <v>14</v>
      </c>
      <c r="J744" s="2" t="str">
        <f>VLOOKUP(E744,[1]LL_Hub!$A$1:$B$13,2,FALSE)</f>
        <v>Miami</v>
      </c>
      <c r="K744" t="str">
        <f>VLOOKUP(D744,'[2]product Table data'!$A$2:$B$12,2,FALSE)</f>
        <v>Female</v>
      </c>
      <c r="L744" t="str">
        <f>VLOOKUP($D744,'[2]product Table data'!$A$2:$G$12,L$1,FALSE)</f>
        <v>Fancy Sheek</v>
      </c>
      <c r="M744" t="str">
        <f>VLOOKUP($D744,'[2]product Table data'!$A$2:$G$12,M$1,FALSE)</f>
        <v>Iran</v>
      </c>
      <c r="N744" t="str">
        <f>VLOOKUP($D744,'[2]product Table data'!$A$2:$G$12,N$1,FALSE)</f>
        <v>Middle East</v>
      </c>
      <c r="O744">
        <f>VLOOKUP($D744,'[2]product Table data'!$A$2:$G$12,O$1,FALSE)</f>
        <v>75</v>
      </c>
      <c r="P744">
        <f>VLOOKUP($D744,'[2]product Table data'!$A$2:$G$12,P$1,FALSE)</f>
        <v>125</v>
      </c>
      <c r="Q744">
        <f t="shared" si="55"/>
        <v>50</v>
      </c>
      <c r="R744" t="str">
        <f t="shared" si="56"/>
        <v>-</v>
      </c>
      <c r="S744" t="str">
        <f t="shared" si="57"/>
        <v>Style Risk</v>
      </c>
      <c r="T744" t="str">
        <f t="shared" si="58"/>
        <v>-</v>
      </c>
      <c r="U744" t="str">
        <f t="shared" si="59"/>
        <v>High Value</v>
      </c>
    </row>
    <row r="745" spans="1:21" hidden="1" x14ac:dyDescent="0.2">
      <c r="A745" s="2">
        <v>517</v>
      </c>
      <c r="B745" s="2" t="s">
        <v>9</v>
      </c>
      <c r="C745" s="2" t="s">
        <v>1117</v>
      </c>
      <c r="D745" s="2" t="s">
        <v>604</v>
      </c>
      <c r="E745" s="2">
        <v>33159</v>
      </c>
      <c r="F745" s="2" t="s">
        <v>98</v>
      </c>
      <c r="G745" s="2" t="s">
        <v>36</v>
      </c>
      <c r="H745" s="2">
        <v>1</v>
      </c>
      <c r="I745" s="2" t="s">
        <v>17</v>
      </c>
      <c r="J745" s="2" t="str">
        <f>VLOOKUP(E745,[1]LL_Hub!$A$1:$B$13,2,FALSE)</f>
        <v>Miami</v>
      </c>
      <c r="K745" t="str">
        <f>VLOOKUP(D745,'[2]product Table data'!$A$2:$B$12,2,FALSE)</f>
        <v>Female</v>
      </c>
      <c r="L745" t="str">
        <f>VLOOKUP($D745,'[2]product Table data'!$A$2:$G$12,L$1,FALSE)</f>
        <v>Fancy Sheek</v>
      </c>
      <c r="M745" t="str">
        <f>VLOOKUP($D745,'[2]product Table data'!$A$2:$G$12,M$1,FALSE)</f>
        <v>Iran</v>
      </c>
      <c r="N745" t="str">
        <f>VLOOKUP($D745,'[2]product Table data'!$A$2:$G$12,N$1,FALSE)</f>
        <v>Middle East</v>
      </c>
      <c r="O745">
        <f>VLOOKUP($D745,'[2]product Table data'!$A$2:$G$12,O$1,FALSE)</f>
        <v>75</v>
      </c>
      <c r="P745">
        <f>VLOOKUP($D745,'[2]product Table data'!$A$2:$G$12,P$1,FALSE)</f>
        <v>125</v>
      </c>
      <c r="Q745">
        <f t="shared" si="55"/>
        <v>50</v>
      </c>
      <c r="R745" t="str">
        <f t="shared" si="56"/>
        <v>-</v>
      </c>
      <c r="S745" t="str">
        <f t="shared" si="57"/>
        <v>Style Risk</v>
      </c>
      <c r="T745" t="str">
        <f t="shared" si="58"/>
        <v>-</v>
      </c>
      <c r="U745" t="str">
        <f t="shared" si="59"/>
        <v>High Value</v>
      </c>
    </row>
    <row r="746" spans="1:21" hidden="1" x14ac:dyDescent="0.2">
      <c r="A746" s="2">
        <v>518</v>
      </c>
      <c r="B746" s="2" t="s">
        <v>9</v>
      </c>
      <c r="C746" s="2" t="s">
        <v>1118</v>
      </c>
      <c r="D746" s="2" t="s">
        <v>604</v>
      </c>
      <c r="E746" s="2">
        <v>33159</v>
      </c>
      <c r="F746" s="2" t="s">
        <v>98</v>
      </c>
      <c r="G746" s="2" t="s">
        <v>36</v>
      </c>
      <c r="H746" s="2">
        <v>1</v>
      </c>
      <c r="I746" s="2" t="s">
        <v>17</v>
      </c>
      <c r="J746" s="2" t="str">
        <f>VLOOKUP(E746,[1]LL_Hub!$A$1:$B$13,2,FALSE)</f>
        <v>Miami</v>
      </c>
      <c r="K746" t="str">
        <f>VLOOKUP(D746,'[2]product Table data'!$A$2:$B$12,2,FALSE)</f>
        <v>Female</v>
      </c>
      <c r="L746" t="str">
        <f>VLOOKUP($D746,'[2]product Table data'!$A$2:$G$12,L$1,FALSE)</f>
        <v>Fancy Sheek</v>
      </c>
      <c r="M746" t="str">
        <f>VLOOKUP($D746,'[2]product Table data'!$A$2:$G$12,M$1,FALSE)</f>
        <v>Iran</v>
      </c>
      <c r="N746" t="str">
        <f>VLOOKUP($D746,'[2]product Table data'!$A$2:$G$12,N$1,FALSE)</f>
        <v>Middle East</v>
      </c>
      <c r="O746">
        <f>VLOOKUP($D746,'[2]product Table data'!$A$2:$G$12,O$1,FALSE)</f>
        <v>75</v>
      </c>
      <c r="P746">
        <f>VLOOKUP($D746,'[2]product Table data'!$A$2:$G$12,P$1,FALSE)</f>
        <v>125</v>
      </c>
      <c r="Q746">
        <f t="shared" si="55"/>
        <v>50</v>
      </c>
      <c r="R746" t="str">
        <f t="shared" si="56"/>
        <v>-</v>
      </c>
      <c r="S746" t="str">
        <f t="shared" si="57"/>
        <v>Style Risk</v>
      </c>
      <c r="T746" t="str">
        <f t="shared" si="58"/>
        <v>-</v>
      </c>
      <c r="U746" t="str">
        <f t="shared" si="59"/>
        <v>High Value</v>
      </c>
    </row>
    <row r="747" spans="1:21" hidden="1" x14ac:dyDescent="0.2">
      <c r="A747" s="2">
        <v>519</v>
      </c>
      <c r="B747" s="2" t="s">
        <v>9</v>
      </c>
      <c r="C747" s="2" t="s">
        <v>1119</v>
      </c>
      <c r="D747" s="2" t="s">
        <v>604</v>
      </c>
      <c r="E747" s="2">
        <v>33159</v>
      </c>
      <c r="F747" s="2" t="s">
        <v>98</v>
      </c>
      <c r="G747" s="2" t="s">
        <v>36</v>
      </c>
      <c r="H747" s="2">
        <v>1</v>
      </c>
      <c r="I747" s="2" t="s">
        <v>17</v>
      </c>
      <c r="J747" s="2" t="str">
        <f>VLOOKUP(E747,[1]LL_Hub!$A$1:$B$13,2,FALSE)</f>
        <v>Miami</v>
      </c>
      <c r="K747" t="str">
        <f>VLOOKUP(D747,'[2]product Table data'!$A$2:$B$12,2,FALSE)</f>
        <v>Female</v>
      </c>
      <c r="L747" t="str">
        <f>VLOOKUP($D747,'[2]product Table data'!$A$2:$G$12,L$1,FALSE)</f>
        <v>Fancy Sheek</v>
      </c>
      <c r="M747" t="str">
        <f>VLOOKUP($D747,'[2]product Table data'!$A$2:$G$12,M$1,FALSE)</f>
        <v>Iran</v>
      </c>
      <c r="N747" t="str">
        <f>VLOOKUP($D747,'[2]product Table data'!$A$2:$G$12,N$1,FALSE)</f>
        <v>Middle East</v>
      </c>
      <c r="O747">
        <f>VLOOKUP($D747,'[2]product Table data'!$A$2:$G$12,O$1,FALSE)</f>
        <v>75</v>
      </c>
      <c r="P747">
        <f>VLOOKUP($D747,'[2]product Table data'!$A$2:$G$12,P$1,FALSE)</f>
        <v>125</v>
      </c>
      <c r="Q747">
        <f t="shared" si="55"/>
        <v>50</v>
      </c>
      <c r="R747" t="str">
        <f t="shared" si="56"/>
        <v>-</v>
      </c>
      <c r="S747" t="str">
        <f t="shared" si="57"/>
        <v>Style Risk</v>
      </c>
      <c r="T747" t="str">
        <f t="shared" si="58"/>
        <v>-</v>
      </c>
      <c r="U747" t="str">
        <f t="shared" si="59"/>
        <v>High Value</v>
      </c>
    </row>
    <row r="748" spans="1:21" hidden="1" x14ac:dyDescent="0.2">
      <c r="A748" s="2">
        <v>520</v>
      </c>
      <c r="B748" s="2" t="s">
        <v>9</v>
      </c>
      <c r="C748" s="2" t="s">
        <v>1120</v>
      </c>
      <c r="D748" s="2" t="s">
        <v>604</v>
      </c>
      <c r="E748" s="2">
        <v>33159</v>
      </c>
      <c r="F748" s="2" t="s">
        <v>98</v>
      </c>
      <c r="G748" s="2" t="s">
        <v>36</v>
      </c>
      <c r="H748" s="2">
        <v>1</v>
      </c>
      <c r="I748" s="2" t="s">
        <v>17</v>
      </c>
      <c r="J748" s="2" t="str">
        <f>VLOOKUP(E748,[1]LL_Hub!$A$1:$B$13,2,FALSE)</f>
        <v>Miami</v>
      </c>
      <c r="K748" t="str">
        <f>VLOOKUP(D748,'[2]product Table data'!$A$2:$B$12,2,FALSE)</f>
        <v>Female</v>
      </c>
      <c r="L748" t="str">
        <f>VLOOKUP($D748,'[2]product Table data'!$A$2:$G$12,L$1,FALSE)</f>
        <v>Fancy Sheek</v>
      </c>
      <c r="M748" t="str">
        <f>VLOOKUP($D748,'[2]product Table data'!$A$2:$G$12,M$1,FALSE)</f>
        <v>Iran</v>
      </c>
      <c r="N748" t="str">
        <f>VLOOKUP($D748,'[2]product Table data'!$A$2:$G$12,N$1,FALSE)</f>
        <v>Middle East</v>
      </c>
      <c r="O748">
        <f>VLOOKUP($D748,'[2]product Table data'!$A$2:$G$12,O$1,FALSE)</f>
        <v>75</v>
      </c>
      <c r="P748">
        <f>VLOOKUP($D748,'[2]product Table data'!$A$2:$G$12,P$1,FALSE)</f>
        <v>125</v>
      </c>
      <c r="Q748">
        <f t="shared" si="55"/>
        <v>50</v>
      </c>
      <c r="R748" t="str">
        <f t="shared" si="56"/>
        <v>-</v>
      </c>
      <c r="S748" t="str">
        <f t="shared" si="57"/>
        <v>Style Risk</v>
      </c>
      <c r="T748" t="str">
        <f t="shared" si="58"/>
        <v>-</v>
      </c>
      <c r="U748" t="str">
        <f t="shared" si="59"/>
        <v>High Value</v>
      </c>
    </row>
    <row r="749" spans="1:21" hidden="1" x14ac:dyDescent="0.2">
      <c r="A749" s="2">
        <v>521</v>
      </c>
      <c r="B749" s="2" t="s">
        <v>9</v>
      </c>
      <c r="C749" s="2" t="s">
        <v>1121</v>
      </c>
      <c r="D749" s="2" t="s">
        <v>604</v>
      </c>
      <c r="E749" s="2">
        <v>33159</v>
      </c>
      <c r="F749" s="2" t="s">
        <v>98</v>
      </c>
      <c r="G749" s="2" t="s">
        <v>36</v>
      </c>
      <c r="H749" s="2">
        <v>1</v>
      </c>
      <c r="I749" s="2" t="s">
        <v>17</v>
      </c>
      <c r="J749" s="2" t="str">
        <f>VLOOKUP(E749,[1]LL_Hub!$A$1:$B$13,2,FALSE)</f>
        <v>Miami</v>
      </c>
      <c r="K749" t="str">
        <f>VLOOKUP(D749,'[2]product Table data'!$A$2:$B$12,2,FALSE)</f>
        <v>Female</v>
      </c>
      <c r="L749" t="str">
        <f>VLOOKUP($D749,'[2]product Table data'!$A$2:$G$12,L$1,FALSE)</f>
        <v>Fancy Sheek</v>
      </c>
      <c r="M749" t="str">
        <f>VLOOKUP($D749,'[2]product Table data'!$A$2:$G$12,M$1,FALSE)</f>
        <v>Iran</v>
      </c>
      <c r="N749" t="str">
        <f>VLOOKUP($D749,'[2]product Table data'!$A$2:$G$12,N$1,FALSE)</f>
        <v>Middle East</v>
      </c>
      <c r="O749">
        <f>VLOOKUP($D749,'[2]product Table data'!$A$2:$G$12,O$1,FALSE)</f>
        <v>75</v>
      </c>
      <c r="P749">
        <f>VLOOKUP($D749,'[2]product Table data'!$A$2:$G$12,P$1,FALSE)</f>
        <v>125</v>
      </c>
      <c r="Q749">
        <f t="shared" si="55"/>
        <v>50</v>
      </c>
      <c r="R749" t="str">
        <f t="shared" si="56"/>
        <v>-</v>
      </c>
      <c r="S749" t="str">
        <f t="shared" si="57"/>
        <v>Style Risk</v>
      </c>
      <c r="T749" t="str">
        <f t="shared" si="58"/>
        <v>-</v>
      </c>
      <c r="U749" t="str">
        <f t="shared" si="59"/>
        <v>High Value</v>
      </c>
    </row>
    <row r="750" spans="1:21" hidden="1" x14ac:dyDescent="0.2">
      <c r="A750" s="2">
        <v>522</v>
      </c>
      <c r="B750" s="2" t="s">
        <v>9</v>
      </c>
      <c r="C750" s="2" t="s">
        <v>1122</v>
      </c>
      <c r="D750" s="2" t="s">
        <v>604</v>
      </c>
      <c r="E750" s="2">
        <v>33159</v>
      </c>
      <c r="F750" s="2" t="s">
        <v>98</v>
      </c>
      <c r="G750" s="2" t="s">
        <v>36</v>
      </c>
      <c r="H750" s="2">
        <v>1</v>
      </c>
      <c r="I750" s="2" t="s">
        <v>17</v>
      </c>
      <c r="J750" s="2" t="str">
        <f>VLOOKUP(E750,[1]LL_Hub!$A$1:$B$13,2,FALSE)</f>
        <v>Miami</v>
      </c>
      <c r="K750" t="str">
        <f>VLOOKUP(D750,'[2]product Table data'!$A$2:$B$12,2,FALSE)</f>
        <v>Female</v>
      </c>
      <c r="L750" t="str">
        <f>VLOOKUP($D750,'[2]product Table data'!$A$2:$G$12,L$1,FALSE)</f>
        <v>Fancy Sheek</v>
      </c>
      <c r="M750" t="str">
        <f>VLOOKUP($D750,'[2]product Table data'!$A$2:$G$12,M$1,FALSE)</f>
        <v>Iran</v>
      </c>
      <c r="N750" t="str">
        <f>VLOOKUP($D750,'[2]product Table data'!$A$2:$G$12,N$1,FALSE)</f>
        <v>Middle East</v>
      </c>
      <c r="O750">
        <f>VLOOKUP($D750,'[2]product Table data'!$A$2:$G$12,O$1,FALSE)</f>
        <v>75</v>
      </c>
      <c r="P750">
        <f>VLOOKUP($D750,'[2]product Table data'!$A$2:$G$12,P$1,FALSE)</f>
        <v>125</v>
      </c>
      <c r="Q750">
        <f t="shared" si="55"/>
        <v>50</v>
      </c>
      <c r="R750" t="str">
        <f t="shared" si="56"/>
        <v>-</v>
      </c>
      <c r="S750" t="str">
        <f t="shared" si="57"/>
        <v>Style Risk</v>
      </c>
      <c r="T750" t="str">
        <f t="shared" si="58"/>
        <v>-</v>
      </c>
      <c r="U750" t="str">
        <f t="shared" si="59"/>
        <v>High Value</v>
      </c>
    </row>
    <row r="751" spans="1:21" hidden="1" x14ac:dyDescent="0.2">
      <c r="A751" s="2">
        <v>523</v>
      </c>
      <c r="B751" s="2" t="s">
        <v>9</v>
      </c>
      <c r="C751" s="2" t="s">
        <v>1123</v>
      </c>
      <c r="D751" s="2" t="s">
        <v>604</v>
      </c>
      <c r="E751" s="2">
        <v>33159</v>
      </c>
      <c r="F751" s="2" t="s">
        <v>98</v>
      </c>
      <c r="G751" s="2" t="s">
        <v>36</v>
      </c>
      <c r="H751" s="2">
        <v>1</v>
      </c>
      <c r="I751" s="2" t="s">
        <v>17</v>
      </c>
      <c r="J751" s="2" t="str">
        <f>VLOOKUP(E751,[1]LL_Hub!$A$1:$B$13,2,FALSE)</f>
        <v>Miami</v>
      </c>
      <c r="K751" t="str">
        <f>VLOOKUP(D751,'[2]product Table data'!$A$2:$B$12,2,FALSE)</f>
        <v>Female</v>
      </c>
      <c r="L751" t="str">
        <f>VLOOKUP($D751,'[2]product Table data'!$A$2:$G$12,L$1,FALSE)</f>
        <v>Fancy Sheek</v>
      </c>
      <c r="M751" t="str">
        <f>VLOOKUP($D751,'[2]product Table data'!$A$2:$G$12,M$1,FALSE)</f>
        <v>Iran</v>
      </c>
      <c r="N751" t="str">
        <f>VLOOKUP($D751,'[2]product Table data'!$A$2:$G$12,N$1,FALSE)</f>
        <v>Middle East</v>
      </c>
      <c r="O751">
        <f>VLOOKUP($D751,'[2]product Table data'!$A$2:$G$12,O$1,FALSE)</f>
        <v>75</v>
      </c>
      <c r="P751">
        <f>VLOOKUP($D751,'[2]product Table data'!$A$2:$G$12,P$1,FALSE)</f>
        <v>125</v>
      </c>
      <c r="Q751">
        <f t="shared" si="55"/>
        <v>50</v>
      </c>
      <c r="R751" t="str">
        <f t="shared" si="56"/>
        <v>-</v>
      </c>
      <c r="S751" t="str">
        <f t="shared" si="57"/>
        <v>Style Risk</v>
      </c>
      <c r="T751" t="str">
        <f t="shared" si="58"/>
        <v>-</v>
      </c>
      <c r="U751" t="str">
        <f t="shared" si="59"/>
        <v>High Value</v>
      </c>
    </row>
    <row r="752" spans="1:21" hidden="1" x14ac:dyDescent="0.2">
      <c r="A752" s="2">
        <v>524</v>
      </c>
      <c r="B752" s="2" t="s">
        <v>9</v>
      </c>
      <c r="C752" s="2" t="s">
        <v>1124</v>
      </c>
      <c r="D752" s="2" t="s">
        <v>604</v>
      </c>
      <c r="E752" s="2">
        <v>33159</v>
      </c>
      <c r="F752" s="2" t="s">
        <v>98</v>
      </c>
      <c r="G752" s="2" t="s">
        <v>36</v>
      </c>
      <c r="H752" s="2">
        <v>1</v>
      </c>
      <c r="I752" s="2" t="s">
        <v>17</v>
      </c>
      <c r="J752" s="2" t="str">
        <f>VLOOKUP(E752,[1]LL_Hub!$A$1:$B$13,2,FALSE)</f>
        <v>Miami</v>
      </c>
      <c r="K752" t="str">
        <f>VLOOKUP(D752,'[2]product Table data'!$A$2:$B$12,2,FALSE)</f>
        <v>Female</v>
      </c>
      <c r="L752" t="str">
        <f>VLOOKUP($D752,'[2]product Table data'!$A$2:$G$12,L$1,FALSE)</f>
        <v>Fancy Sheek</v>
      </c>
      <c r="M752" t="str">
        <f>VLOOKUP($D752,'[2]product Table data'!$A$2:$G$12,M$1,FALSE)</f>
        <v>Iran</v>
      </c>
      <c r="N752" t="str">
        <f>VLOOKUP($D752,'[2]product Table data'!$A$2:$G$12,N$1,FALSE)</f>
        <v>Middle East</v>
      </c>
      <c r="O752">
        <f>VLOOKUP($D752,'[2]product Table data'!$A$2:$G$12,O$1,FALSE)</f>
        <v>75</v>
      </c>
      <c r="P752">
        <f>VLOOKUP($D752,'[2]product Table data'!$A$2:$G$12,P$1,FALSE)</f>
        <v>125</v>
      </c>
      <c r="Q752">
        <f t="shared" si="55"/>
        <v>50</v>
      </c>
      <c r="R752" t="str">
        <f t="shared" si="56"/>
        <v>-</v>
      </c>
      <c r="S752" t="str">
        <f t="shared" si="57"/>
        <v>Style Risk</v>
      </c>
      <c r="T752" t="str">
        <f t="shared" si="58"/>
        <v>-</v>
      </c>
      <c r="U752" t="str">
        <f t="shared" si="59"/>
        <v>High Value</v>
      </c>
    </row>
    <row r="753" spans="1:21" hidden="1" x14ac:dyDescent="0.2">
      <c r="A753" s="2">
        <v>525</v>
      </c>
      <c r="B753" s="2" t="s">
        <v>9</v>
      </c>
      <c r="C753" s="2" t="s">
        <v>1125</v>
      </c>
      <c r="D753" s="2" t="s">
        <v>604</v>
      </c>
      <c r="E753" s="2">
        <v>33159</v>
      </c>
      <c r="F753" s="2" t="s">
        <v>98</v>
      </c>
      <c r="G753" s="2" t="s">
        <v>36</v>
      </c>
      <c r="H753" s="2">
        <v>1</v>
      </c>
      <c r="I753" s="2" t="s">
        <v>17</v>
      </c>
      <c r="J753" s="2" t="str">
        <f>VLOOKUP(E753,[1]LL_Hub!$A$1:$B$13,2,FALSE)</f>
        <v>Miami</v>
      </c>
      <c r="K753" t="str">
        <f>VLOOKUP(D753,'[2]product Table data'!$A$2:$B$12,2,FALSE)</f>
        <v>Female</v>
      </c>
      <c r="L753" t="str">
        <f>VLOOKUP($D753,'[2]product Table data'!$A$2:$G$12,L$1,FALSE)</f>
        <v>Fancy Sheek</v>
      </c>
      <c r="M753" t="str">
        <f>VLOOKUP($D753,'[2]product Table data'!$A$2:$G$12,M$1,FALSE)</f>
        <v>Iran</v>
      </c>
      <c r="N753" t="str">
        <f>VLOOKUP($D753,'[2]product Table data'!$A$2:$G$12,N$1,FALSE)</f>
        <v>Middle East</v>
      </c>
      <c r="O753">
        <f>VLOOKUP($D753,'[2]product Table data'!$A$2:$G$12,O$1,FALSE)</f>
        <v>75</v>
      </c>
      <c r="P753">
        <f>VLOOKUP($D753,'[2]product Table data'!$A$2:$G$12,P$1,FALSE)</f>
        <v>125</v>
      </c>
      <c r="Q753">
        <f t="shared" si="55"/>
        <v>50</v>
      </c>
      <c r="R753" t="str">
        <f t="shared" si="56"/>
        <v>-</v>
      </c>
      <c r="S753" t="str">
        <f t="shared" si="57"/>
        <v>Style Risk</v>
      </c>
      <c r="T753" t="str">
        <f t="shared" si="58"/>
        <v>-</v>
      </c>
      <c r="U753" t="str">
        <f t="shared" si="59"/>
        <v>High Value</v>
      </c>
    </row>
    <row r="754" spans="1:21" hidden="1" x14ac:dyDescent="0.2">
      <c r="A754" s="2">
        <v>526</v>
      </c>
      <c r="B754" s="2" t="s">
        <v>9</v>
      </c>
      <c r="C754" s="2" t="s">
        <v>1126</v>
      </c>
      <c r="D754" s="2" t="s">
        <v>604</v>
      </c>
      <c r="E754" s="2">
        <v>33159</v>
      </c>
      <c r="F754" s="2" t="s">
        <v>98</v>
      </c>
      <c r="G754" s="2" t="s">
        <v>36</v>
      </c>
      <c r="H754" s="2">
        <v>1</v>
      </c>
      <c r="I754" s="2" t="s">
        <v>17</v>
      </c>
      <c r="J754" s="2" t="str">
        <f>VLOOKUP(E754,[1]LL_Hub!$A$1:$B$13,2,FALSE)</f>
        <v>Miami</v>
      </c>
      <c r="K754" t="str">
        <f>VLOOKUP(D754,'[2]product Table data'!$A$2:$B$12,2,FALSE)</f>
        <v>Female</v>
      </c>
      <c r="L754" t="str">
        <f>VLOOKUP($D754,'[2]product Table data'!$A$2:$G$12,L$1,FALSE)</f>
        <v>Fancy Sheek</v>
      </c>
      <c r="M754" t="str">
        <f>VLOOKUP($D754,'[2]product Table data'!$A$2:$G$12,M$1,FALSE)</f>
        <v>Iran</v>
      </c>
      <c r="N754" t="str">
        <f>VLOOKUP($D754,'[2]product Table data'!$A$2:$G$12,N$1,FALSE)</f>
        <v>Middle East</v>
      </c>
      <c r="O754">
        <f>VLOOKUP($D754,'[2]product Table data'!$A$2:$G$12,O$1,FALSE)</f>
        <v>75</v>
      </c>
      <c r="P754">
        <f>VLOOKUP($D754,'[2]product Table data'!$A$2:$G$12,P$1,FALSE)</f>
        <v>125</v>
      </c>
      <c r="Q754">
        <f t="shared" si="55"/>
        <v>50</v>
      </c>
      <c r="R754" t="str">
        <f t="shared" si="56"/>
        <v>-</v>
      </c>
      <c r="S754" t="str">
        <f t="shared" si="57"/>
        <v>Style Risk</v>
      </c>
      <c r="T754" t="str">
        <f t="shared" si="58"/>
        <v>-</v>
      </c>
      <c r="U754" t="str">
        <f t="shared" si="59"/>
        <v>High Value</v>
      </c>
    </row>
    <row r="755" spans="1:21" hidden="1" x14ac:dyDescent="0.2">
      <c r="A755" s="2">
        <v>527</v>
      </c>
      <c r="B755" s="2" t="s">
        <v>9</v>
      </c>
      <c r="C755" s="2" t="s">
        <v>1127</v>
      </c>
      <c r="D755" s="2" t="s">
        <v>604</v>
      </c>
      <c r="E755" s="2">
        <v>33159</v>
      </c>
      <c r="F755" s="2" t="s">
        <v>98</v>
      </c>
      <c r="G755" s="2" t="s">
        <v>36</v>
      </c>
      <c r="H755" s="2">
        <v>1</v>
      </c>
      <c r="I755" s="2" t="s">
        <v>17</v>
      </c>
      <c r="J755" s="2" t="str">
        <f>VLOOKUP(E755,[1]LL_Hub!$A$1:$B$13,2,FALSE)</f>
        <v>Miami</v>
      </c>
      <c r="K755" t="str">
        <f>VLOOKUP(D755,'[2]product Table data'!$A$2:$B$12,2,FALSE)</f>
        <v>Female</v>
      </c>
      <c r="L755" t="str">
        <f>VLOOKUP($D755,'[2]product Table data'!$A$2:$G$12,L$1,FALSE)</f>
        <v>Fancy Sheek</v>
      </c>
      <c r="M755" t="str">
        <f>VLOOKUP($D755,'[2]product Table data'!$A$2:$G$12,M$1,FALSE)</f>
        <v>Iran</v>
      </c>
      <c r="N755" t="str">
        <f>VLOOKUP($D755,'[2]product Table data'!$A$2:$G$12,N$1,FALSE)</f>
        <v>Middle East</v>
      </c>
      <c r="O755">
        <f>VLOOKUP($D755,'[2]product Table data'!$A$2:$G$12,O$1,FALSE)</f>
        <v>75</v>
      </c>
      <c r="P755">
        <f>VLOOKUP($D755,'[2]product Table data'!$A$2:$G$12,P$1,FALSE)</f>
        <v>125</v>
      </c>
      <c r="Q755">
        <f t="shared" si="55"/>
        <v>50</v>
      </c>
      <c r="R755" t="str">
        <f t="shared" si="56"/>
        <v>-</v>
      </c>
      <c r="S755" t="str">
        <f t="shared" si="57"/>
        <v>Style Risk</v>
      </c>
      <c r="T755" t="str">
        <f t="shared" si="58"/>
        <v>-</v>
      </c>
      <c r="U755" t="str">
        <f t="shared" si="59"/>
        <v>High Value</v>
      </c>
    </row>
    <row r="756" spans="1:21" hidden="1" x14ac:dyDescent="0.2">
      <c r="A756" s="2">
        <v>528</v>
      </c>
      <c r="B756" s="2" t="s">
        <v>9</v>
      </c>
      <c r="C756" s="2" t="s">
        <v>1128</v>
      </c>
      <c r="D756" s="2" t="s">
        <v>604</v>
      </c>
      <c r="E756" s="2">
        <v>33159</v>
      </c>
      <c r="F756" s="2" t="s">
        <v>98</v>
      </c>
      <c r="G756" s="2" t="s">
        <v>36</v>
      </c>
      <c r="H756" s="2">
        <v>1</v>
      </c>
      <c r="I756" s="2" t="s">
        <v>17</v>
      </c>
      <c r="J756" s="2" t="str">
        <f>VLOOKUP(E756,[1]LL_Hub!$A$1:$B$13,2,FALSE)</f>
        <v>Miami</v>
      </c>
      <c r="K756" t="str">
        <f>VLOOKUP(D756,'[2]product Table data'!$A$2:$B$12,2,FALSE)</f>
        <v>Female</v>
      </c>
      <c r="L756" t="str">
        <f>VLOOKUP($D756,'[2]product Table data'!$A$2:$G$12,L$1,FALSE)</f>
        <v>Fancy Sheek</v>
      </c>
      <c r="M756" t="str">
        <f>VLOOKUP($D756,'[2]product Table data'!$A$2:$G$12,M$1,FALSE)</f>
        <v>Iran</v>
      </c>
      <c r="N756" t="str">
        <f>VLOOKUP($D756,'[2]product Table data'!$A$2:$G$12,N$1,FALSE)</f>
        <v>Middle East</v>
      </c>
      <c r="O756">
        <f>VLOOKUP($D756,'[2]product Table data'!$A$2:$G$12,O$1,FALSE)</f>
        <v>75</v>
      </c>
      <c r="P756">
        <f>VLOOKUP($D756,'[2]product Table data'!$A$2:$G$12,P$1,FALSE)</f>
        <v>125</v>
      </c>
      <c r="Q756">
        <f t="shared" si="55"/>
        <v>50</v>
      </c>
      <c r="R756" t="str">
        <f t="shared" si="56"/>
        <v>-</v>
      </c>
      <c r="S756" t="str">
        <f t="shared" si="57"/>
        <v>Style Risk</v>
      </c>
      <c r="T756" t="str">
        <f t="shared" si="58"/>
        <v>-</v>
      </c>
      <c r="U756" t="str">
        <f t="shared" si="59"/>
        <v>High Value</v>
      </c>
    </row>
    <row r="757" spans="1:21" hidden="1" x14ac:dyDescent="0.2">
      <c r="A757" s="2">
        <v>529</v>
      </c>
      <c r="B757" s="2" t="s">
        <v>9</v>
      </c>
      <c r="C757" s="2" t="s">
        <v>1129</v>
      </c>
      <c r="D757" s="2" t="s">
        <v>604</v>
      </c>
      <c r="E757" s="2">
        <v>33159</v>
      </c>
      <c r="F757" s="2" t="s">
        <v>1130</v>
      </c>
      <c r="G757" s="2" t="s">
        <v>13</v>
      </c>
      <c r="H757" s="2">
        <v>1</v>
      </c>
      <c r="I757" s="2" t="s">
        <v>17</v>
      </c>
      <c r="J757" s="2" t="str">
        <f>VLOOKUP(E757,[1]LL_Hub!$A$1:$B$13,2,FALSE)</f>
        <v>Miami</v>
      </c>
      <c r="K757" t="str">
        <f>VLOOKUP(D757,'[2]product Table data'!$A$2:$B$12,2,FALSE)</f>
        <v>Female</v>
      </c>
      <c r="L757" t="str">
        <f>VLOOKUP($D757,'[2]product Table data'!$A$2:$G$12,L$1,FALSE)</f>
        <v>Fancy Sheek</v>
      </c>
      <c r="M757" t="str">
        <f>VLOOKUP($D757,'[2]product Table data'!$A$2:$G$12,M$1,FALSE)</f>
        <v>Iran</v>
      </c>
      <c r="N757" t="str">
        <f>VLOOKUP($D757,'[2]product Table data'!$A$2:$G$12,N$1,FALSE)</f>
        <v>Middle East</v>
      </c>
      <c r="O757">
        <f>VLOOKUP($D757,'[2]product Table data'!$A$2:$G$12,O$1,FALSE)</f>
        <v>75</v>
      </c>
      <c r="P757">
        <f>VLOOKUP($D757,'[2]product Table data'!$A$2:$G$12,P$1,FALSE)</f>
        <v>125</v>
      </c>
      <c r="Q757">
        <f t="shared" si="55"/>
        <v>50</v>
      </c>
      <c r="R757" t="str">
        <f t="shared" si="56"/>
        <v>-</v>
      </c>
      <c r="S757" t="str">
        <f t="shared" si="57"/>
        <v>Style Risk</v>
      </c>
      <c r="T757" t="str">
        <f t="shared" si="58"/>
        <v>-</v>
      </c>
      <c r="U757" t="str">
        <f t="shared" si="59"/>
        <v>High Value</v>
      </c>
    </row>
    <row r="758" spans="1:21" hidden="1" x14ac:dyDescent="0.2">
      <c r="A758" s="2">
        <v>530</v>
      </c>
      <c r="B758" s="2" t="s">
        <v>9</v>
      </c>
      <c r="C758" s="2" t="s">
        <v>1131</v>
      </c>
      <c r="D758" s="2" t="s">
        <v>968</v>
      </c>
      <c r="E758" s="2">
        <v>33159</v>
      </c>
      <c r="F758" s="2" t="s">
        <v>1132</v>
      </c>
      <c r="G758" s="2" t="s">
        <v>13</v>
      </c>
      <c r="H758" s="2">
        <v>1</v>
      </c>
      <c r="I758" s="2" t="s">
        <v>17</v>
      </c>
      <c r="J758" s="2" t="str">
        <f>VLOOKUP(E758,[1]LL_Hub!$A$1:$B$13,2,FALSE)</f>
        <v>Miami</v>
      </c>
      <c r="K758" t="str">
        <f>VLOOKUP(D758,'[2]product Table data'!$A$2:$B$12,2,FALSE)</f>
        <v>Female</v>
      </c>
      <c r="L758" t="str">
        <f>VLOOKUP($D758,'[2]product Table data'!$A$2:$G$12,L$1,FALSE)</f>
        <v>Fancy Sheek</v>
      </c>
      <c r="M758" t="str">
        <f>VLOOKUP($D758,'[2]product Table data'!$A$2:$G$12,M$1,FALSE)</f>
        <v>Azerbaijan</v>
      </c>
      <c r="N758" t="str">
        <f>VLOOKUP($D758,'[2]product Table data'!$A$2:$G$12,N$1,FALSE)</f>
        <v>Middle East</v>
      </c>
      <c r="O758">
        <f>VLOOKUP($D758,'[2]product Table data'!$A$2:$G$12,O$1,FALSE)</f>
        <v>1200</v>
      </c>
      <c r="P758">
        <f>VLOOKUP($D758,'[2]product Table data'!$A$2:$G$12,P$1,FALSE)</f>
        <v>2000</v>
      </c>
      <c r="Q758">
        <f t="shared" si="55"/>
        <v>800</v>
      </c>
      <c r="R758" t="str">
        <f t="shared" si="56"/>
        <v>-</v>
      </c>
      <c r="S758" t="str">
        <f t="shared" si="57"/>
        <v>Style Risk</v>
      </c>
      <c r="T758" t="str">
        <f t="shared" si="58"/>
        <v>-</v>
      </c>
      <c r="U758" t="str">
        <f t="shared" si="59"/>
        <v>High Value</v>
      </c>
    </row>
    <row r="759" spans="1:21" hidden="1" x14ac:dyDescent="0.2">
      <c r="A759" s="2">
        <v>531</v>
      </c>
      <c r="B759" s="2" t="s">
        <v>9</v>
      </c>
      <c r="C759" s="2" t="s">
        <v>1133</v>
      </c>
      <c r="D759" s="2" t="s">
        <v>604</v>
      </c>
      <c r="E759" s="2">
        <v>33159</v>
      </c>
      <c r="F759" s="2" t="s">
        <v>98</v>
      </c>
      <c r="G759" s="2" t="s">
        <v>36</v>
      </c>
      <c r="H759" s="2">
        <v>1</v>
      </c>
      <c r="I759" s="2" t="s">
        <v>17</v>
      </c>
      <c r="J759" s="2" t="str">
        <f>VLOOKUP(E759,[1]LL_Hub!$A$1:$B$13,2,FALSE)</f>
        <v>Miami</v>
      </c>
      <c r="K759" t="str">
        <f>VLOOKUP(D759,'[2]product Table data'!$A$2:$B$12,2,FALSE)</f>
        <v>Female</v>
      </c>
      <c r="L759" t="str">
        <f>VLOOKUP($D759,'[2]product Table data'!$A$2:$G$12,L$1,FALSE)</f>
        <v>Fancy Sheek</v>
      </c>
      <c r="M759" t="str">
        <f>VLOOKUP($D759,'[2]product Table data'!$A$2:$G$12,M$1,FALSE)</f>
        <v>Iran</v>
      </c>
      <c r="N759" t="str">
        <f>VLOOKUP($D759,'[2]product Table data'!$A$2:$G$12,N$1,FALSE)</f>
        <v>Middle East</v>
      </c>
      <c r="O759">
        <f>VLOOKUP($D759,'[2]product Table data'!$A$2:$G$12,O$1,FALSE)</f>
        <v>75</v>
      </c>
      <c r="P759">
        <f>VLOOKUP($D759,'[2]product Table data'!$A$2:$G$12,P$1,FALSE)</f>
        <v>125</v>
      </c>
      <c r="Q759">
        <f t="shared" si="55"/>
        <v>50</v>
      </c>
      <c r="R759" t="str">
        <f t="shared" si="56"/>
        <v>-</v>
      </c>
      <c r="S759" t="str">
        <f t="shared" si="57"/>
        <v>Style Risk</v>
      </c>
      <c r="T759" t="str">
        <f t="shared" si="58"/>
        <v>-</v>
      </c>
      <c r="U759" t="str">
        <f t="shared" si="59"/>
        <v>High Value</v>
      </c>
    </row>
    <row r="760" spans="1:21" hidden="1" x14ac:dyDescent="0.2">
      <c r="A760" s="2">
        <v>532</v>
      </c>
      <c r="B760" s="2" t="s">
        <v>9</v>
      </c>
      <c r="C760" s="2" t="s">
        <v>1134</v>
      </c>
      <c r="D760" s="2" t="s">
        <v>968</v>
      </c>
      <c r="E760" s="2">
        <v>33159</v>
      </c>
      <c r="F760" s="2" t="s">
        <v>98</v>
      </c>
      <c r="G760" s="2" t="s">
        <v>36</v>
      </c>
      <c r="H760" s="2">
        <v>1</v>
      </c>
      <c r="I760" s="2" t="s">
        <v>17</v>
      </c>
      <c r="J760" s="2" t="str">
        <f>VLOOKUP(E760,[1]LL_Hub!$A$1:$B$13,2,FALSE)</f>
        <v>Miami</v>
      </c>
      <c r="K760" t="str">
        <f>VLOOKUP(D760,'[2]product Table data'!$A$2:$B$12,2,FALSE)</f>
        <v>Female</v>
      </c>
      <c r="L760" t="str">
        <f>VLOOKUP($D760,'[2]product Table data'!$A$2:$G$12,L$1,FALSE)</f>
        <v>Fancy Sheek</v>
      </c>
      <c r="M760" t="str">
        <f>VLOOKUP($D760,'[2]product Table data'!$A$2:$G$12,M$1,FALSE)</f>
        <v>Azerbaijan</v>
      </c>
      <c r="N760" t="str">
        <f>VLOOKUP($D760,'[2]product Table data'!$A$2:$G$12,N$1,FALSE)</f>
        <v>Middle East</v>
      </c>
      <c r="O760">
        <f>VLOOKUP($D760,'[2]product Table data'!$A$2:$G$12,O$1,FALSE)</f>
        <v>1200</v>
      </c>
      <c r="P760">
        <f>VLOOKUP($D760,'[2]product Table data'!$A$2:$G$12,P$1,FALSE)</f>
        <v>2000</v>
      </c>
      <c r="Q760">
        <f t="shared" si="55"/>
        <v>800</v>
      </c>
      <c r="R760" t="str">
        <f t="shared" si="56"/>
        <v>-</v>
      </c>
      <c r="S760" t="str">
        <f t="shared" si="57"/>
        <v>Style Risk</v>
      </c>
      <c r="T760" t="str">
        <f t="shared" si="58"/>
        <v>-</v>
      </c>
      <c r="U760" t="str">
        <f t="shared" si="59"/>
        <v>High Value</v>
      </c>
    </row>
    <row r="761" spans="1:21" hidden="1" x14ac:dyDescent="0.2">
      <c r="A761" s="2">
        <v>533</v>
      </c>
      <c r="B761" s="2" t="s">
        <v>9</v>
      </c>
      <c r="C761" s="2" t="s">
        <v>1135</v>
      </c>
      <c r="D761" s="2" t="s">
        <v>604</v>
      </c>
      <c r="E761" s="2">
        <v>33159</v>
      </c>
      <c r="F761" s="2" t="s">
        <v>98</v>
      </c>
      <c r="G761" s="2" t="s">
        <v>36</v>
      </c>
      <c r="H761" s="2">
        <v>1</v>
      </c>
      <c r="I761" s="2" t="s">
        <v>17</v>
      </c>
      <c r="J761" s="2" t="str">
        <f>VLOOKUP(E761,[1]LL_Hub!$A$1:$B$13,2,FALSE)</f>
        <v>Miami</v>
      </c>
      <c r="K761" t="str">
        <f>VLOOKUP(D761,'[2]product Table data'!$A$2:$B$12,2,FALSE)</f>
        <v>Female</v>
      </c>
      <c r="L761" t="str">
        <f>VLOOKUP($D761,'[2]product Table data'!$A$2:$G$12,L$1,FALSE)</f>
        <v>Fancy Sheek</v>
      </c>
      <c r="M761" t="str">
        <f>VLOOKUP($D761,'[2]product Table data'!$A$2:$G$12,M$1,FALSE)</f>
        <v>Iran</v>
      </c>
      <c r="N761" t="str">
        <f>VLOOKUP($D761,'[2]product Table data'!$A$2:$G$12,N$1,FALSE)</f>
        <v>Middle East</v>
      </c>
      <c r="O761">
        <f>VLOOKUP($D761,'[2]product Table data'!$A$2:$G$12,O$1,FALSE)</f>
        <v>75</v>
      </c>
      <c r="P761">
        <f>VLOOKUP($D761,'[2]product Table data'!$A$2:$G$12,P$1,FALSE)</f>
        <v>125</v>
      </c>
      <c r="Q761">
        <f t="shared" si="55"/>
        <v>50</v>
      </c>
      <c r="R761" t="str">
        <f t="shared" si="56"/>
        <v>-</v>
      </c>
      <c r="S761" t="str">
        <f t="shared" si="57"/>
        <v>Style Risk</v>
      </c>
      <c r="T761" t="str">
        <f t="shared" si="58"/>
        <v>-</v>
      </c>
      <c r="U761" t="str">
        <f t="shared" si="59"/>
        <v>High Value</v>
      </c>
    </row>
    <row r="762" spans="1:21" hidden="1" x14ac:dyDescent="0.2">
      <c r="A762" s="2">
        <v>534</v>
      </c>
      <c r="B762" s="2" t="s">
        <v>9</v>
      </c>
      <c r="C762" s="2" t="s">
        <v>1136</v>
      </c>
      <c r="D762" s="2" t="s">
        <v>604</v>
      </c>
      <c r="E762" s="2">
        <v>33159</v>
      </c>
      <c r="F762" s="2" t="s">
        <v>98</v>
      </c>
      <c r="G762" s="2" t="s">
        <v>36</v>
      </c>
      <c r="H762" s="2">
        <v>1</v>
      </c>
      <c r="I762" s="2" t="s">
        <v>17</v>
      </c>
      <c r="J762" s="2" t="str">
        <f>VLOOKUP(E762,[1]LL_Hub!$A$1:$B$13,2,FALSE)</f>
        <v>Miami</v>
      </c>
      <c r="K762" t="str">
        <f>VLOOKUP(D762,'[2]product Table data'!$A$2:$B$12,2,FALSE)</f>
        <v>Female</v>
      </c>
      <c r="L762" t="str">
        <f>VLOOKUP($D762,'[2]product Table data'!$A$2:$G$12,L$1,FALSE)</f>
        <v>Fancy Sheek</v>
      </c>
      <c r="M762" t="str">
        <f>VLOOKUP($D762,'[2]product Table data'!$A$2:$G$12,M$1,FALSE)</f>
        <v>Iran</v>
      </c>
      <c r="N762" t="str">
        <f>VLOOKUP($D762,'[2]product Table data'!$A$2:$G$12,N$1,FALSE)</f>
        <v>Middle East</v>
      </c>
      <c r="O762">
        <f>VLOOKUP($D762,'[2]product Table data'!$A$2:$G$12,O$1,FALSE)</f>
        <v>75</v>
      </c>
      <c r="P762">
        <f>VLOOKUP($D762,'[2]product Table data'!$A$2:$G$12,P$1,FALSE)</f>
        <v>125</v>
      </c>
      <c r="Q762">
        <f t="shared" si="55"/>
        <v>50</v>
      </c>
      <c r="R762" t="str">
        <f t="shared" si="56"/>
        <v>-</v>
      </c>
      <c r="S762" t="str">
        <f t="shared" si="57"/>
        <v>Style Risk</v>
      </c>
      <c r="T762" t="str">
        <f t="shared" si="58"/>
        <v>-</v>
      </c>
      <c r="U762" t="str">
        <f t="shared" si="59"/>
        <v>High Value</v>
      </c>
    </row>
    <row r="763" spans="1:21" hidden="1" x14ac:dyDescent="0.2">
      <c r="A763" s="2">
        <v>535</v>
      </c>
      <c r="B763" s="2" t="s">
        <v>9</v>
      </c>
      <c r="C763" s="2" t="s">
        <v>1137</v>
      </c>
      <c r="D763" s="2" t="s">
        <v>604</v>
      </c>
      <c r="E763" s="2">
        <v>33159</v>
      </c>
      <c r="F763" s="2" t="s">
        <v>98</v>
      </c>
      <c r="G763" s="2" t="s">
        <v>36</v>
      </c>
      <c r="H763" s="2">
        <v>1</v>
      </c>
      <c r="I763" s="2" t="s">
        <v>17</v>
      </c>
      <c r="J763" s="2" t="str">
        <f>VLOOKUP(E763,[1]LL_Hub!$A$1:$B$13,2,FALSE)</f>
        <v>Miami</v>
      </c>
      <c r="K763" t="str">
        <f>VLOOKUP(D763,'[2]product Table data'!$A$2:$B$12,2,FALSE)</f>
        <v>Female</v>
      </c>
      <c r="L763" t="str">
        <f>VLOOKUP($D763,'[2]product Table data'!$A$2:$G$12,L$1,FALSE)</f>
        <v>Fancy Sheek</v>
      </c>
      <c r="M763" t="str">
        <f>VLOOKUP($D763,'[2]product Table data'!$A$2:$G$12,M$1,FALSE)</f>
        <v>Iran</v>
      </c>
      <c r="N763" t="str">
        <f>VLOOKUP($D763,'[2]product Table data'!$A$2:$G$12,N$1,FALSE)</f>
        <v>Middle East</v>
      </c>
      <c r="O763">
        <f>VLOOKUP($D763,'[2]product Table data'!$A$2:$G$12,O$1,FALSE)</f>
        <v>75</v>
      </c>
      <c r="P763">
        <f>VLOOKUP($D763,'[2]product Table data'!$A$2:$G$12,P$1,FALSE)</f>
        <v>125</v>
      </c>
      <c r="Q763">
        <f t="shared" si="55"/>
        <v>50</v>
      </c>
      <c r="R763" t="str">
        <f t="shared" si="56"/>
        <v>-</v>
      </c>
      <c r="S763" t="str">
        <f t="shared" si="57"/>
        <v>Style Risk</v>
      </c>
      <c r="T763" t="str">
        <f t="shared" si="58"/>
        <v>-</v>
      </c>
      <c r="U763" t="str">
        <f t="shared" si="59"/>
        <v>High Value</v>
      </c>
    </row>
    <row r="764" spans="1:21" hidden="1" x14ac:dyDescent="0.2">
      <c r="A764" s="2">
        <v>536</v>
      </c>
      <c r="B764" s="2" t="s">
        <v>9</v>
      </c>
      <c r="C764" s="2" t="s">
        <v>1138</v>
      </c>
      <c r="D764" s="2" t="s">
        <v>604</v>
      </c>
      <c r="E764" s="2">
        <v>33159</v>
      </c>
      <c r="F764" s="2" t="s">
        <v>98</v>
      </c>
      <c r="G764" s="2" t="s">
        <v>36</v>
      </c>
      <c r="H764" s="2">
        <v>1</v>
      </c>
      <c r="I764" s="2" t="s">
        <v>17</v>
      </c>
      <c r="J764" s="2" t="str">
        <f>VLOOKUP(E764,[1]LL_Hub!$A$1:$B$13,2,FALSE)</f>
        <v>Miami</v>
      </c>
      <c r="K764" t="str">
        <f>VLOOKUP(D764,'[2]product Table data'!$A$2:$B$12,2,FALSE)</f>
        <v>Female</v>
      </c>
      <c r="L764" t="str">
        <f>VLOOKUP($D764,'[2]product Table data'!$A$2:$G$12,L$1,FALSE)</f>
        <v>Fancy Sheek</v>
      </c>
      <c r="M764" t="str">
        <f>VLOOKUP($D764,'[2]product Table data'!$A$2:$G$12,M$1,FALSE)</f>
        <v>Iran</v>
      </c>
      <c r="N764" t="str">
        <f>VLOOKUP($D764,'[2]product Table data'!$A$2:$G$12,N$1,FALSE)</f>
        <v>Middle East</v>
      </c>
      <c r="O764">
        <f>VLOOKUP($D764,'[2]product Table data'!$A$2:$G$12,O$1,FALSE)</f>
        <v>75</v>
      </c>
      <c r="P764">
        <f>VLOOKUP($D764,'[2]product Table data'!$A$2:$G$12,P$1,FALSE)</f>
        <v>125</v>
      </c>
      <c r="Q764">
        <f t="shared" si="55"/>
        <v>50</v>
      </c>
      <c r="R764" t="str">
        <f t="shared" si="56"/>
        <v>-</v>
      </c>
      <c r="S764" t="str">
        <f t="shared" si="57"/>
        <v>Style Risk</v>
      </c>
      <c r="T764" t="str">
        <f t="shared" si="58"/>
        <v>-</v>
      </c>
      <c r="U764" t="str">
        <f t="shared" si="59"/>
        <v>High Value</v>
      </c>
    </row>
    <row r="765" spans="1:21" hidden="1" x14ac:dyDescent="0.2">
      <c r="A765" s="2">
        <v>537</v>
      </c>
      <c r="B765" s="2" t="s">
        <v>9</v>
      </c>
      <c r="C765" s="2" t="s">
        <v>1139</v>
      </c>
      <c r="D765" s="2" t="s">
        <v>604</v>
      </c>
      <c r="E765" s="2">
        <v>33159</v>
      </c>
      <c r="F765" s="2" t="s">
        <v>98</v>
      </c>
      <c r="G765" s="2" t="s">
        <v>36</v>
      </c>
      <c r="H765" s="2">
        <v>1</v>
      </c>
      <c r="I765" s="2" t="s">
        <v>17</v>
      </c>
      <c r="J765" s="2" t="str">
        <f>VLOOKUP(E765,[1]LL_Hub!$A$1:$B$13,2,FALSE)</f>
        <v>Miami</v>
      </c>
      <c r="K765" t="str">
        <f>VLOOKUP(D765,'[2]product Table data'!$A$2:$B$12,2,FALSE)</f>
        <v>Female</v>
      </c>
      <c r="L765" t="str">
        <f>VLOOKUP($D765,'[2]product Table data'!$A$2:$G$12,L$1,FALSE)</f>
        <v>Fancy Sheek</v>
      </c>
      <c r="M765" t="str">
        <f>VLOOKUP($D765,'[2]product Table data'!$A$2:$G$12,M$1,FALSE)</f>
        <v>Iran</v>
      </c>
      <c r="N765" t="str">
        <f>VLOOKUP($D765,'[2]product Table data'!$A$2:$G$12,N$1,FALSE)</f>
        <v>Middle East</v>
      </c>
      <c r="O765">
        <f>VLOOKUP($D765,'[2]product Table data'!$A$2:$G$12,O$1,FALSE)</f>
        <v>75</v>
      </c>
      <c r="P765">
        <f>VLOOKUP($D765,'[2]product Table data'!$A$2:$G$12,P$1,FALSE)</f>
        <v>125</v>
      </c>
      <c r="Q765">
        <f t="shared" si="55"/>
        <v>50</v>
      </c>
      <c r="R765" t="str">
        <f t="shared" si="56"/>
        <v>-</v>
      </c>
      <c r="S765" t="str">
        <f t="shared" si="57"/>
        <v>Style Risk</v>
      </c>
      <c r="T765" t="str">
        <f t="shared" si="58"/>
        <v>-</v>
      </c>
      <c r="U765" t="str">
        <f t="shared" si="59"/>
        <v>High Value</v>
      </c>
    </row>
    <row r="766" spans="1:21" x14ac:dyDescent="0.2">
      <c r="A766" s="2">
        <v>450</v>
      </c>
      <c r="B766" s="2" t="s">
        <v>9</v>
      </c>
      <c r="C766" s="2" t="s">
        <v>1052</v>
      </c>
      <c r="D766" s="2" t="s">
        <v>604</v>
      </c>
      <c r="E766" s="2">
        <v>33101</v>
      </c>
      <c r="F766" s="2" t="s">
        <v>98</v>
      </c>
      <c r="G766" s="2" t="s">
        <v>36</v>
      </c>
      <c r="H766" s="2">
        <v>1</v>
      </c>
      <c r="I766" s="2" t="s">
        <v>14</v>
      </c>
      <c r="J766" s="2" t="str">
        <f>VLOOKUP(E766,[1]LL_Hub!$A$1:$B$13,2,FALSE)</f>
        <v>Miami</v>
      </c>
      <c r="K766" t="str">
        <f>VLOOKUP(D766,'[2]product Table data'!$A$2:$B$12,2,FALSE)</f>
        <v>Female</v>
      </c>
      <c r="L766" t="str">
        <f>VLOOKUP($D766,'[2]product Table data'!$A$2:$G$12,L$1,FALSE)</f>
        <v>Fancy Sheek</v>
      </c>
      <c r="M766" t="str">
        <f>VLOOKUP($D766,'[2]product Table data'!$A$2:$G$12,M$1,FALSE)</f>
        <v>Iran</v>
      </c>
      <c r="N766" t="str">
        <f>VLOOKUP($D766,'[2]product Table data'!$A$2:$G$12,N$1,FALSE)</f>
        <v>Middle East</v>
      </c>
      <c r="O766">
        <f>VLOOKUP($D766,'[2]product Table data'!$A$2:$G$12,O$1,FALSE)</f>
        <v>75</v>
      </c>
      <c r="P766">
        <f>VLOOKUP($D766,'[2]product Table data'!$A$2:$G$12,P$1,FALSE)</f>
        <v>125</v>
      </c>
      <c r="Q766">
        <f t="shared" si="55"/>
        <v>50</v>
      </c>
      <c r="R766" t="str">
        <f t="shared" si="56"/>
        <v>-</v>
      </c>
      <c r="S766" t="str">
        <f t="shared" si="57"/>
        <v>Style Risk</v>
      </c>
      <c r="T766" t="str">
        <f t="shared" si="58"/>
        <v>-</v>
      </c>
      <c r="U766" t="str">
        <f t="shared" si="59"/>
        <v>High Value</v>
      </c>
    </row>
    <row r="767" spans="1:21" hidden="1" x14ac:dyDescent="0.2">
      <c r="A767" s="2">
        <v>539</v>
      </c>
      <c r="B767" s="2" t="s">
        <v>9</v>
      </c>
      <c r="C767" s="2" t="s">
        <v>1142</v>
      </c>
      <c r="D767" s="2" t="s">
        <v>604</v>
      </c>
      <c r="E767" s="2">
        <v>33159</v>
      </c>
      <c r="F767" s="2" t="s">
        <v>98</v>
      </c>
      <c r="G767" s="2" t="s">
        <v>36</v>
      </c>
      <c r="H767" s="2">
        <v>1</v>
      </c>
      <c r="I767" s="2" t="s">
        <v>17</v>
      </c>
      <c r="J767" s="2" t="str">
        <f>VLOOKUP(E767,[1]LL_Hub!$A$1:$B$13,2,FALSE)</f>
        <v>Miami</v>
      </c>
      <c r="K767" t="str">
        <f>VLOOKUP(D767,'[2]product Table data'!$A$2:$B$12,2,FALSE)</f>
        <v>Female</v>
      </c>
      <c r="L767" t="str">
        <f>VLOOKUP($D767,'[2]product Table data'!$A$2:$G$12,L$1,FALSE)</f>
        <v>Fancy Sheek</v>
      </c>
      <c r="M767" t="str">
        <f>VLOOKUP($D767,'[2]product Table data'!$A$2:$G$12,M$1,FALSE)</f>
        <v>Iran</v>
      </c>
      <c r="N767" t="str">
        <f>VLOOKUP($D767,'[2]product Table data'!$A$2:$G$12,N$1,FALSE)</f>
        <v>Middle East</v>
      </c>
      <c r="O767">
        <f>VLOOKUP($D767,'[2]product Table data'!$A$2:$G$12,O$1,FALSE)</f>
        <v>75</v>
      </c>
      <c r="P767">
        <f>VLOOKUP($D767,'[2]product Table data'!$A$2:$G$12,P$1,FALSE)</f>
        <v>125</v>
      </c>
      <c r="Q767">
        <f t="shared" si="55"/>
        <v>50</v>
      </c>
      <c r="R767" t="str">
        <f t="shared" si="56"/>
        <v>-</v>
      </c>
      <c r="S767" t="str">
        <f t="shared" si="57"/>
        <v>Style Risk</v>
      </c>
      <c r="T767" t="str">
        <f t="shared" si="58"/>
        <v>-</v>
      </c>
      <c r="U767" t="str">
        <f t="shared" si="59"/>
        <v>High Value</v>
      </c>
    </row>
    <row r="768" spans="1:21" x14ac:dyDescent="0.2">
      <c r="A768" s="2">
        <v>130</v>
      </c>
      <c r="B768" s="2" t="s">
        <v>9</v>
      </c>
      <c r="C768" s="2" t="s">
        <v>70</v>
      </c>
      <c r="D768" s="2" t="s">
        <v>22</v>
      </c>
      <c r="E768" s="2">
        <v>10022</v>
      </c>
      <c r="F768" s="2" t="s">
        <v>71</v>
      </c>
      <c r="G768" s="2" t="s">
        <v>13</v>
      </c>
      <c r="H768" s="2">
        <v>1</v>
      </c>
      <c r="I768" s="2" t="s">
        <v>14</v>
      </c>
      <c r="J768" s="2" t="str">
        <f>VLOOKUP(E768,[1]LL_Hub!$A$1:$B$13,2,FALSE)</f>
        <v>New York</v>
      </c>
      <c r="K768" t="str">
        <f>VLOOKUP(D768,'[2]product Table data'!$A$2:$B$12,2,FALSE)</f>
        <v>Male</v>
      </c>
      <c r="L768" t="str">
        <f>VLOOKUP($D768,'[2]product Table data'!$A$2:$G$12,L$1,FALSE)</f>
        <v>Fancy Sheek</v>
      </c>
      <c r="M768" t="str">
        <f>VLOOKUP($D768,'[2]product Table data'!$A$2:$G$12,M$1,FALSE)</f>
        <v>Afghanistan</v>
      </c>
      <c r="N768" t="str">
        <f>VLOOKUP($D768,'[2]product Table data'!$A$2:$G$12,N$1,FALSE)</f>
        <v>Middle East</v>
      </c>
      <c r="O768">
        <f>VLOOKUP($D768,'[2]product Table data'!$A$2:$G$12,O$1,FALSE)</f>
        <v>450</v>
      </c>
      <c r="P768">
        <f>VLOOKUP($D768,'[2]product Table data'!$A$2:$G$12,P$1,FALSE)</f>
        <v>550</v>
      </c>
      <c r="Q768">
        <f t="shared" si="55"/>
        <v>100</v>
      </c>
      <c r="R768" t="str">
        <f t="shared" si="56"/>
        <v>-</v>
      </c>
      <c r="S768" t="str">
        <f t="shared" si="57"/>
        <v>Style Risk</v>
      </c>
      <c r="T768" t="str">
        <f t="shared" si="58"/>
        <v>-</v>
      </c>
      <c r="U768" t="str">
        <f t="shared" si="59"/>
        <v>High Value</v>
      </c>
    </row>
    <row r="769" spans="1:21" hidden="1" x14ac:dyDescent="0.2">
      <c r="A769" s="2">
        <v>541</v>
      </c>
      <c r="B769" s="2" t="s">
        <v>9</v>
      </c>
      <c r="C769" s="2" t="s">
        <v>1144</v>
      </c>
      <c r="D769" s="2" t="s">
        <v>604</v>
      </c>
      <c r="E769" s="2">
        <v>33159</v>
      </c>
      <c r="F769" s="2" t="s">
        <v>98</v>
      </c>
      <c r="G769" s="2" t="s">
        <v>36</v>
      </c>
      <c r="H769" s="2">
        <v>1</v>
      </c>
      <c r="I769" s="2" t="s">
        <v>17</v>
      </c>
      <c r="J769" s="2" t="str">
        <f>VLOOKUP(E769,[1]LL_Hub!$A$1:$B$13,2,FALSE)</f>
        <v>Miami</v>
      </c>
      <c r="K769" t="str">
        <f>VLOOKUP(D769,'[2]product Table data'!$A$2:$B$12,2,FALSE)</f>
        <v>Female</v>
      </c>
      <c r="L769" t="str">
        <f>VLOOKUP($D769,'[2]product Table data'!$A$2:$G$12,L$1,FALSE)</f>
        <v>Fancy Sheek</v>
      </c>
      <c r="M769" t="str">
        <f>VLOOKUP($D769,'[2]product Table data'!$A$2:$G$12,M$1,FALSE)</f>
        <v>Iran</v>
      </c>
      <c r="N769" t="str">
        <f>VLOOKUP($D769,'[2]product Table data'!$A$2:$G$12,N$1,FALSE)</f>
        <v>Middle East</v>
      </c>
      <c r="O769">
        <f>VLOOKUP($D769,'[2]product Table data'!$A$2:$G$12,O$1,FALSE)</f>
        <v>75</v>
      </c>
      <c r="P769">
        <f>VLOOKUP($D769,'[2]product Table data'!$A$2:$G$12,P$1,FALSE)</f>
        <v>125</v>
      </c>
      <c r="Q769">
        <f t="shared" si="55"/>
        <v>50</v>
      </c>
      <c r="R769" t="str">
        <f t="shared" si="56"/>
        <v>-</v>
      </c>
      <c r="S769" t="str">
        <f t="shared" si="57"/>
        <v>Style Risk</v>
      </c>
      <c r="T769" t="str">
        <f t="shared" si="58"/>
        <v>-</v>
      </c>
      <c r="U769" t="str">
        <f t="shared" si="59"/>
        <v>High Value</v>
      </c>
    </row>
    <row r="770" spans="1:21" x14ac:dyDescent="0.2">
      <c r="A770" s="2">
        <v>577</v>
      </c>
      <c r="B770" s="2" t="s">
        <v>9</v>
      </c>
      <c r="C770" s="2" t="s">
        <v>128</v>
      </c>
      <c r="D770" s="2" t="s">
        <v>22</v>
      </c>
      <c r="E770" s="2">
        <v>10001</v>
      </c>
      <c r="F770" s="2" t="s">
        <v>129</v>
      </c>
      <c r="G770" s="2" t="s">
        <v>13</v>
      </c>
      <c r="H770" s="2">
        <v>1</v>
      </c>
      <c r="I770" s="2" t="s">
        <v>14</v>
      </c>
      <c r="J770" s="2" t="str">
        <f>VLOOKUP(E770,[1]LL_Hub!$A$1:$B$13,2,FALSE)</f>
        <v>New York</v>
      </c>
      <c r="K770" t="str">
        <f>VLOOKUP(D770,'[2]product Table data'!$A$2:$B$12,2,FALSE)</f>
        <v>Male</v>
      </c>
      <c r="L770" t="str">
        <f>VLOOKUP($D770,'[2]product Table data'!$A$2:$G$12,L$1,FALSE)</f>
        <v>Fancy Sheek</v>
      </c>
      <c r="M770" t="str">
        <f>VLOOKUP($D770,'[2]product Table data'!$A$2:$G$12,M$1,FALSE)</f>
        <v>Afghanistan</v>
      </c>
      <c r="N770" t="str">
        <f>VLOOKUP($D770,'[2]product Table data'!$A$2:$G$12,N$1,FALSE)</f>
        <v>Middle East</v>
      </c>
      <c r="O770">
        <f>VLOOKUP($D770,'[2]product Table data'!$A$2:$G$12,O$1,FALSE)</f>
        <v>450</v>
      </c>
      <c r="P770">
        <f>VLOOKUP($D770,'[2]product Table data'!$A$2:$G$12,P$1,FALSE)</f>
        <v>550</v>
      </c>
      <c r="Q770">
        <f t="shared" si="55"/>
        <v>100</v>
      </c>
      <c r="R770" t="str">
        <f t="shared" si="56"/>
        <v>-</v>
      </c>
      <c r="S770" t="str">
        <f t="shared" si="57"/>
        <v>Style Risk</v>
      </c>
      <c r="T770" t="str">
        <f t="shared" si="58"/>
        <v>-</v>
      </c>
      <c r="U770" t="str">
        <f t="shared" si="59"/>
        <v>High Value</v>
      </c>
    </row>
    <row r="771" spans="1:21" hidden="1" x14ac:dyDescent="0.2">
      <c r="A771" s="2">
        <v>543</v>
      </c>
      <c r="B771" s="2" t="s">
        <v>9</v>
      </c>
      <c r="C771" s="2" t="s">
        <v>1146</v>
      </c>
      <c r="D771" s="2" t="s">
        <v>604</v>
      </c>
      <c r="E771" s="2">
        <v>33159</v>
      </c>
      <c r="F771" s="2" t="s">
        <v>98</v>
      </c>
      <c r="G771" s="2" t="s">
        <v>36</v>
      </c>
      <c r="H771" s="2">
        <v>1</v>
      </c>
      <c r="I771" s="2" t="s">
        <v>17</v>
      </c>
      <c r="J771" s="2" t="str">
        <f>VLOOKUP(E771,[1]LL_Hub!$A$1:$B$13,2,FALSE)</f>
        <v>Miami</v>
      </c>
      <c r="K771" t="str">
        <f>VLOOKUP(D771,'[2]product Table data'!$A$2:$B$12,2,FALSE)</f>
        <v>Female</v>
      </c>
      <c r="L771" t="str">
        <f>VLOOKUP($D771,'[2]product Table data'!$A$2:$G$12,L$1,FALSE)</f>
        <v>Fancy Sheek</v>
      </c>
      <c r="M771" t="str">
        <f>VLOOKUP($D771,'[2]product Table data'!$A$2:$G$12,M$1,FALSE)</f>
        <v>Iran</v>
      </c>
      <c r="N771" t="str">
        <f>VLOOKUP($D771,'[2]product Table data'!$A$2:$G$12,N$1,FALSE)</f>
        <v>Middle East</v>
      </c>
      <c r="O771">
        <f>VLOOKUP($D771,'[2]product Table data'!$A$2:$G$12,O$1,FALSE)</f>
        <v>75</v>
      </c>
      <c r="P771">
        <f>VLOOKUP($D771,'[2]product Table data'!$A$2:$G$12,P$1,FALSE)</f>
        <v>125</v>
      </c>
      <c r="Q771">
        <f t="shared" ref="Q771:Q834" si="60">P771-O771</f>
        <v>50</v>
      </c>
      <c r="R771" t="str">
        <f t="shared" ref="R771:R834" si="61">IF(OR(J771="Los Angeles",J771="Denver"),"Hub Risk","-")</f>
        <v>-</v>
      </c>
      <c r="S771" t="str">
        <f t="shared" ref="S771:S834" si="62">IF(OR(L771="Casual n Light",L771="Fancy Sheek"),"Style Risk","-")</f>
        <v>Style Risk</v>
      </c>
      <c r="T771" t="str">
        <f t="shared" ref="T771:T834" si="63">IF(AND(R771="Hub Risk", S771="Style Risk"), "Risk", "-")</f>
        <v>-</v>
      </c>
      <c r="U771" t="str">
        <f t="shared" ref="U771:U834" si="64">IF(Q771&lt;=5, "Low Value", "High Value")</f>
        <v>High Value</v>
      </c>
    </row>
    <row r="772" spans="1:21" hidden="1" x14ac:dyDescent="0.2">
      <c r="A772" s="2">
        <v>544</v>
      </c>
      <c r="B772" s="2" t="s">
        <v>9</v>
      </c>
      <c r="C772" s="2" t="s">
        <v>1147</v>
      </c>
      <c r="D772" s="2" t="s">
        <v>604</v>
      </c>
      <c r="E772" s="2">
        <v>33159</v>
      </c>
      <c r="F772" s="2" t="s">
        <v>98</v>
      </c>
      <c r="G772" s="2" t="s">
        <v>36</v>
      </c>
      <c r="H772" s="2">
        <v>1</v>
      </c>
      <c r="I772" s="2" t="s">
        <v>17</v>
      </c>
      <c r="J772" s="2" t="str">
        <f>VLOOKUP(E772,[1]LL_Hub!$A$1:$B$13,2,FALSE)</f>
        <v>Miami</v>
      </c>
      <c r="K772" t="str">
        <f>VLOOKUP(D772,'[2]product Table data'!$A$2:$B$12,2,FALSE)</f>
        <v>Female</v>
      </c>
      <c r="L772" t="str">
        <f>VLOOKUP($D772,'[2]product Table data'!$A$2:$G$12,L$1,FALSE)</f>
        <v>Fancy Sheek</v>
      </c>
      <c r="M772" t="str">
        <f>VLOOKUP($D772,'[2]product Table data'!$A$2:$G$12,M$1,FALSE)</f>
        <v>Iran</v>
      </c>
      <c r="N772" t="str">
        <f>VLOOKUP($D772,'[2]product Table data'!$A$2:$G$12,N$1,FALSE)</f>
        <v>Middle East</v>
      </c>
      <c r="O772">
        <f>VLOOKUP($D772,'[2]product Table data'!$A$2:$G$12,O$1,FALSE)</f>
        <v>75</v>
      </c>
      <c r="P772">
        <f>VLOOKUP($D772,'[2]product Table data'!$A$2:$G$12,P$1,FALSE)</f>
        <v>125</v>
      </c>
      <c r="Q772">
        <f t="shared" si="60"/>
        <v>50</v>
      </c>
      <c r="R772" t="str">
        <f t="shared" si="61"/>
        <v>-</v>
      </c>
      <c r="S772" t="str">
        <f t="shared" si="62"/>
        <v>Style Risk</v>
      </c>
      <c r="T772" t="str">
        <f t="shared" si="63"/>
        <v>-</v>
      </c>
      <c r="U772" t="str">
        <f t="shared" si="64"/>
        <v>High Value</v>
      </c>
    </row>
    <row r="773" spans="1:21" hidden="1" x14ac:dyDescent="0.2">
      <c r="A773" s="2">
        <v>545</v>
      </c>
      <c r="B773" s="2" t="s">
        <v>9</v>
      </c>
      <c r="C773" s="2" t="s">
        <v>1148</v>
      </c>
      <c r="D773" s="2" t="s">
        <v>604</v>
      </c>
      <c r="E773" s="2">
        <v>33159</v>
      </c>
      <c r="F773" s="2" t="s">
        <v>98</v>
      </c>
      <c r="G773" s="2" t="s">
        <v>36</v>
      </c>
      <c r="H773" s="2">
        <v>1</v>
      </c>
      <c r="I773" s="2" t="s">
        <v>17</v>
      </c>
      <c r="J773" s="2" t="str">
        <f>VLOOKUP(E773,[1]LL_Hub!$A$1:$B$13,2,FALSE)</f>
        <v>Miami</v>
      </c>
      <c r="K773" t="str">
        <f>VLOOKUP(D773,'[2]product Table data'!$A$2:$B$12,2,FALSE)</f>
        <v>Female</v>
      </c>
      <c r="L773" t="str">
        <f>VLOOKUP($D773,'[2]product Table data'!$A$2:$G$12,L$1,FALSE)</f>
        <v>Fancy Sheek</v>
      </c>
      <c r="M773" t="str">
        <f>VLOOKUP($D773,'[2]product Table data'!$A$2:$G$12,M$1,FALSE)</f>
        <v>Iran</v>
      </c>
      <c r="N773" t="str">
        <f>VLOOKUP($D773,'[2]product Table data'!$A$2:$G$12,N$1,FALSE)</f>
        <v>Middle East</v>
      </c>
      <c r="O773">
        <f>VLOOKUP($D773,'[2]product Table data'!$A$2:$G$12,O$1,FALSE)</f>
        <v>75</v>
      </c>
      <c r="P773">
        <f>VLOOKUP($D773,'[2]product Table data'!$A$2:$G$12,P$1,FALSE)</f>
        <v>125</v>
      </c>
      <c r="Q773">
        <f t="shared" si="60"/>
        <v>50</v>
      </c>
      <c r="R773" t="str">
        <f t="shared" si="61"/>
        <v>-</v>
      </c>
      <c r="S773" t="str">
        <f t="shared" si="62"/>
        <v>Style Risk</v>
      </c>
      <c r="T773" t="str">
        <f t="shared" si="63"/>
        <v>-</v>
      </c>
      <c r="U773" t="str">
        <f t="shared" si="64"/>
        <v>High Value</v>
      </c>
    </row>
    <row r="774" spans="1:21" hidden="1" x14ac:dyDescent="0.2">
      <c r="A774" s="2">
        <v>546</v>
      </c>
      <c r="B774" s="2" t="s">
        <v>9</v>
      </c>
      <c r="C774" s="2" t="s">
        <v>1149</v>
      </c>
      <c r="D774" s="2" t="s">
        <v>604</v>
      </c>
      <c r="E774" s="2">
        <v>33159</v>
      </c>
      <c r="F774" s="2" t="s">
        <v>98</v>
      </c>
      <c r="G774" s="2" t="s">
        <v>36</v>
      </c>
      <c r="H774" s="2">
        <v>1</v>
      </c>
      <c r="I774" s="2" t="s">
        <v>17</v>
      </c>
      <c r="J774" s="2" t="str">
        <f>VLOOKUP(E774,[1]LL_Hub!$A$1:$B$13,2,FALSE)</f>
        <v>Miami</v>
      </c>
      <c r="K774" t="str">
        <f>VLOOKUP(D774,'[2]product Table data'!$A$2:$B$12,2,FALSE)</f>
        <v>Female</v>
      </c>
      <c r="L774" t="str">
        <f>VLOOKUP($D774,'[2]product Table data'!$A$2:$G$12,L$1,FALSE)</f>
        <v>Fancy Sheek</v>
      </c>
      <c r="M774" t="str">
        <f>VLOOKUP($D774,'[2]product Table data'!$A$2:$G$12,M$1,FALSE)</f>
        <v>Iran</v>
      </c>
      <c r="N774" t="str">
        <f>VLOOKUP($D774,'[2]product Table data'!$A$2:$G$12,N$1,FALSE)</f>
        <v>Middle East</v>
      </c>
      <c r="O774">
        <f>VLOOKUP($D774,'[2]product Table data'!$A$2:$G$12,O$1,FALSE)</f>
        <v>75</v>
      </c>
      <c r="P774">
        <f>VLOOKUP($D774,'[2]product Table data'!$A$2:$G$12,P$1,FALSE)</f>
        <v>125</v>
      </c>
      <c r="Q774">
        <f t="shared" si="60"/>
        <v>50</v>
      </c>
      <c r="R774" t="str">
        <f t="shared" si="61"/>
        <v>-</v>
      </c>
      <c r="S774" t="str">
        <f t="shared" si="62"/>
        <v>Style Risk</v>
      </c>
      <c r="T774" t="str">
        <f t="shared" si="63"/>
        <v>-</v>
      </c>
      <c r="U774" t="str">
        <f t="shared" si="64"/>
        <v>High Value</v>
      </c>
    </row>
    <row r="775" spans="1:21" hidden="1" x14ac:dyDescent="0.2">
      <c r="A775" s="2">
        <v>547</v>
      </c>
      <c r="B775" s="2" t="s">
        <v>9</v>
      </c>
      <c r="C775" s="2" t="s">
        <v>1150</v>
      </c>
      <c r="D775" s="2" t="s">
        <v>604</v>
      </c>
      <c r="E775" s="2">
        <v>33159</v>
      </c>
      <c r="F775" s="2" t="s">
        <v>98</v>
      </c>
      <c r="G775" s="2" t="s">
        <v>36</v>
      </c>
      <c r="H775" s="2">
        <v>1</v>
      </c>
      <c r="I775" s="2" t="s">
        <v>17</v>
      </c>
      <c r="J775" s="2" t="str">
        <f>VLOOKUP(E775,[1]LL_Hub!$A$1:$B$13,2,FALSE)</f>
        <v>Miami</v>
      </c>
      <c r="K775" t="str">
        <f>VLOOKUP(D775,'[2]product Table data'!$A$2:$B$12,2,FALSE)</f>
        <v>Female</v>
      </c>
      <c r="L775" t="str">
        <f>VLOOKUP($D775,'[2]product Table data'!$A$2:$G$12,L$1,FALSE)</f>
        <v>Fancy Sheek</v>
      </c>
      <c r="M775" t="str">
        <f>VLOOKUP($D775,'[2]product Table data'!$A$2:$G$12,M$1,FALSE)</f>
        <v>Iran</v>
      </c>
      <c r="N775" t="str">
        <f>VLOOKUP($D775,'[2]product Table data'!$A$2:$G$12,N$1,FALSE)</f>
        <v>Middle East</v>
      </c>
      <c r="O775">
        <f>VLOOKUP($D775,'[2]product Table data'!$A$2:$G$12,O$1,FALSE)</f>
        <v>75</v>
      </c>
      <c r="P775">
        <f>VLOOKUP($D775,'[2]product Table data'!$A$2:$G$12,P$1,FALSE)</f>
        <v>125</v>
      </c>
      <c r="Q775">
        <f t="shared" si="60"/>
        <v>50</v>
      </c>
      <c r="R775" t="str">
        <f t="shared" si="61"/>
        <v>-</v>
      </c>
      <c r="S775" t="str">
        <f t="shared" si="62"/>
        <v>Style Risk</v>
      </c>
      <c r="T775" t="str">
        <f t="shared" si="63"/>
        <v>-</v>
      </c>
      <c r="U775" t="str">
        <f t="shared" si="64"/>
        <v>High Value</v>
      </c>
    </row>
    <row r="776" spans="1:21" hidden="1" x14ac:dyDescent="0.2">
      <c r="A776" s="2">
        <v>548</v>
      </c>
      <c r="B776" s="2" t="s">
        <v>9</v>
      </c>
      <c r="C776" s="2" t="s">
        <v>1151</v>
      </c>
      <c r="D776" s="2" t="s">
        <v>604</v>
      </c>
      <c r="E776" s="2">
        <v>33159</v>
      </c>
      <c r="F776" s="2" t="s">
        <v>98</v>
      </c>
      <c r="G776" s="2" t="s">
        <v>36</v>
      </c>
      <c r="H776" s="2">
        <v>1</v>
      </c>
      <c r="I776" s="2" t="s">
        <v>17</v>
      </c>
      <c r="J776" s="2" t="str">
        <f>VLOOKUP(E776,[1]LL_Hub!$A$1:$B$13,2,FALSE)</f>
        <v>Miami</v>
      </c>
      <c r="K776" t="str">
        <f>VLOOKUP(D776,'[2]product Table data'!$A$2:$B$12,2,FALSE)</f>
        <v>Female</v>
      </c>
      <c r="L776" t="str">
        <f>VLOOKUP($D776,'[2]product Table data'!$A$2:$G$12,L$1,FALSE)</f>
        <v>Fancy Sheek</v>
      </c>
      <c r="M776" t="str">
        <f>VLOOKUP($D776,'[2]product Table data'!$A$2:$G$12,M$1,FALSE)</f>
        <v>Iran</v>
      </c>
      <c r="N776" t="str">
        <f>VLOOKUP($D776,'[2]product Table data'!$A$2:$G$12,N$1,FALSE)</f>
        <v>Middle East</v>
      </c>
      <c r="O776">
        <f>VLOOKUP($D776,'[2]product Table data'!$A$2:$G$12,O$1,FALSE)</f>
        <v>75</v>
      </c>
      <c r="P776">
        <f>VLOOKUP($D776,'[2]product Table data'!$A$2:$G$12,P$1,FALSE)</f>
        <v>125</v>
      </c>
      <c r="Q776">
        <f t="shared" si="60"/>
        <v>50</v>
      </c>
      <c r="R776" t="str">
        <f t="shared" si="61"/>
        <v>-</v>
      </c>
      <c r="S776" t="str">
        <f t="shared" si="62"/>
        <v>Style Risk</v>
      </c>
      <c r="T776" t="str">
        <f t="shared" si="63"/>
        <v>-</v>
      </c>
      <c r="U776" t="str">
        <f t="shared" si="64"/>
        <v>High Value</v>
      </c>
    </row>
    <row r="777" spans="1:21" x14ac:dyDescent="0.2">
      <c r="A777" s="2">
        <v>63</v>
      </c>
      <c r="B777" s="2" t="s">
        <v>9</v>
      </c>
      <c r="C777" s="2" t="s">
        <v>555</v>
      </c>
      <c r="D777" s="2" t="s">
        <v>45</v>
      </c>
      <c r="E777" s="2">
        <v>10001</v>
      </c>
      <c r="F777" s="2" t="s">
        <v>35</v>
      </c>
      <c r="G777" s="2" t="s">
        <v>36</v>
      </c>
      <c r="H777" s="2">
        <v>1</v>
      </c>
      <c r="I777" s="2" t="s">
        <v>14</v>
      </c>
      <c r="J777" s="2" t="str">
        <f>VLOOKUP(E777,[1]LL_Hub!$A$1:$B$13,2,FALSE)</f>
        <v>New York</v>
      </c>
      <c r="K777" t="str">
        <f>VLOOKUP(D777,'[2]product Table data'!$A$2:$B$12,2,FALSE)</f>
        <v>Female</v>
      </c>
      <c r="L777" t="str">
        <f>VLOOKUP($D777,'[2]product Table data'!$A$2:$G$12,L$1,FALSE)</f>
        <v>Winter Warmth</v>
      </c>
      <c r="M777" t="str">
        <f>VLOOKUP($D777,'[2]product Table data'!$A$2:$G$12,M$1,FALSE)</f>
        <v>Romania</v>
      </c>
      <c r="N777" t="str">
        <f>VLOOKUP($D777,'[2]product Table data'!$A$2:$G$12,N$1,FALSE)</f>
        <v>Eastern Europe</v>
      </c>
      <c r="O777">
        <f>VLOOKUP($D777,'[2]product Table data'!$A$2:$G$12,O$1,FALSE)</f>
        <v>350</v>
      </c>
      <c r="P777">
        <f>VLOOKUP($D777,'[2]product Table data'!$A$2:$G$12,P$1,FALSE)</f>
        <v>450</v>
      </c>
      <c r="Q777">
        <f t="shared" si="60"/>
        <v>100</v>
      </c>
      <c r="R777" t="str">
        <f t="shared" si="61"/>
        <v>-</v>
      </c>
      <c r="S777" t="str">
        <f t="shared" si="62"/>
        <v>-</v>
      </c>
      <c r="T777" t="str">
        <f t="shared" si="63"/>
        <v>-</v>
      </c>
      <c r="U777" t="str">
        <f t="shared" si="64"/>
        <v>High Value</v>
      </c>
    </row>
    <row r="778" spans="1:21" x14ac:dyDescent="0.2">
      <c r="A778" s="2">
        <v>64</v>
      </c>
      <c r="B778" s="2" t="s">
        <v>9</v>
      </c>
      <c r="C778" s="2" t="s">
        <v>556</v>
      </c>
      <c r="D778" s="2" t="s">
        <v>45</v>
      </c>
      <c r="E778" s="2">
        <v>10001</v>
      </c>
      <c r="F778" s="2" t="s">
        <v>35</v>
      </c>
      <c r="G778" s="2" t="s">
        <v>36</v>
      </c>
      <c r="H778" s="2">
        <v>1</v>
      </c>
      <c r="I778" s="2" t="s">
        <v>14</v>
      </c>
      <c r="J778" s="2" t="str">
        <f>VLOOKUP(E778,[1]LL_Hub!$A$1:$B$13,2,FALSE)</f>
        <v>New York</v>
      </c>
      <c r="K778" t="str">
        <f>VLOOKUP(D778,'[2]product Table data'!$A$2:$B$12,2,FALSE)</f>
        <v>Female</v>
      </c>
      <c r="L778" t="str">
        <f>VLOOKUP($D778,'[2]product Table data'!$A$2:$G$12,L$1,FALSE)</f>
        <v>Winter Warmth</v>
      </c>
      <c r="M778" t="str">
        <f>VLOOKUP($D778,'[2]product Table data'!$A$2:$G$12,M$1,FALSE)</f>
        <v>Romania</v>
      </c>
      <c r="N778" t="str">
        <f>VLOOKUP($D778,'[2]product Table data'!$A$2:$G$12,N$1,FALSE)</f>
        <v>Eastern Europe</v>
      </c>
      <c r="O778">
        <f>VLOOKUP($D778,'[2]product Table data'!$A$2:$G$12,O$1,FALSE)</f>
        <v>350</v>
      </c>
      <c r="P778">
        <f>VLOOKUP($D778,'[2]product Table data'!$A$2:$G$12,P$1,FALSE)</f>
        <v>450</v>
      </c>
      <c r="Q778">
        <f t="shared" si="60"/>
        <v>100</v>
      </c>
      <c r="R778" t="str">
        <f t="shared" si="61"/>
        <v>-</v>
      </c>
      <c r="S778" t="str">
        <f t="shared" si="62"/>
        <v>-</v>
      </c>
      <c r="T778" t="str">
        <f t="shared" si="63"/>
        <v>-</v>
      </c>
      <c r="U778" t="str">
        <f t="shared" si="64"/>
        <v>High Value</v>
      </c>
    </row>
    <row r="779" spans="1:21" x14ac:dyDescent="0.2">
      <c r="A779" s="2">
        <v>66</v>
      </c>
      <c r="B779" s="2" t="s">
        <v>9</v>
      </c>
      <c r="C779" s="2" t="s">
        <v>559</v>
      </c>
      <c r="D779" s="2" t="s">
        <v>45</v>
      </c>
      <c r="E779" s="2">
        <v>10001</v>
      </c>
      <c r="F779" s="2" t="s">
        <v>35</v>
      </c>
      <c r="G779" s="2" t="s">
        <v>36</v>
      </c>
      <c r="H779" s="2">
        <v>1</v>
      </c>
      <c r="I779" s="2" t="s">
        <v>14</v>
      </c>
      <c r="J779" s="2" t="str">
        <f>VLOOKUP(E779,[1]LL_Hub!$A$1:$B$13,2,FALSE)</f>
        <v>New York</v>
      </c>
      <c r="K779" t="str">
        <f>VLOOKUP(D779,'[2]product Table data'!$A$2:$B$12,2,FALSE)</f>
        <v>Female</v>
      </c>
      <c r="L779" t="str">
        <f>VLOOKUP($D779,'[2]product Table data'!$A$2:$G$12,L$1,FALSE)</f>
        <v>Winter Warmth</v>
      </c>
      <c r="M779" t="str">
        <f>VLOOKUP($D779,'[2]product Table data'!$A$2:$G$12,M$1,FALSE)</f>
        <v>Romania</v>
      </c>
      <c r="N779" t="str">
        <f>VLOOKUP($D779,'[2]product Table data'!$A$2:$G$12,N$1,FALSE)</f>
        <v>Eastern Europe</v>
      </c>
      <c r="O779">
        <f>VLOOKUP($D779,'[2]product Table data'!$A$2:$G$12,O$1,FALSE)</f>
        <v>350</v>
      </c>
      <c r="P779">
        <f>VLOOKUP($D779,'[2]product Table data'!$A$2:$G$12,P$1,FALSE)</f>
        <v>450</v>
      </c>
      <c r="Q779">
        <f t="shared" si="60"/>
        <v>100</v>
      </c>
      <c r="R779" t="str">
        <f t="shared" si="61"/>
        <v>-</v>
      </c>
      <c r="S779" t="str">
        <f t="shared" si="62"/>
        <v>-</v>
      </c>
      <c r="T779" t="str">
        <f t="shared" si="63"/>
        <v>-</v>
      </c>
      <c r="U779" t="str">
        <f t="shared" si="64"/>
        <v>High Value</v>
      </c>
    </row>
    <row r="780" spans="1:21" x14ac:dyDescent="0.2">
      <c r="A780" s="2">
        <v>71</v>
      </c>
      <c r="B780" s="2" t="s">
        <v>9</v>
      </c>
      <c r="C780" s="2" t="s">
        <v>563</v>
      </c>
      <c r="D780" s="2" t="s">
        <v>45</v>
      </c>
      <c r="E780" s="2">
        <v>10001</v>
      </c>
      <c r="F780" s="2" t="s">
        <v>564</v>
      </c>
      <c r="G780" s="2" t="s">
        <v>13</v>
      </c>
      <c r="H780" s="2">
        <v>1</v>
      </c>
      <c r="I780" s="2" t="s">
        <v>14</v>
      </c>
      <c r="J780" s="2" t="str">
        <f>VLOOKUP(E780,[1]LL_Hub!$A$1:$B$13,2,FALSE)</f>
        <v>New York</v>
      </c>
      <c r="K780" t="str">
        <f>VLOOKUP(D780,'[2]product Table data'!$A$2:$B$12,2,FALSE)</f>
        <v>Female</v>
      </c>
      <c r="L780" t="str">
        <f>VLOOKUP($D780,'[2]product Table data'!$A$2:$G$12,L$1,FALSE)</f>
        <v>Winter Warmth</v>
      </c>
      <c r="M780" t="str">
        <f>VLOOKUP($D780,'[2]product Table data'!$A$2:$G$12,M$1,FALSE)</f>
        <v>Romania</v>
      </c>
      <c r="N780" t="str">
        <f>VLOOKUP($D780,'[2]product Table data'!$A$2:$G$12,N$1,FALSE)</f>
        <v>Eastern Europe</v>
      </c>
      <c r="O780">
        <f>VLOOKUP($D780,'[2]product Table data'!$A$2:$G$12,O$1,FALSE)</f>
        <v>350</v>
      </c>
      <c r="P780">
        <f>VLOOKUP($D780,'[2]product Table data'!$A$2:$G$12,P$1,FALSE)</f>
        <v>450</v>
      </c>
      <c r="Q780">
        <f t="shared" si="60"/>
        <v>100</v>
      </c>
      <c r="R780" t="str">
        <f t="shared" si="61"/>
        <v>-</v>
      </c>
      <c r="S780" t="str">
        <f t="shared" si="62"/>
        <v>-</v>
      </c>
      <c r="T780" t="str">
        <f t="shared" si="63"/>
        <v>-</v>
      </c>
      <c r="U780" t="str">
        <f t="shared" si="64"/>
        <v>High Value</v>
      </c>
    </row>
    <row r="781" spans="1:21" x14ac:dyDescent="0.2">
      <c r="A781" s="2">
        <v>73</v>
      </c>
      <c r="B781" s="2" t="s">
        <v>9</v>
      </c>
      <c r="C781" s="2" t="s">
        <v>568</v>
      </c>
      <c r="D781" s="2" t="s">
        <v>45</v>
      </c>
      <c r="E781" s="2">
        <v>10001</v>
      </c>
      <c r="F781" s="2" t="s">
        <v>569</v>
      </c>
      <c r="G781" s="2" t="s">
        <v>13</v>
      </c>
      <c r="H781" s="2">
        <v>1</v>
      </c>
      <c r="I781" s="2" t="s">
        <v>14</v>
      </c>
      <c r="J781" s="2" t="str">
        <f>VLOOKUP(E781,[1]LL_Hub!$A$1:$B$13,2,FALSE)</f>
        <v>New York</v>
      </c>
      <c r="K781" t="str">
        <f>VLOOKUP(D781,'[2]product Table data'!$A$2:$B$12,2,FALSE)</f>
        <v>Female</v>
      </c>
      <c r="L781" t="str">
        <f>VLOOKUP($D781,'[2]product Table data'!$A$2:$G$12,L$1,FALSE)</f>
        <v>Winter Warmth</v>
      </c>
      <c r="M781" t="str">
        <f>VLOOKUP($D781,'[2]product Table data'!$A$2:$G$12,M$1,FALSE)</f>
        <v>Romania</v>
      </c>
      <c r="N781" t="str">
        <f>VLOOKUP($D781,'[2]product Table data'!$A$2:$G$12,N$1,FALSE)</f>
        <v>Eastern Europe</v>
      </c>
      <c r="O781">
        <f>VLOOKUP($D781,'[2]product Table data'!$A$2:$G$12,O$1,FALSE)</f>
        <v>350</v>
      </c>
      <c r="P781">
        <f>VLOOKUP($D781,'[2]product Table data'!$A$2:$G$12,P$1,FALSE)</f>
        <v>450</v>
      </c>
      <c r="Q781">
        <f t="shared" si="60"/>
        <v>100</v>
      </c>
      <c r="R781" t="str">
        <f t="shared" si="61"/>
        <v>-</v>
      </c>
      <c r="S781" t="str">
        <f t="shared" si="62"/>
        <v>-</v>
      </c>
      <c r="T781" t="str">
        <f t="shared" si="63"/>
        <v>-</v>
      </c>
      <c r="U781" t="str">
        <f t="shared" si="64"/>
        <v>High Value</v>
      </c>
    </row>
    <row r="782" spans="1:21" hidden="1" x14ac:dyDescent="0.2">
      <c r="A782" s="2">
        <v>554</v>
      </c>
      <c r="B782" s="2" t="s">
        <v>9</v>
      </c>
      <c r="C782" s="2" t="s">
        <v>1157</v>
      </c>
      <c r="D782" s="2" t="s">
        <v>604</v>
      </c>
      <c r="E782" s="2">
        <v>33159</v>
      </c>
      <c r="F782" s="2" t="s">
        <v>98</v>
      </c>
      <c r="G782" s="2" t="s">
        <v>36</v>
      </c>
      <c r="H782" s="2">
        <v>1</v>
      </c>
      <c r="I782" s="2" t="s">
        <v>17</v>
      </c>
      <c r="J782" s="2" t="str">
        <f>VLOOKUP(E782,[1]LL_Hub!$A$1:$B$13,2,FALSE)</f>
        <v>Miami</v>
      </c>
      <c r="K782" t="str">
        <f>VLOOKUP(D782,'[2]product Table data'!$A$2:$B$12,2,FALSE)</f>
        <v>Female</v>
      </c>
      <c r="L782" t="str">
        <f>VLOOKUP($D782,'[2]product Table data'!$A$2:$G$12,L$1,FALSE)</f>
        <v>Fancy Sheek</v>
      </c>
      <c r="M782" t="str">
        <f>VLOOKUP($D782,'[2]product Table data'!$A$2:$G$12,M$1,FALSE)</f>
        <v>Iran</v>
      </c>
      <c r="N782" t="str">
        <f>VLOOKUP($D782,'[2]product Table data'!$A$2:$G$12,N$1,FALSE)</f>
        <v>Middle East</v>
      </c>
      <c r="O782">
        <f>VLOOKUP($D782,'[2]product Table data'!$A$2:$G$12,O$1,FALSE)</f>
        <v>75</v>
      </c>
      <c r="P782">
        <f>VLOOKUP($D782,'[2]product Table data'!$A$2:$G$12,P$1,FALSE)</f>
        <v>125</v>
      </c>
      <c r="Q782">
        <f t="shared" si="60"/>
        <v>50</v>
      </c>
      <c r="R782" t="str">
        <f t="shared" si="61"/>
        <v>-</v>
      </c>
      <c r="S782" t="str">
        <f t="shared" si="62"/>
        <v>Style Risk</v>
      </c>
      <c r="T782" t="str">
        <f t="shared" si="63"/>
        <v>-</v>
      </c>
      <c r="U782" t="str">
        <f t="shared" si="64"/>
        <v>High Value</v>
      </c>
    </row>
    <row r="783" spans="1:21" hidden="1" x14ac:dyDescent="0.2">
      <c r="A783" s="2">
        <v>555</v>
      </c>
      <c r="B783" s="2" t="s">
        <v>9</v>
      </c>
      <c r="C783" s="2" t="s">
        <v>1158</v>
      </c>
      <c r="D783" s="2" t="s">
        <v>45</v>
      </c>
      <c r="E783" s="2">
        <v>10001</v>
      </c>
      <c r="F783" s="2" t="s">
        <v>42</v>
      </c>
      <c r="G783" s="2" t="s">
        <v>36</v>
      </c>
      <c r="H783" s="2">
        <v>1</v>
      </c>
      <c r="I783" s="2" t="s">
        <v>39</v>
      </c>
      <c r="J783" s="2" t="str">
        <f>VLOOKUP(E783,[1]LL_Hub!$A$1:$B$13,2,FALSE)</f>
        <v>New York</v>
      </c>
      <c r="K783" t="str">
        <f>VLOOKUP(D783,'[2]product Table data'!$A$2:$B$12,2,FALSE)</f>
        <v>Female</v>
      </c>
      <c r="L783" t="str">
        <f>VLOOKUP($D783,'[2]product Table data'!$A$2:$G$12,L$1,FALSE)</f>
        <v>Winter Warmth</v>
      </c>
      <c r="M783" t="str">
        <f>VLOOKUP($D783,'[2]product Table data'!$A$2:$G$12,M$1,FALSE)</f>
        <v>Romania</v>
      </c>
      <c r="N783" t="str">
        <f>VLOOKUP($D783,'[2]product Table data'!$A$2:$G$12,N$1,FALSE)</f>
        <v>Eastern Europe</v>
      </c>
      <c r="O783">
        <f>VLOOKUP($D783,'[2]product Table data'!$A$2:$G$12,O$1,FALSE)</f>
        <v>350</v>
      </c>
      <c r="P783">
        <f>VLOOKUP($D783,'[2]product Table data'!$A$2:$G$12,P$1,FALSE)</f>
        <v>450</v>
      </c>
      <c r="Q783">
        <f t="shared" si="60"/>
        <v>100</v>
      </c>
      <c r="R783" t="str">
        <f t="shared" si="61"/>
        <v>-</v>
      </c>
      <c r="S783" t="str">
        <f t="shared" si="62"/>
        <v>-</v>
      </c>
      <c r="T783" t="str">
        <f t="shared" si="63"/>
        <v>-</v>
      </c>
      <c r="U783" t="str">
        <f t="shared" si="64"/>
        <v>High Value</v>
      </c>
    </row>
    <row r="784" spans="1:21" hidden="1" x14ac:dyDescent="0.2">
      <c r="A784" s="2">
        <v>556</v>
      </c>
      <c r="B784" s="2" t="s">
        <v>9</v>
      </c>
      <c r="C784" s="2" t="s">
        <v>1159</v>
      </c>
      <c r="D784" s="2" t="s">
        <v>45</v>
      </c>
      <c r="E784" s="2">
        <v>10001</v>
      </c>
      <c r="F784" s="2" t="s">
        <v>42</v>
      </c>
      <c r="G784" s="2" t="s">
        <v>36</v>
      </c>
      <c r="H784" s="2">
        <v>1</v>
      </c>
      <c r="I784" s="2" t="s">
        <v>39</v>
      </c>
      <c r="J784" s="2" t="str">
        <f>VLOOKUP(E784,[1]LL_Hub!$A$1:$B$13,2,FALSE)</f>
        <v>New York</v>
      </c>
      <c r="K784" t="str">
        <f>VLOOKUP(D784,'[2]product Table data'!$A$2:$B$12,2,FALSE)</f>
        <v>Female</v>
      </c>
      <c r="L784" t="str">
        <f>VLOOKUP($D784,'[2]product Table data'!$A$2:$G$12,L$1,FALSE)</f>
        <v>Winter Warmth</v>
      </c>
      <c r="M784" t="str">
        <f>VLOOKUP($D784,'[2]product Table data'!$A$2:$G$12,M$1,FALSE)</f>
        <v>Romania</v>
      </c>
      <c r="N784" t="str">
        <f>VLOOKUP($D784,'[2]product Table data'!$A$2:$G$12,N$1,FALSE)</f>
        <v>Eastern Europe</v>
      </c>
      <c r="O784">
        <f>VLOOKUP($D784,'[2]product Table data'!$A$2:$G$12,O$1,FALSE)</f>
        <v>350</v>
      </c>
      <c r="P784">
        <f>VLOOKUP($D784,'[2]product Table data'!$A$2:$G$12,P$1,FALSE)</f>
        <v>450</v>
      </c>
      <c r="Q784">
        <f t="shared" si="60"/>
        <v>100</v>
      </c>
      <c r="R784" t="str">
        <f t="shared" si="61"/>
        <v>-</v>
      </c>
      <c r="S784" t="str">
        <f t="shared" si="62"/>
        <v>-</v>
      </c>
      <c r="T784" t="str">
        <f t="shared" si="63"/>
        <v>-</v>
      </c>
      <c r="U784" t="str">
        <f t="shared" si="64"/>
        <v>High Value</v>
      </c>
    </row>
    <row r="785" spans="1:21" hidden="1" x14ac:dyDescent="0.2">
      <c r="A785" s="2">
        <v>557</v>
      </c>
      <c r="B785" s="2" t="s">
        <v>9</v>
      </c>
      <c r="C785" s="2" t="s">
        <v>1160</v>
      </c>
      <c r="D785" s="2" t="s">
        <v>45</v>
      </c>
      <c r="E785" s="2">
        <v>10001</v>
      </c>
      <c r="F785" s="2" t="s">
        <v>42</v>
      </c>
      <c r="G785" s="2" t="s">
        <v>36</v>
      </c>
      <c r="H785" s="2">
        <v>1</v>
      </c>
      <c r="I785" s="2" t="s">
        <v>39</v>
      </c>
      <c r="J785" s="2" t="str">
        <f>VLOOKUP(E785,[1]LL_Hub!$A$1:$B$13,2,FALSE)</f>
        <v>New York</v>
      </c>
      <c r="K785" t="str">
        <f>VLOOKUP(D785,'[2]product Table data'!$A$2:$B$12,2,FALSE)</f>
        <v>Female</v>
      </c>
      <c r="L785" t="str">
        <f>VLOOKUP($D785,'[2]product Table data'!$A$2:$G$12,L$1,FALSE)</f>
        <v>Winter Warmth</v>
      </c>
      <c r="M785" t="str">
        <f>VLOOKUP($D785,'[2]product Table data'!$A$2:$G$12,M$1,FALSE)</f>
        <v>Romania</v>
      </c>
      <c r="N785" t="str">
        <f>VLOOKUP($D785,'[2]product Table data'!$A$2:$G$12,N$1,FALSE)</f>
        <v>Eastern Europe</v>
      </c>
      <c r="O785">
        <f>VLOOKUP($D785,'[2]product Table data'!$A$2:$G$12,O$1,FALSE)</f>
        <v>350</v>
      </c>
      <c r="P785">
        <f>VLOOKUP($D785,'[2]product Table data'!$A$2:$G$12,P$1,FALSE)</f>
        <v>450</v>
      </c>
      <c r="Q785">
        <f t="shared" si="60"/>
        <v>100</v>
      </c>
      <c r="R785" t="str">
        <f t="shared" si="61"/>
        <v>-</v>
      </c>
      <c r="S785" t="str">
        <f t="shared" si="62"/>
        <v>-</v>
      </c>
      <c r="T785" t="str">
        <f t="shared" si="63"/>
        <v>-</v>
      </c>
      <c r="U785" t="str">
        <f t="shared" si="64"/>
        <v>High Value</v>
      </c>
    </row>
    <row r="786" spans="1:21" hidden="1" x14ac:dyDescent="0.2">
      <c r="A786" s="2">
        <v>558</v>
      </c>
      <c r="B786" s="2" t="s">
        <v>9</v>
      </c>
      <c r="C786" s="2" t="s">
        <v>1161</v>
      </c>
      <c r="D786" s="2" t="s">
        <v>45</v>
      </c>
      <c r="E786" s="2">
        <v>10001</v>
      </c>
      <c r="F786" s="2" t="s">
        <v>42</v>
      </c>
      <c r="G786" s="2" t="s">
        <v>36</v>
      </c>
      <c r="H786" s="2">
        <v>1</v>
      </c>
      <c r="I786" s="2" t="s">
        <v>39</v>
      </c>
      <c r="J786" s="2" t="str">
        <f>VLOOKUP(E786,[1]LL_Hub!$A$1:$B$13,2,FALSE)</f>
        <v>New York</v>
      </c>
      <c r="K786" t="str">
        <f>VLOOKUP(D786,'[2]product Table data'!$A$2:$B$12,2,FALSE)</f>
        <v>Female</v>
      </c>
      <c r="L786" t="str">
        <f>VLOOKUP($D786,'[2]product Table data'!$A$2:$G$12,L$1,FALSE)</f>
        <v>Winter Warmth</v>
      </c>
      <c r="M786" t="str">
        <f>VLOOKUP($D786,'[2]product Table data'!$A$2:$G$12,M$1,FALSE)</f>
        <v>Romania</v>
      </c>
      <c r="N786" t="str">
        <f>VLOOKUP($D786,'[2]product Table data'!$A$2:$G$12,N$1,FALSE)</f>
        <v>Eastern Europe</v>
      </c>
      <c r="O786">
        <f>VLOOKUP($D786,'[2]product Table data'!$A$2:$G$12,O$1,FALSE)</f>
        <v>350</v>
      </c>
      <c r="P786">
        <f>VLOOKUP($D786,'[2]product Table data'!$A$2:$G$12,P$1,FALSE)</f>
        <v>450</v>
      </c>
      <c r="Q786">
        <f t="shared" si="60"/>
        <v>100</v>
      </c>
      <c r="R786" t="str">
        <f t="shared" si="61"/>
        <v>-</v>
      </c>
      <c r="S786" t="str">
        <f t="shared" si="62"/>
        <v>-</v>
      </c>
      <c r="T786" t="str">
        <f t="shared" si="63"/>
        <v>-</v>
      </c>
      <c r="U786" t="str">
        <f t="shared" si="64"/>
        <v>High Value</v>
      </c>
    </row>
    <row r="787" spans="1:21" hidden="1" x14ac:dyDescent="0.2">
      <c r="A787" s="2">
        <v>559</v>
      </c>
      <c r="B787" s="2" t="s">
        <v>9</v>
      </c>
      <c r="C787" s="2" t="s">
        <v>1162</v>
      </c>
      <c r="D787" s="2" t="s">
        <v>45</v>
      </c>
      <c r="E787" s="2">
        <v>10001</v>
      </c>
      <c r="F787" s="2" t="s">
        <v>42</v>
      </c>
      <c r="G787" s="2" t="s">
        <v>36</v>
      </c>
      <c r="H787" s="2">
        <v>1</v>
      </c>
      <c r="I787" s="2" t="s">
        <v>39</v>
      </c>
      <c r="J787" s="2" t="str">
        <f>VLOOKUP(E787,[1]LL_Hub!$A$1:$B$13,2,FALSE)</f>
        <v>New York</v>
      </c>
      <c r="K787" t="str">
        <f>VLOOKUP(D787,'[2]product Table data'!$A$2:$B$12,2,FALSE)</f>
        <v>Female</v>
      </c>
      <c r="L787" t="str">
        <f>VLOOKUP($D787,'[2]product Table data'!$A$2:$G$12,L$1,FALSE)</f>
        <v>Winter Warmth</v>
      </c>
      <c r="M787" t="str">
        <f>VLOOKUP($D787,'[2]product Table data'!$A$2:$G$12,M$1,FALSE)</f>
        <v>Romania</v>
      </c>
      <c r="N787" t="str">
        <f>VLOOKUP($D787,'[2]product Table data'!$A$2:$G$12,N$1,FALSE)</f>
        <v>Eastern Europe</v>
      </c>
      <c r="O787">
        <f>VLOOKUP($D787,'[2]product Table data'!$A$2:$G$12,O$1,FALSE)</f>
        <v>350</v>
      </c>
      <c r="P787">
        <f>VLOOKUP($D787,'[2]product Table data'!$A$2:$G$12,P$1,FALSE)</f>
        <v>450</v>
      </c>
      <c r="Q787">
        <f t="shared" si="60"/>
        <v>100</v>
      </c>
      <c r="R787" t="str">
        <f t="shared" si="61"/>
        <v>-</v>
      </c>
      <c r="S787" t="str">
        <f t="shared" si="62"/>
        <v>-</v>
      </c>
      <c r="T787" t="str">
        <f t="shared" si="63"/>
        <v>-</v>
      </c>
      <c r="U787" t="str">
        <f t="shared" si="64"/>
        <v>High Value</v>
      </c>
    </row>
    <row r="788" spans="1:21" hidden="1" x14ac:dyDescent="0.2">
      <c r="A788" s="2">
        <v>560</v>
      </c>
      <c r="B788" s="2" t="s">
        <v>9</v>
      </c>
      <c r="C788" s="2" t="s">
        <v>1163</v>
      </c>
      <c r="D788" s="2" t="s">
        <v>45</v>
      </c>
      <c r="E788" s="2">
        <v>10001</v>
      </c>
      <c r="F788" s="2" t="s">
        <v>42</v>
      </c>
      <c r="G788" s="2" t="s">
        <v>36</v>
      </c>
      <c r="H788" s="2">
        <v>1</v>
      </c>
      <c r="I788" s="2" t="s">
        <v>39</v>
      </c>
      <c r="J788" s="2" t="str">
        <f>VLOOKUP(E788,[1]LL_Hub!$A$1:$B$13,2,FALSE)</f>
        <v>New York</v>
      </c>
      <c r="K788" t="str">
        <f>VLOOKUP(D788,'[2]product Table data'!$A$2:$B$12,2,FALSE)</f>
        <v>Female</v>
      </c>
      <c r="L788" t="str">
        <f>VLOOKUP($D788,'[2]product Table data'!$A$2:$G$12,L$1,FALSE)</f>
        <v>Winter Warmth</v>
      </c>
      <c r="M788" t="str">
        <f>VLOOKUP($D788,'[2]product Table data'!$A$2:$G$12,M$1,FALSE)</f>
        <v>Romania</v>
      </c>
      <c r="N788" t="str">
        <f>VLOOKUP($D788,'[2]product Table data'!$A$2:$G$12,N$1,FALSE)</f>
        <v>Eastern Europe</v>
      </c>
      <c r="O788">
        <f>VLOOKUP($D788,'[2]product Table data'!$A$2:$G$12,O$1,FALSE)</f>
        <v>350</v>
      </c>
      <c r="P788">
        <f>VLOOKUP($D788,'[2]product Table data'!$A$2:$G$12,P$1,FALSE)</f>
        <v>450</v>
      </c>
      <c r="Q788">
        <f t="shared" si="60"/>
        <v>100</v>
      </c>
      <c r="R788" t="str">
        <f t="shared" si="61"/>
        <v>-</v>
      </c>
      <c r="S788" t="str">
        <f t="shared" si="62"/>
        <v>-</v>
      </c>
      <c r="T788" t="str">
        <f t="shared" si="63"/>
        <v>-</v>
      </c>
      <c r="U788" t="str">
        <f t="shared" si="64"/>
        <v>High Value</v>
      </c>
    </row>
    <row r="789" spans="1:21" hidden="1" x14ac:dyDescent="0.2">
      <c r="A789" s="2">
        <v>561</v>
      </c>
      <c r="B789" s="2" t="s">
        <v>9</v>
      </c>
      <c r="C789" s="2" t="s">
        <v>1164</v>
      </c>
      <c r="D789" s="2" t="s">
        <v>45</v>
      </c>
      <c r="E789" s="2">
        <v>10001</v>
      </c>
      <c r="F789" s="2" t="s">
        <v>42</v>
      </c>
      <c r="G789" s="2" t="s">
        <v>36</v>
      </c>
      <c r="H789" s="2">
        <v>1</v>
      </c>
      <c r="I789" s="2" t="s">
        <v>39</v>
      </c>
      <c r="J789" s="2" t="str">
        <f>VLOOKUP(E789,[1]LL_Hub!$A$1:$B$13,2,FALSE)</f>
        <v>New York</v>
      </c>
      <c r="K789" t="str">
        <f>VLOOKUP(D789,'[2]product Table data'!$A$2:$B$12,2,FALSE)</f>
        <v>Female</v>
      </c>
      <c r="L789" t="str">
        <f>VLOOKUP($D789,'[2]product Table data'!$A$2:$G$12,L$1,FALSE)</f>
        <v>Winter Warmth</v>
      </c>
      <c r="M789" t="str">
        <f>VLOOKUP($D789,'[2]product Table data'!$A$2:$G$12,M$1,FALSE)</f>
        <v>Romania</v>
      </c>
      <c r="N789" t="str">
        <f>VLOOKUP($D789,'[2]product Table data'!$A$2:$G$12,N$1,FALSE)</f>
        <v>Eastern Europe</v>
      </c>
      <c r="O789">
        <f>VLOOKUP($D789,'[2]product Table data'!$A$2:$G$12,O$1,FALSE)</f>
        <v>350</v>
      </c>
      <c r="P789">
        <f>VLOOKUP($D789,'[2]product Table data'!$A$2:$G$12,P$1,FALSE)</f>
        <v>450</v>
      </c>
      <c r="Q789">
        <f t="shared" si="60"/>
        <v>100</v>
      </c>
      <c r="R789" t="str">
        <f t="shared" si="61"/>
        <v>-</v>
      </c>
      <c r="S789" t="str">
        <f t="shared" si="62"/>
        <v>-</v>
      </c>
      <c r="T789" t="str">
        <f t="shared" si="63"/>
        <v>-</v>
      </c>
      <c r="U789" t="str">
        <f t="shared" si="64"/>
        <v>High Value</v>
      </c>
    </row>
    <row r="790" spans="1:21" hidden="1" x14ac:dyDescent="0.2">
      <c r="A790" s="2">
        <v>562</v>
      </c>
      <c r="B790" s="2" t="s">
        <v>9</v>
      </c>
      <c r="C790" s="2" t="s">
        <v>1165</v>
      </c>
      <c r="D790" s="2" t="s">
        <v>45</v>
      </c>
      <c r="E790" s="2">
        <v>10001</v>
      </c>
      <c r="F790" s="2" t="s">
        <v>42</v>
      </c>
      <c r="G790" s="2" t="s">
        <v>36</v>
      </c>
      <c r="H790" s="2">
        <v>1</v>
      </c>
      <c r="I790" s="2" t="s">
        <v>39</v>
      </c>
      <c r="J790" s="2" t="str">
        <f>VLOOKUP(E790,[1]LL_Hub!$A$1:$B$13,2,FALSE)</f>
        <v>New York</v>
      </c>
      <c r="K790" t="str">
        <f>VLOOKUP(D790,'[2]product Table data'!$A$2:$B$12,2,FALSE)</f>
        <v>Female</v>
      </c>
      <c r="L790" t="str">
        <f>VLOOKUP($D790,'[2]product Table data'!$A$2:$G$12,L$1,FALSE)</f>
        <v>Winter Warmth</v>
      </c>
      <c r="M790" t="str">
        <f>VLOOKUP($D790,'[2]product Table data'!$A$2:$G$12,M$1,FALSE)</f>
        <v>Romania</v>
      </c>
      <c r="N790" t="str">
        <f>VLOOKUP($D790,'[2]product Table data'!$A$2:$G$12,N$1,FALSE)</f>
        <v>Eastern Europe</v>
      </c>
      <c r="O790">
        <f>VLOOKUP($D790,'[2]product Table data'!$A$2:$G$12,O$1,FALSE)</f>
        <v>350</v>
      </c>
      <c r="P790">
        <f>VLOOKUP($D790,'[2]product Table data'!$A$2:$G$12,P$1,FALSE)</f>
        <v>450</v>
      </c>
      <c r="Q790">
        <f t="shared" si="60"/>
        <v>100</v>
      </c>
      <c r="R790" t="str">
        <f t="shared" si="61"/>
        <v>-</v>
      </c>
      <c r="S790" t="str">
        <f t="shared" si="62"/>
        <v>-</v>
      </c>
      <c r="T790" t="str">
        <f t="shared" si="63"/>
        <v>-</v>
      </c>
      <c r="U790" t="str">
        <f t="shared" si="64"/>
        <v>High Value</v>
      </c>
    </row>
    <row r="791" spans="1:21" hidden="1" x14ac:dyDescent="0.2">
      <c r="A791" s="2">
        <v>563</v>
      </c>
      <c r="B791" s="2" t="s">
        <v>9</v>
      </c>
      <c r="C791" s="2" t="s">
        <v>1166</v>
      </c>
      <c r="D791" s="2" t="s">
        <v>45</v>
      </c>
      <c r="E791" s="2">
        <v>10001</v>
      </c>
      <c r="F791" s="2" t="s">
        <v>42</v>
      </c>
      <c r="G791" s="2" t="s">
        <v>36</v>
      </c>
      <c r="H791" s="2">
        <v>1</v>
      </c>
      <c r="I791" s="2" t="s">
        <v>39</v>
      </c>
      <c r="J791" s="2" t="str">
        <f>VLOOKUP(E791,[1]LL_Hub!$A$1:$B$13,2,FALSE)</f>
        <v>New York</v>
      </c>
      <c r="K791" t="str">
        <f>VLOOKUP(D791,'[2]product Table data'!$A$2:$B$12,2,FALSE)</f>
        <v>Female</v>
      </c>
      <c r="L791" t="str">
        <f>VLOOKUP($D791,'[2]product Table data'!$A$2:$G$12,L$1,FALSE)</f>
        <v>Winter Warmth</v>
      </c>
      <c r="M791" t="str">
        <f>VLOOKUP($D791,'[2]product Table data'!$A$2:$G$12,M$1,FALSE)</f>
        <v>Romania</v>
      </c>
      <c r="N791" t="str">
        <f>VLOOKUP($D791,'[2]product Table data'!$A$2:$G$12,N$1,FALSE)</f>
        <v>Eastern Europe</v>
      </c>
      <c r="O791">
        <f>VLOOKUP($D791,'[2]product Table data'!$A$2:$G$12,O$1,FALSE)</f>
        <v>350</v>
      </c>
      <c r="P791">
        <f>VLOOKUP($D791,'[2]product Table data'!$A$2:$G$12,P$1,FALSE)</f>
        <v>450</v>
      </c>
      <c r="Q791">
        <f t="shared" si="60"/>
        <v>100</v>
      </c>
      <c r="R791" t="str">
        <f t="shared" si="61"/>
        <v>-</v>
      </c>
      <c r="S791" t="str">
        <f t="shared" si="62"/>
        <v>-</v>
      </c>
      <c r="T791" t="str">
        <f t="shared" si="63"/>
        <v>-</v>
      </c>
      <c r="U791" t="str">
        <f t="shared" si="64"/>
        <v>High Value</v>
      </c>
    </row>
    <row r="792" spans="1:21" hidden="1" x14ac:dyDescent="0.2">
      <c r="A792" s="2">
        <v>564</v>
      </c>
      <c r="B792" s="2" t="s">
        <v>9</v>
      </c>
      <c r="C792" s="2" t="s">
        <v>1167</v>
      </c>
      <c r="D792" s="2" t="s">
        <v>45</v>
      </c>
      <c r="E792" s="2">
        <v>10001</v>
      </c>
      <c r="F792" s="2" t="s">
        <v>42</v>
      </c>
      <c r="G792" s="2" t="s">
        <v>36</v>
      </c>
      <c r="H792" s="2">
        <v>1</v>
      </c>
      <c r="I792" s="2" t="s">
        <v>39</v>
      </c>
      <c r="J792" s="2" t="str">
        <f>VLOOKUP(E792,[1]LL_Hub!$A$1:$B$13,2,FALSE)</f>
        <v>New York</v>
      </c>
      <c r="K792" t="str">
        <f>VLOOKUP(D792,'[2]product Table data'!$A$2:$B$12,2,FALSE)</f>
        <v>Female</v>
      </c>
      <c r="L792" t="str">
        <f>VLOOKUP($D792,'[2]product Table data'!$A$2:$G$12,L$1,FALSE)</f>
        <v>Winter Warmth</v>
      </c>
      <c r="M792" t="str">
        <f>VLOOKUP($D792,'[2]product Table data'!$A$2:$G$12,M$1,FALSE)</f>
        <v>Romania</v>
      </c>
      <c r="N792" t="str">
        <f>VLOOKUP($D792,'[2]product Table data'!$A$2:$G$12,N$1,FALSE)</f>
        <v>Eastern Europe</v>
      </c>
      <c r="O792">
        <f>VLOOKUP($D792,'[2]product Table data'!$A$2:$G$12,O$1,FALSE)</f>
        <v>350</v>
      </c>
      <c r="P792">
        <f>VLOOKUP($D792,'[2]product Table data'!$A$2:$G$12,P$1,FALSE)</f>
        <v>450</v>
      </c>
      <c r="Q792">
        <f t="shared" si="60"/>
        <v>100</v>
      </c>
      <c r="R792" t="str">
        <f t="shared" si="61"/>
        <v>-</v>
      </c>
      <c r="S792" t="str">
        <f t="shared" si="62"/>
        <v>-</v>
      </c>
      <c r="T792" t="str">
        <f t="shared" si="63"/>
        <v>-</v>
      </c>
      <c r="U792" t="str">
        <f t="shared" si="64"/>
        <v>High Value</v>
      </c>
    </row>
    <row r="793" spans="1:21" hidden="1" x14ac:dyDescent="0.2">
      <c r="A793" s="2">
        <v>565</v>
      </c>
      <c r="B793" s="2" t="s">
        <v>9</v>
      </c>
      <c r="C793" s="2" t="s">
        <v>1168</v>
      </c>
      <c r="D793" s="2" t="s">
        <v>45</v>
      </c>
      <c r="E793" s="2">
        <v>10001</v>
      </c>
      <c r="F793" s="2" t="s">
        <v>42</v>
      </c>
      <c r="G793" s="2" t="s">
        <v>36</v>
      </c>
      <c r="H793" s="2">
        <v>1</v>
      </c>
      <c r="I793" s="2" t="s">
        <v>39</v>
      </c>
      <c r="J793" s="2" t="str">
        <f>VLOOKUP(E793,[1]LL_Hub!$A$1:$B$13,2,FALSE)</f>
        <v>New York</v>
      </c>
      <c r="K793" t="str">
        <f>VLOOKUP(D793,'[2]product Table data'!$A$2:$B$12,2,FALSE)</f>
        <v>Female</v>
      </c>
      <c r="L793" t="str">
        <f>VLOOKUP($D793,'[2]product Table data'!$A$2:$G$12,L$1,FALSE)</f>
        <v>Winter Warmth</v>
      </c>
      <c r="M793" t="str">
        <f>VLOOKUP($D793,'[2]product Table data'!$A$2:$G$12,M$1,FALSE)</f>
        <v>Romania</v>
      </c>
      <c r="N793" t="str">
        <f>VLOOKUP($D793,'[2]product Table data'!$A$2:$G$12,N$1,FALSE)</f>
        <v>Eastern Europe</v>
      </c>
      <c r="O793">
        <f>VLOOKUP($D793,'[2]product Table data'!$A$2:$G$12,O$1,FALSE)</f>
        <v>350</v>
      </c>
      <c r="P793">
        <f>VLOOKUP($D793,'[2]product Table data'!$A$2:$G$12,P$1,FALSE)</f>
        <v>450</v>
      </c>
      <c r="Q793">
        <f t="shared" si="60"/>
        <v>100</v>
      </c>
      <c r="R793" t="str">
        <f t="shared" si="61"/>
        <v>-</v>
      </c>
      <c r="S793" t="str">
        <f t="shared" si="62"/>
        <v>-</v>
      </c>
      <c r="T793" t="str">
        <f t="shared" si="63"/>
        <v>-</v>
      </c>
      <c r="U793" t="str">
        <f t="shared" si="64"/>
        <v>High Value</v>
      </c>
    </row>
    <row r="794" spans="1:21" hidden="1" x14ac:dyDescent="0.2">
      <c r="A794" s="2">
        <v>566</v>
      </c>
      <c r="B794" s="2" t="s">
        <v>9</v>
      </c>
      <c r="C794" s="2" t="s">
        <v>1169</v>
      </c>
      <c r="D794" s="2" t="s">
        <v>45</v>
      </c>
      <c r="E794" s="2">
        <v>10001</v>
      </c>
      <c r="F794" s="2" t="s">
        <v>42</v>
      </c>
      <c r="G794" s="2" t="s">
        <v>36</v>
      </c>
      <c r="H794" s="2">
        <v>1</v>
      </c>
      <c r="I794" s="2" t="s">
        <v>39</v>
      </c>
      <c r="J794" s="2" t="str">
        <f>VLOOKUP(E794,[1]LL_Hub!$A$1:$B$13,2,FALSE)</f>
        <v>New York</v>
      </c>
      <c r="K794" t="str">
        <f>VLOOKUP(D794,'[2]product Table data'!$A$2:$B$12,2,FALSE)</f>
        <v>Female</v>
      </c>
      <c r="L794" t="str">
        <f>VLOOKUP($D794,'[2]product Table data'!$A$2:$G$12,L$1,FALSE)</f>
        <v>Winter Warmth</v>
      </c>
      <c r="M794" t="str">
        <f>VLOOKUP($D794,'[2]product Table data'!$A$2:$G$12,M$1,FALSE)</f>
        <v>Romania</v>
      </c>
      <c r="N794" t="str">
        <f>VLOOKUP($D794,'[2]product Table data'!$A$2:$G$12,N$1,FALSE)</f>
        <v>Eastern Europe</v>
      </c>
      <c r="O794">
        <f>VLOOKUP($D794,'[2]product Table data'!$A$2:$G$12,O$1,FALSE)</f>
        <v>350</v>
      </c>
      <c r="P794">
        <f>VLOOKUP($D794,'[2]product Table data'!$A$2:$G$12,P$1,FALSE)</f>
        <v>450</v>
      </c>
      <c r="Q794">
        <f t="shared" si="60"/>
        <v>100</v>
      </c>
      <c r="R794" t="str">
        <f t="shared" si="61"/>
        <v>-</v>
      </c>
      <c r="S794" t="str">
        <f t="shared" si="62"/>
        <v>-</v>
      </c>
      <c r="T794" t="str">
        <f t="shared" si="63"/>
        <v>-</v>
      </c>
      <c r="U794" t="str">
        <f t="shared" si="64"/>
        <v>High Value</v>
      </c>
    </row>
    <row r="795" spans="1:21" hidden="1" x14ac:dyDescent="0.2">
      <c r="A795" s="2">
        <v>567</v>
      </c>
      <c r="B795" s="2" t="s">
        <v>9</v>
      </c>
      <c r="C795" s="2" t="s">
        <v>1170</v>
      </c>
      <c r="D795" s="2" t="s">
        <v>45</v>
      </c>
      <c r="E795" s="2">
        <v>10001</v>
      </c>
      <c r="F795" s="2" t="s">
        <v>42</v>
      </c>
      <c r="G795" s="2" t="s">
        <v>36</v>
      </c>
      <c r="H795" s="2">
        <v>1</v>
      </c>
      <c r="I795" s="2" t="s">
        <v>39</v>
      </c>
      <c r="J795" s="2" t="str">
        <f>VLOOKUP(E795,[1]LL_Hub!$A$1:$B$13,2,FALSE)</f>
        <v>New York</v>
      </c>
      <c r="K795" t="str">
        <f>VLOOKUP(D795,'[2]product Table data'!$A$2:$B$12,2,FALSE)</f>
        <v>Female</v>
      </c>
      <c r="L795" t="str">
        <f>VLOOKUP($D795,'[2]product Table data'!$A$2:$G$12,L$1,FALSE)</f>
        <v>Winter Warmth</v>
      </c>
      <c r="M795" t="str">
        <f>VLOOKUP($D795,'[2]product Table data'!$A$2:$G$12,M$1,FALSE)</f>
        <v>Romania</v>
      </c>
      <c r="N795" t="str">
        <f>VLOOKUP($D795,'[2]product Table data'!$A$2:$G$12,N$1,FALSE)</f>
        <v>Eastern Europe</v>
      </c>
      <c r="O795">
        <f>VLOOKUP($D795,'[2]product Table data'!$A$2:$G$12,O$1,FALSE)</f>
        <v>350</v>
      </c>
      <c r="P795">
        <f>VLOOKUP($D795,'[2]product Table data'!$A$2:$G$12,P$1,FALSE)</f>
        <v>450</v>
      </c>
      <c r="Q795">
        <f t="shared" si="60"/>
        <v>100</v>
      </c>
      <c r="R795" t="str">
        <f t="shared" si="61"/>
        <v>-</v>
      </c>
      <c r="S795" t="str">
        <f t="shared" si="62"/>
        <v>-</v>
      </c>
      <c r="T795" t="str">
        <f t="shared" si="63"/>
        <v>-</v>
      </c>
      <c r="U795" t="str">
        <f t="shared" si="64"/>
        <v>High Value</v>
      </c>
    </row>
    <row r="796" spans="1:21" hidden="1" x14ac:dyDescent="0.2">
      <c r="A796" s="2">
        <v>568</v>
      </c>
      <c r="B796" s="2" t="s">
        <v>9</v>
      </c>
      <c r="C796" s="2" t="s">
        <v>1171</v>
      </c>
      <c r="D796" s="2" t="s">
        <v>45</v>
      </c>
      <c r="E796" s="2">
        <v>10001</v>
      </c>
      <c r="F796" s="2" t="s">
        <v>42</v>
      </c>
      <c r="G796" s="2" t="s">
        <v>36</v>
      </c>
      <c r="H796" s="2">
        <v>1</v>
      </c>
      <c r="I796" s="2" t="s">
        <v>39</v>
      </c>
      <c r="J796" s="2" t="str">
        <f>VLOOKUP(E796,[1]LL_Hub!$A$1:$B$13,2,FALSE)</f>
        <v>New York</v>
      </c>
      <c r="K796" t="str">
        <f>VLOOKUP(D796,'[2]product Table data'!$A$2:$B$12,2,FALSE)</f>
        <v>Female</v>
      </c>
      <c r="L796" t="str">
        <f>VLOOKUP($D796,'[2]product Table data'!$A$2:$G$12,L$1,FALSE)</f>
        <v>Winter Warmth</v>
      </c>
      <c r="M796" t="str">
        <f>VLOOKUP($D796,'[2]product Table data'!$A$2:$G$12,M$1,FALSE)</f>
        <v>Romania</v>
      </c>
      <c r="N796" t="str">
        <f>VLOOKUP($D796,'[2]product Table data'!$A$2:$G$12,N$1,FALSE)</f>
        <v>Eastern Europe</v>
      </c>
      <c r="O796">
        <f>VLOOKUP($D796,'[2]product Table data'!$A$2:$G$12,O$1,FALSE)</f>
        <v>350</v>
      </c>
      <c r="P796">
        <f>VLOOKUP($D796,'[2]product Table data'!$A$2:$G$12,P$1,FALSE)</f>
        <v>450</v>
      </c>
      <c r="Q796">
        <f t="shared" si="60"/>
        <v>100</v>
      </c>
      <c r="R796" t="str">
        <f t="shared" si="61"/>
        <v>-</v>
      </c>
      <c r="S796" t="str">
        <f t="shared" si="62"/>
        <v>-</v>
      </c>
      <c r="T796" t="str">
        <f t="shared" si="63"/>
        <v>-</v>
      </c>
      <c r="U796" t="str">
        <f t="shared" si="64"/>
        <v>High Value</v>
      </c>
    </row>
    <row r="797" spans="1:21" hidden="1" x14ac:dyDescent="0.2">
      <c r="A797" s="2">
        <v>569</v>
      </c>
      <c r="B797" s="2" t="s">
        <v>9</v>
      </c>
      <c r="C797" s="2" t="s">
        <v>1172</v>
      </c>
      <c r="D797" s="2" t="s">
        <v>45</v>
      </c>
      <c r="E797" s="2">
        <v>10001</v>
      </c>
      <c r="F797" s="2" t="s">
        <v>42</v>
      </c>
      <c r="G797" s="2" t="s">
        <v>36</v>
      </c>
      <c r="H797" s="2">
        <v>1</v>
      </c>
      <c r="I797" s="2" t="s">
        <v>39</v>
      </c>
      <c r="J797" s="2" t="str">
        <f>VLOOKUP(E797,[1]LL_Hub!$A$1:$B$13,2,FALSE)</f>
        <v>New York</v>
      </c>
      <c r="K797" t="str">
        <f>VLOOKUP(D797,'[2]product Table data'!$A$2:$B$12,2,FALSE)</f>
        <v>Female</v>
      </c>
      <c r="L797" t="str">
        <f>VLOOKUP($D797,'[2]product Table data'!$A$2:$G$12,L$1,FALSE)</f>
        <v>Winter Warmth</v>
      </c>
      <c r="M797" t="str">
        <f>VLOOKUP($D797,'[2]product Table data'!$A$2:$G$12,M$1,FALSE)</f>
        <v>Romania</v>
      </c>
      <c r="N797" t="str">
        <f>VLOOKUP($D797,'[2]product Table data'!$A$2:$G$12,N$1,FALSE)</f>
        <v>Eastern Europe</v>
      </c>
      <c r="O797">
        <f>VLOOKUP($D797,'[2]product Table data'!$A$2:$G$12,O$1,FALSE)</f>
        <v>350</v>
      </c>
      <c r="P797">
        <f>VLOOKUP($D797,'[2]product Table data'!$A$2:$G$12,P$1,FALSE)</f>
        <v>450</v>
      </c>
      <c r="Q797">
        <f t="shared" si="60"/>
        <v>100</v>
      </c>
      <c r="R797" t="str">
        <f t="shared" si="61"/>
        <v>-</v>
      </c>
      <c r="S797" t="str">
        <f t="shared" si="62"/>
        <v>-</v>
      </c>
      <c r="T797" t="str">
        <f t="shared" si="63"/>
        <v>-</v>
      </c>
      <c r="U797" t="str">
        <f t="shared" si="64"/>
        <v>High Value</v>
      </c>
    </row>
    <row r="798" spans="1:21" hidden="1" x14ac:dyDescent="0.2">
      <c r="A798" s="2">
        <v>570</v>
      </c>
      <c r="B798" s="2" t="s">
        <v>9</v>
      </c>
      <c r="C798" s="2" t="s">
        <v>1173</v>
      </c>
      <c r="D798" s="2" t="s">
        <v>45</v>
      </c>
      <c r="E798" s="2">
        <v>10001</v>
      </c>
      <c r="F798" s="2" t="s">
        <v>42</v>
      </c>
      <c r="G798" s="2" t="s">
        <v>36</v>
      </c>
      <c r="H798" s="2">
        <v>1</v>
      </c>
      <c r="I798" s="2" t="s">
        <v>39</v>
      </c>
      <c r="J798" s="2" t="str">
        <f>VLOOKUP(E798,[1]LL_Hub!$A$1:$B$13,2,FALSE)</f>
        <v>New York</v>
      </c>
      <c r="K798" t="str">
        <f>VLOOKUP(D798,'[2]product Table data'!$A$2:$B$12,2,FALSE)</f>
        <v>Female</v>
      </c>
      <c r="L798" t="str">
        <f>VLOOKUP($D798,'[2]product Table data'!$A$2:$G$12,L$1,FALSE)</f>
        <v>Winter Warmth</v>
      </c>
      <c r="M798" t="str">
        <f>VLOOKUP($D798,'[2]product Table data'!$A$2:$G$12,M$1,FALSE)</f>
        <v>Romania</v>
      </c>
      <c r="N798" t="str">
        <f>VLOOKUP($D798,'[2]product Table data'!$A$2:$G$12,N$1,FALSE)</f>
        <v>Eastern Europe</v>
      </c>
      <c r="O798">
        <f>VLOOKUP($D798,'[2]product Table data'!$A$2:$G$12,O$1,FALSE)</f>
        <v>350</v>
      </c>
      <c r="P798">
        <f>VLOOKUP($D798,'[2]product Table data'!$A$2:$G$12,P$1,FALSE)</f>
        <v>450</v>
      </c>
      <c r="Q798">
        <f t="shared" si="60"/>
        <v>100</v>
      </c>
      <c r="R798" t="str">
        <f t="shared" si="61"/>
        <v>-</v>
      </c>
      <c r="S798" t="str">
        <f t="shared" si="62"/>
        <v>-</v>
      </c>
      <c r="T798" t="str">
        <f t="shared" si="63"/>
        <v>-</v>
      </c>
      <c r="U798" t="str">
        <f t="shared" si="64"/>
        <v>High Value</v>
      </c>
    </row>
    <row r="799" spans="1:21" hidden="1" x14ac:dyDescent="0.2">
      <c r="A799" s="2">
        <v>571</v>
      </c>
      <c r="B799" s="2" t="s">
        <v>9</v>
      </c>
      <c r="C799" s="2" t="s">
        <v>1174</v>
      </c>
      <c r="D799" s="2" t="s">
        <v>45</v>
      </c>
      <c r="E799" s="2">
        <v>10001</v>
      </c>
      <c r="F799" s="2" t="s">
        <v>42</v>
      </c>
      <c r="G799" s="2" t="s">
        <v>36</v>
      </c>
      <c r="H799" s="2">
        <v>1</v>
      </c>
      <c r="I799" s="2" t="s">
        <v>39</v>
      </c>
      <c r="J799" s="2" t="str">
        <f>VLOOKUP(E799,[1]LL_Hub!$A$1:$B$13,2,FALSE)</f>
        <v>New York</v>
      </c>
      <c r="K799" t="str">
        <f>VLOOKUP(D799,'[2]product Table data'!$A$2:$B$12,2,FALSE)</f>
        <v>Female</v>
      </c>
      <c r="L799" t="str">
        <f>VLOOKUP($D799,'[2]product Table data'!$A$2:$G$12,L$1,FALSE)</f>
        <v>Winter Warmth</v>
      </c>
      <c r="M799" t="str">
        <f>VLOOKUP($D799,'[2]product Table data'!$A$2:$G$12,M$1,FALSE)</f>
        <v>Romania</v>
      </c>
      <c r="N799" t="str">
        <f>VLOOKUP($D799,'[2]product Table data'!$A$2:$G$12,N$1,FALSE)</f>
        <v>Eastern Europe</v>
      </c>
      <c r="O799">
        <f>VLOOKUP($D799,'[2]product Table data'!$A$2:$G$12,O$1,FALSE)</f>
        <v>350</v>
      </c>
      <c r="P799">
        <f>VLOOKUP($D799,'[2]product Table data'!$A$2:$G$12,P$1,FALSE)</f>
        <v>450</v>
      </c>
      <c r="Q799">
        <f t="shared" si="60"/>
        <v>100</v>
      </c>
      <c r="R799" t="str">
        <f t="shared" si="61"/>
        <v>-</v>
      </c>
      <c r="S799" t="str">
        <f t="shared" si="62"/>
        <v>-</v>
      </c>
      <c r="T799" t="str">
        <f t="shared" si="63"/>
        <v>-</v>
      </c>
      <c r="U799" t="str">
        <f t="shared" si="64"/>
        <v>High Value</v>
      </c>
    </row>
    <row r="800" spans="1:21" hidden="1" x14ac:dyDescent="0.2">
      <c r="A800" s="2">
        <v>572</v>
      </c>
      <c r="B800" s="2" t="s">
        <v>9</v>
      </c>
      <c r="C800" s="2" t="s">
        <v>1175</v>
      </c>
      <c r="D800" s="2" t="s">
        <v>45</v>
      </c>
      <c r="E800" s="2">
        <v>10001</v>
      </c>
      <c r="F800" s="2" t="s">
        <v>42</v>
      </c>
      <c r="G800" s="2" t="s">
        <v>36</v>
      </c>
      <c r="H800" s="2">
        <v>1</v>
      </c>
      <c r="I800" s="2" t="s">
        <v>39</v>
      </c>
      <c r="J800" s="2" t="str">
        <f>VLOOKUP(E800,[1]LL_Hub!$A$1:$B$13,2,FALSE)</f>
        <v>New York</v>
      </c>
      <c r="K800" t="str">
        <f>VLOOKUP(D800,'[2]product Table data'!$A$2:$B$12,2,FALSE)</f>
        <v>Female</v>
      </c>
      <c r="L800" t="str">
        <f>VLOOKUP($D800,'[2]product Table data'!$A$2:$G$12,L$1,FALSE)</f>
        <v>Winter Warmth</v>
      </c>
      <c r="M800" t="str">
        <f>VLOOKUP($D800,'[2]product Table data'!$A$2:$G$12,M$1,FALSE)</f>
        <v>Romania</v>
      </c>
      <c r="N800" t="str">
        <f>VLOOKUP($D800,'[2]product Table data'!$A$2:$G$12,N$1,FALSE)</f>
        <v>Eastern Europe</v>
      </c>
      <c r="O800">
        <f>VLOOKUP($D800,'[2]product Table data'!$A$2:$G$12,O$1,FALSE)</f>
        <v>350</v>
      </c>
      <c r="P800">
        <f>VLOOKUP($D800,'[2]product Table data'!$A$2:$G$12,P$1,FALSE)</f>
        <v>450</v>
      </c>
      <c r="Q800">
        <f t="shared" si="60"/>
        <v>100</v>
      </c>
      <c r="R800" t="str">
        <f t="shared" si="61"/>
        <v>-</v>
      </c>
      <c r="S800" t="str">
        <f t="shared" si="62"/>
        <v>-</v>
      </c>
      <c r="T800" t="str">
        <f t="shared" si="63"/>
        <v>-</v>
      </c>
      <c r="U800" t="str">
        <f t="shared" si="64"/>
        <v>High Value</v>
      </c>
    </row>
    <row r="801" spans="1:21" hidden="1" x14ac:dyDescent="0.2">
      <c r="A801" s="2">
        <v>573</v>
      </c>
      <c r="B801" s="2" t="s">
        <v>9</v>
      </c>
      <c r="C801" s="2" t="s">
        <v>1176</v>
      </c>
      <c r="D801" s="2" t="s">
        <v>45</v>
      </c>
      <c r="E801" s="2">
        <v>10001</v>
      </c>
      <c r="F801" s="2" t="s">
        <v>42</v>
      </c>
      <c r="G801" s="2" t="s">
        <v>36</v>
      </c>
      <c r="H801" s="2">
        <v>1</v>
      </c>
      <c r="I801" s="2" t="s">
        <v>39</v>
      </c>
      <c r="J801" s="2" t="str">
        <f>VLOOKUP(E801,[1]LL_Hub!$A$1:$B$13,2,FALSE)</f>
        <v>New York</v>
      </c>
      <c r="K801" t="str">
        <f>VLOOKUP(D801,'[2]product Table data'!$A$2:$B$12,2,FALSE)</f>
        <v>Female</v>
      </c>
      <c r="L801" t="str">
        <f>VLOOKUP($D801,'[2]product Table data'!$A$2:$G$12,L$1,FALSE)</f>
        <v>Winter Warmth</v>
      </c>
      <c r="M801" t="str">
        <f>VLOOKUP($D801,'[2]product Table data'!$A$2:$G$12,M$1,FALSE)</f>
        <v>Romania</v>
      </c>
      <c r="N801" t="str">
        <f>VLOOKUP($D801,'[2]product Table data'!$A$2:$G$12,N$1,FALSE)</f>
        <v>Eastern Europe</v>
      </c>
      <c r="O801">
        <f>VLOOKUP($D801,'[2]product Table data'!$A$2:$G$12,O$1,FALSE)</f>
        <v>350</v>
      </c>
      <c r="P801">
        <f>VLOOKUP($D801,'[2]product Table data'!$A$2:$G$12,P$1,FALSE)</f>
        <v>450</v>
      </c>
      <c r="Q801">
        <f t="shared" si="60"/>
        <v>100</v>
      </c>
      <c r="R801" t="str">
        <f t="shared" si="61"/>
        <v>-</v>
      </c>
      <c r="S801" t="str">
        <f t="shared" si="62"/>
        <v>-</v>
      </c>
      <c r="T801" t="str">
        <f t="shared" si="63"/>
        <v>-</v>
      </c>
      <c r="U801" t="str">
        <f t="shared" si="64"/>
        <v>High Value</v>
      </c>
    </row>
    <row r="802" spans="1:21" hidden="1" x14ac:dyDescent="0.2">
      <c r="A802" s="2">
        <v>574</v>
      </c>
      <c r="B802" s="2" t="s">
        <v>9</v>
      </c>
      <c r="C802" s="2" t="s">
        <v>1177</v>
      </c>
      <c r="D802" s="2" t="s">
        <v>45</v>
      </c>
      <c r="E802" s="2">
        <v>10001</v>
      </c>
      <c r="F802" s="2" t="s">
        <v>42</v>
      </c>
      <c r="G802" s="2" t="s">
        <v>36</v>
      </c>
      <c r="H802" s="2">
        <v>1</v>
      </c>
      <c r="I802" s="2" t="s">
        <v>39</v>
      </c>
      <c r="J802" s="2" t="str">
        <f>VLOOKUP(E802,[1]LL_Hub!$A$1:$B$13,2,FALSE)</f>
        <v>New York</v>
      </c>
      <c r="K802" t="str">
        <f>VLOOKUP(D802,'[2]product Table data'!$A$2:$B$12,2,FALSE)</f>
        <v>Female</v>
      </c>
      <c r="L802" t="str">
        <f>VLOOKUP($D802,'[2]product Table data'!$A$2:$G$12,L$1,FALSE)</f>
        <v>Winter Warmth</v>
      </c>
      <c r="M802" t="str">
        <f>VLOOKUP($D802,'[2]product Table data'!$A$2:$G$12,M$1,FALSE)</f>
        <v>Romania</v>
      </c>
      <c r="N802" t="str">
        <f>VLOOKUP($D802,'[2]product Table data'!$A$2:$G$12,N$1,FALSE)</f>
        <v>Eastern Europe</v>
      </c>
      <c r="O802">
        <f>VLOOKUP($D802,'[2]product Table data'!$A$2:$G$12,O$1,FALSE)</f>
        <v>350</v>
      </c>
      <c r="P802">
        <f>VLOOKUP($D802,'[2]product Table data'!$A$2:$G$12,P$1,FALSE)</f>
        <v>450</v>
      </c>
      <c r="Q802">
        <f t="shared" si="60"/>
        <v>100</v>
      </c>
      <c r="R802" t="str">
        <f t="shared" si="61"/>
        <v>-</v>
      </c>
      <c r="S802" t="str">
        <f t="shared" si="62"/>
        <v>-</v>
      </c>
      <c r="T802" t="str">
        <f t="shared" si="63"/>
        <v>-</v>
      </c>
      <c r="U802" t="str">
        <f t="shared" si="64"/>
        <v>High Value</v>
      </c>
    </row>
    <row r="803" spans="1:21" hidden="1" x14ac:dyDescent="0.2">
      <c r="A803" s="2">
        <v>596</v>
      </c>
      <c r="B803" s="2" t="s">
        <v>9</v>
      </c>
      <c r="C803" s="2" t="s">
        <v>1178</v>
      </c>
      <c r="D803" s="2" t="s">
        <v>45</v>
      </c>
      <c r="E803" s="2">
        <v>10001</v>
      </c>
      <c r="F803" s="2" t="s">
        <v>42</v>
      </c>
      <c r="G803" s="2" t="s">
        <v>36</v>
      </c>
      <c r="H803" s="2">
        <v>1</v>
      </c>
      <c r="I803" s="2" t="s">
        <v>39</v>
      </c>
      <c r="J803" s="2" t="str">
        <f>VLOOKUP(E803,[1]LL_Hub!$A$1:$B$13,2,FALSE)</f>
        <v>New York</v>
      </c>
      <c r="K803" t="str">
        <f>VLOOKUP(D803,'[2]product Table data'!$A$2:$B$12,2,FALSE)</f>
        <v>Female</v>
      </c>
      <c r="L803" t="str">
        <f>VLOOKUP($D803,'[2]product Table data'!$A$2:$G$12,L$1,FALSE)</f>
        <v>Winter Warmth</v>
      </c>
      <c r="M803" t="str">
        <f>VLOOKUP($D803,'[2]product Table data'!$A$2:$G$12,M$1,FALSE)</f>
        <v>Romania</v>
      </c>
      <c r="N803" t="str">
        <f>VLOOKUP($D803,'[2]product Table data'!$A$2:$G$12,N$1,FALSE)</f>
        <v>Eastern Europe</v>
      </c>
      <c r="O803">
        <f>VLOOKUP($D803,'[2]product Table data'!$A$2:$G$12,O$1,FALSE)</f>
        <v>350</v>
      </c>
      <c r="P803">
        <f>VLOOKUP($D803,'[2]product Table data'!$A$2:$G$12,P$1,FALSE)</f>
        <v>450</v>
      </c>
      <c r="Q803">
        <f t="shared" si="60"/>
        <v>100</v>
      </c>
      <c r="R803" t="str">
        <f t="shared" si="61"/>
        <v>-</v>
      </c>
      <c r="S803" t="str">
        <f t="shared" si="62"/>
        <v>-</v>
      </c>
      <c r="T803" t="str">
        <f t="shared" si="63"/>
        <v>-</v>
      </c>
      <c r="U803" t="str">
        <f t="shared" si="64"/>
        <v>High Value</v>
      </c>
    </row>
    <row r="804" spans="1:21" hidden="1" x14ac:dyDescent="0.2">
      <c r="A804" s="2">
        <v>598</v>
      </c>
      <c r="B804" s="2" t="s">
        <v>9</v>
      </c>
      <c r="C804" s="2" t="s">
        <v>1179</v>
      </c>
      <c r="D804" s="2" t="s">
        <v>45</v>
      </c>
      <c r="E804" s="2">
        <v>10001</v>
      </c>
      <c r="F804" s="2" t="s">
        <v>42</v>
      </c>
      <c r="G804" s="2" t="s">
        <v>36</v>
      </c>
      <c r="H804" s="2">
        <v>1</v>
      </c>
      <c r="I804" s="2" t="s">
        <v>39</v>
      </c>
      <c r="J804" s="2" t="str">
        <f>VLOOKUP(E804,[1]LL_Hub!$A$1:$B$13,2,FALSE)</f>
        <v>New York</v>
      </c>
      <c r="K804" t="str">
        <f>VLOOKUP(D804,'[2]product Table data'!$A$2:$B$12,2,FALSE)</f>
        <v>Female</v>
      </c>
      <c r="L804" t="str">
        <f>VLOOKUP($D804,'[2]product Table data'!$A$2:$G$12,L$1,FALSE)</f>
        <v>Winter Warmth</v>
      </c>
      <c r="M804" t="str">
        <f>VLOOKUP($D804,'[2]product Table data'!$A$2:$G$12,M$1,FALSE)</f>
        <v>Romania</v>
      </c>
      <c r="N804" t="str">
        <f>VLOOKUP($D804,'[2]product Table data'!$A$2:$G$12,N$1,FALSE)</f>
        <v>Eastern Europe</v>
      </c>
      <c r="O804">
        <f>VLOOKUP($D804,'[2]product Table data'!$A$2:$G$12,O$1,FALSE)</f>
        <v>350</v>
      </c>
      <c r="P804">
        <f>VLOOKUP($D804,'[2]product Table data'!$A$2:$G$12,P$1,FALSE)</f>
        <v>450</v>
      </c>
      <c r="Q804">
        <f t="shared" si="60"/>
        <v>100</v>
      </c>
      <c r="R804" t="str">
        <f t="shared" si="61"/>
        <v>-</v>
      </c>
      <c r="S804" t="str">
        <f t="shared" si="62"/>
        <v>-</v>
      </c>
      <c r="T804" t="str">
        <f t="shared" si="63"/>
        <v>-</v>
      </c>
      <c r="U804" t="str">
        <f t="shared" si="64"/>
        <v>High Value</v>
      </c>
    </row>
    <row r="805" spans="1:21" hidden="1" x14ac:dyDescent="0.2">
      <c r="A805" s="2">
        <v>599</v>
      </c>
      <c r="B805" s="2" t="s">
        <v>9</v>
      </c>
      <c r="C805" s="2" t="s">
        <v>1180</v>
      </c>
      <c r="D805" s="2" t="s">
        <v>45</v>
      </c>
      <c r="E805" s="2">
        <v>10001</v>
      </c>
      <c r="F805" s="2" t="s">
        <v>42</v>
      </c>
      <c r="G805" s="2" t="s">
        <v>36</v>
      </c>
      <c r="H805" s="2">
        <v>1</v>
      </c>
      <c r="I805" s="2" t="s">
        <v>39</v>
      </c>
      <c r="J805" s="2" t="str">
        <f>VLOOKUP(E805,[1]LL_Hub!$A$1:$B$13,2,FALSE)</f>
        <v>New York</v>
      </c>
      <c r="K805" t="str">
        <f>VLOOKUP(D805,'[2]product Table data'!$A$2:$B$12,2,FALSE)</f>
        <v>Female</v>
      </c>
      <c r="L805" t="str">
        <f>VLOOKUP($D805,'[2]product Table data'!$A$2:$G$12,L$1,FALSE)</f>
        <v>Winter Warmth</v>
      </c>
      <c r="M805" t="str">
        <f>VLOOKUP($D805,'[2]product Table data'!$A$2:$G$12,M$1,FALSE)</f>
        <v>Romania</v>
      </c>
      <c r="N805" t="str">
        <f>VLOOKUP($D805,'[2]product Table data'!$A$2:$G$12,N$1,FALSE)</f>
        <v>Eastern Europe</v>
      </c>
      <c r="O805">
        <f>VLOOKUP($D805,'[2]product Table data'!$A$2:$G$12,O$1,FALSE)</f>
        <v>350</v>
      </c>
      <c r="P805">
        <f>VLOOKUP($D805,'[2]product Table data'!$A$2:$G$12,P$1,FALSE)</f>
        <v>450</v>
      </c>
      <c r="Q805">
        <f t="shared" si="60"/>
        <v>100</v>
      </c>
      <c r="R805" t="str">
        <f t="shared" si="61"/>
        <v>-</v>
      </c>
      <c r="S805" t="str">
        <f t="shared" si="62"/>
        <v>-</v>
      </c>
      <c r="T805" t="str">
        <f t="shared" si="63"/>
        <v>-</v>
      </c>
      <c r="U805" t="str">
        <f t="shared" si="64"/>
        <v>High Value</v>
      </c>
    </row>
    <row r="806" spans="1:21" hidden="1" x14ac:dyDescent="0.2">
      <c r="A806" s="2">
        <v>601</v>
      </c>
      <c r="B806" s="2" t="s">
        <v>9</v>
      </c>
      <c r="C806" s="2" t="s">
        <v>1181</v>
      </c>
      <c r="D806" s="2" t="s">
        <v>45</v>
      </c>
      <c r="E806" s="2">
        <v>10001</v>
      </c>
      <c r="F806" s="2" t="s">
        <v>42</v>
      </c>
      <c r="G806" s="2" t="s">
        <v>36</v>
      </c>
      <c r="H806" s="2">
        <v>1</v>
      </c>
      <c r="I806" s="2" t="s">
        <v>39</v>
      </c>
      <c r="J806" s="2" t="str">
        <f>VLOOKUP(E806,[1]LL_Hub!$A$1:$B$13,2,FALSE)</f>
        <v>New York</v>
      </c>
      <c r="K806" t="str">
        <f>VLOOKUP(D806,'[2]product Table data'!$A$2:$B$12,2,FALSE)</f>
        <v>Female</v>
      </c>
      <c r="L806" t="str">
        <f>VLOOKUP($D806,'[2]product Table data'!$A$2:$G$12,L$1,FALSE)</f>
        <v>Winter Warmth</v>
      </c>
      <c r="M806" t="str">
        <f>VLOOKUP($D806,'[2]product Table data'!$A$2:$G$12,M$1,FALSE)</f>
        <v>Romania</v>
      </c>
      <c r="N806" t="str">
        <f>VLOOKUP($D806,'[2]product Table data'!$A$2:$G$12,N$1,FALSE)</f>
        <v>Eastern Europe</v>
      </c>
      <c r="O806">
        <f>VLOOKUP($D806,'[2]product Table data'!$A$2:$G$12,O$1,FALSE)</f>
        <v>350</v>
      </c>
      <c r="P806">
        <f>VLOOKUP($D806,'[2]product Table data'!$A$2:$G$12,P$1,FALSE)</f>
        <v>450</v>
      </c>
      <c r="Q806">
        <f t="shared" si="60"/>
        <v>100</v>
      </c>
      <c r="R806" t="str">
        <f t="shared" si="61"/>
        <v>-</v>
      </c>
      <c r="S806" t="str">
        <f t="shared" si="62"/>
        <v>-</v>
      </c>
      <c r="T806" t="str">
        <f t="shared" si="63"/>
        <v>-</v>
      </c>
      <c r="U806" t="str">
        <f t="shared" si="64"/>
        <v>High Value</v>
      </c>
    </row>
    <row r="807" spans="1:21" hidden="1" x14ac:dyDescent="0.2">
      <c r="A807" s="2">
        <v>603</v>
      </c>
      <c r="B807" s="2" t="s">
        <v>9</v>
      </c>
      <c r="C807" s="2" t="s">
        <v>1182</v>
      </c>
      <c r="D807" s="2" t="s">
        <v>45</v>
      </c>
      <c r="E807" s="2">
        <v>10001</v>
      </c>
      <c r="F807" s="2" t="s">
        <v>42</v>
      </c>
      <c r="G807" s="2" t="s">
        <v>36</v>
      </c>
      <c r="H807" s="2">
        <v>1</v>
      </c>
      <c r="I807" s="2" t="s">
        <v>39</v>
      </c>
      <c r="J807" s="2" t="str">
        <f>VLOOKUP(E807,[1]LL_Hub!$A$1:$B$13,2,FALSE)</f>
        <v>New York</v>
      </c>
      <c r="K807" t="str">
        <f>VLOOKUP(D807,'[2]product Table data'!$A$2:$B$12,2,FALSE)</f>
        <v>Female</v>
      </c>
      <c r="L807" t="str">
        <f>VLOOKUP($D807,'[2]product Table data'!$A$2:$G$12,L$1,FALSE)</f>
        <v>Winter Warmth</v>
      </c>
      <c r="M807" t="str">
        <f>VLOOKUP($D807,'[2]product Table data'!$A$2:$G$12,M$1,FALSE)</f>
        <v>Romania</v>
      </c>
      <c r="N807" t="str">
        <f>VLOOKUP($D807,'[2]product Table data'!$A$2:$G$12,N$1,FALSE)</f>
        <v>Eastern Europe</v>
      </c>
      <c r="O807">
        <f>VLOOKUP($D807,'[2]product Table data'!$A$2:$G$12,O$1,FALSE)</f>
        <v>350</v>
      </c>
      <c r="P807">
        <f>VLOOKUP($D807,'[2]product Table data'!$A$2:$G$12,P$1,FALSE)</f>
        <v>450</v>
      </c>
      <c r="Q807">
        <f t="shared" si="60"/>
        <v>100</v>
      </c>
      <c r="R807" t="str">
        <f t="shared" si="61"/>
        <v>-</v>
      </c>
      <c r="S807" t="str">
        <f t="shared" si="62"/>
        <v>-</v>
      </c>
      <c r="T807" t="str">
        <f t="shared" si="63"/>
        <v>-</v>
      </c>
      <c r="U807" t="str">
        <f t="shared" si="64"/>
        <v>High Value</v>
      </c>
    </row>
    <row r="808" spans="1:21" hidden="1" x14ac:dyDescent="0.2">
      <c r="A808" s="2">
        <v>604</v>
      </c>
      <c r="B808" s="2" t="s">
        <v>9</v>
      </c>
      <c r="C808" s="2" t="s">
        <v>1183</v>
      </c>
      <c r="D808" s="2" t="s">
        <v>45</v>
      </c>
      <c r="E808" s="2">
        <v>10001</v>
      </c>
      <c r="F808" s="2" t="s">
        <v>42</v>
      </c>
      <c r="G808" s="2" t="s">
        <v>36</v>
      </c>
      <c r="H808" s="2">
        <v>1</v>
      </c>
      <c r="I808" s="2" t="s">
        <v>39</v>
      </c>
      <c r="J808" s="2" t="str">
        <f>VLOOKUP(E808,[1]LL_Hub!$A$1:$B$13,2,FALSE)</f>
        <v>New York</v>
      </c>
      <c r="K808" t="str">
        <f>VLOOKUP(D808,'[2]product Table data'!$A$2:$B$12,2,FALSE)</f>
        <v>Female</v>
      </c>
      <c r="L808" t="str">
        <f>VLOOKUP($D808,'[2]product Table data'!$A$2:$G$12,L$1,FALSE)</f>
        <v>Winter Warmth</v>
      </c>
      <c r="M808" t="str">
        <f>VLOOKUP($D808,'[2]product Table data'!$A$2:$G$12,M$1,FALSE)</f>
        <v>Romania</v>
      </c>
      <c r="N808" t="str">
        <f>VLOOKUP($D808,'[2]product Table data'!$A$2:$G$12,N$1,FALSE)</f>
        <v>Eastern Europe</v>
      </c>
      <c r="O808">
        <f>VLOOKUP($D808,'[2]product Table data'!$A$2:$G$12,O$1,FALSE)</f>
        <v>350</v>
      </c>
      <c r="P808">
        <f>VLOOKUP($D808,'[2]product Table data'!$A$2:$G$12,P$1,FALSE)</f>
        <v>450</v>
      </c>
      <c r="Q808">
        <f t="shared" si="60"/>
        <v>100</v>
      </c>
      <c r="R808" t="str">
        <f t="shared" si="61"/>
        <v>-</v>
      </c>
      <c r="S808" t="str">
        <f t="shared" si="62"/>
        <v>-</v>
      </c>
      <c r="T808" t="str">
        <f t="shared" si="63"/>
        <v>-</v>
      </c>
      <c r="U808" t="str">
        <f t="shared" si="64"/>
        <v>High Value</v>
      </c>
    </row>
    <row r="809" spans="1:21" hidden="1" x14ac:dyDescent="0.2">
      <c r="A809" s="2">
        <v>605</v>
      </c>
      <c r="B809" s="2" t="s">
        <v>9</v>
      </c>
      <c r="C809" s="2" t="s">
        <v>1184</v>
      </c>
      <c r="D809" s="2" t="s">
        <v>45</v>
      </c>
      <c r="E809" s="2">
        <v>10001</v>
      </c>
      <c r="F809" s="2" t="s">
        <v>42</v>
      </c>
      <c r="G809" s="2" t="s">
        <v>36</v>
      </c>
      <c r="H809" s="2">
        <v>1</v>
      </c>
      <c r="I809" s="2" t="s">
        <v>39</v>
      </c>
      <c r="J809" s="2" t="str">
        <f>VLOOKUP(E809,[1]LL_Hub!$A$1:$B$13,2,FALSE)</f>
        <v>New York</v>
      </c>
      <c r="K809" t="str">
        <f>VLOOKUP(D809,'[2]product Table data'!$A$2:$B$12,2,FALSE)</f>
        <v>Female</v>
      </c>
      <c r="L809" t="str">
        <f>VLOOKUP($D809,'[2]product Table data'!$A$2:$G$12,L$1,FALSE)</f>
        <v>Winter Warmth</v>
      </c>
      <c r="M809" t="str">
        <f>VLOOKUP($D809,'[2]product Table data'!$A$2:$G$12,M$1,FALSE)</f>
        <v>Romania</v>
      </c>
      <c r="N809" t="str">
        <f>VLOOKUP($D809,'[2]product Table data'!$A$2:$G$12,N$1,FALSE)</f>
        <v>Eastern Europe</v>
      </c>
      <c r="O809">
        <f>VLOOKUP($D809,'[2]product Table data'!$A$2:$G$12,O$1,FALSE)</f>
        <v>350</v>
      </c>
      <c r="P809">
        <f>VLOOKUP($D809,'[2]product Table data'!$A$2:$G$12,P$1,FALSE)</f>
        <v>450</v>
      </c>
      <c r="Q809">
        <f t="shared" si="60"/>
        <v>100</v>
      </c>
      <c r="R809" t="str">
        <f t="shared" si="61"/>
        <v>-</v>
      </c>
      <c r="S809" t="str">
        <f t="shared" si="62"/>
        <v>-</v>
      </c>
      <c r="T809" t="str">
        <f t="shared" si="63"/>
        <v>-</v>
      </c>
      <c r="U809" t="str">
        <f t="shared" si="64"/>
        <v>High Value</v>
      </c>
    </row>
    <row r="810" spans="1:21" hidden="1" x14ac:dyDescent="0.2">
      <c r="A810" s="2">
        <v>610</v>
      </c>
      <c r="B810" s="2" t="s">
        <v>9</v>
      </c>
      <c r="C810" s="2" t="s">
        <v>1185</v>
      </c>
      <c r="D810" s="2" t="s">
        <v>45</v>
      </c>
      <c r="E810" s="2">
        <v>10001</v>
      </c>
      <c r="F810" s="2" t="s">
        <v>42</v>
      </c>
      <c r="G810" s="2" t="s">
        <v>36</v>
      </c>
      <c r="H810" s="2">
        <v>1</v>
      </c>
      <c r="I810" s="2" t="s">
        <v>39</v>
      </c>
      <c r="J810" s="2" t="str">
        <f>VLOOKUP(E810,[1]LL_Hub!$A$1:$B$13,2,FALSE)</f>
        <v>New York</v>
      </c>
      <c r="K810" t="str">
        <f>VLOOKUP(D810,'[2]product Table data'!$A$2:$B$12,2,FALSE)</f>
        <v>Female</v>
      </c>
      <c r="L810" t="str">
        <f>VLOOKUP($D810,'[2]product Table data'!$A$2:$G$12,L$1,FALSE)</f>
        <v>Winter Warmth</v>
      </c>
      <c r="M810" t="str">
        <f>VLOOKUP($D810,'[2]product Table data'!$A$2:$G$12,M$1,FALSE)</f>
        <v>Romania</v>
      </c>
      <c r="N810" t="str">
        <f>VLOOKUP($D810,'[2]product Table data'!$A$2:$G$12,N$1,FALSE)</f>
        <v>Eastern Europe</v>
      </c>
      <c r="O810">
        <f>VLOOKUP($D810,'[2]product Table data'!$A$2:$G$12,O$1,FALSE)</f>
        <v>350</v>
      </c>
      <c r="P810">
        <f>VLOOKUP($D810,'[2]product Table data'!$A$2:$G$12,P$1,FALSE)</f>
        <v>450</v>
      </c>
      <c r="Q810">
        <f t="shared" si="60"/>
        <v>100</v>
      </c>
      <c r="R810" t="str">
        <f t="shared" si="61"/>
        <v>-</v>
      </c>
      <c r="S810" t="str">
        <f t="shared" si="62"/>
        <v>-</v>
      </c>
      <c r="T810" t="str">
        <f t="shared" si="63"/>
        <v>-</v>
      </c>
      <c r="U810" t="str">
        <f t="shared" si="64"/>
        <v>High Value</v>
      </c>
    </row>
    <row r="811" spans="1:21" hidden="1" x14ac:dyDescent="0.2">
      <c r="A811" s="2">
        <v>612</v>
      </c>
      <c r="B811" s="2" t="s">
        <v>9</v>
      </c>
      <c r="C811" s="2" t="s">
        <v>1186</v>
      </c>
      <c r="D811" s="2" t="s">
        <v>45</v>
      </c>
      <c r="E811" s="2">
        <v>10001</v>
      </c>
      <c r="F811" s="2" t="s">
        <v>42</v>
      </c>
      <c r="G811" s="2" t="s">
        <v>36</v>
      </c>
      <c r="H811" s="2">
        <v>1</v>
      </c>
      <c r="I811" s="2" t="s">
        <v>39</v>
      </c>
      <c r="J811" s="2" t="str">
        <f>VLOOKUP(E811,[1]LL_Hub!$A$1:$B$13,2,FALSE)</f>
        <v>New York</v>
      </c>
      <c r="K811" t="str">
        <f>VLOOKUP(D811,'[2]product Table data'!$A$2:$B$12,2,FALSE)</f>
        <v>Female</v>
      </c>
      <c r="L811" t="str">
        <f>VLOOKUP($D811,'[2]product Table data'!$A$2:$G$12,L$1,FALSE)</f>
        <v>Winter Warmth</v>
      </c>
      <c r="M811" t="str">
        <f>VLOOKUP($D811,'[2]product Table data'!$A$2:$G$12,M$1,FALSE)</f>
        <v>Romania</v>
      </c>
      <c r="N811" t="str">
        <f>VLOOKUP($D811,'[2]product Table data'!$A$2:$G$12,N$1,FALSE)</f>
        <v>Eastern Europe</v>
      </c>
      <c r="O811">
        <f>VLOOKUP($D811,'[2]product Table data'!$A$2:$G$12,O$1,FALSE)</f>
        <v>350</v>
      </c>
      <c r="P811">
        <f>VLOOKUP($D811,'[2]product Table data'!$A$2:$G$12,P$1,FALSE)</f>
        <v>450</v>
      </c>
      <c r="Q811">
        <f t="shared" si="60"/>
        <v>100</v>
      </c>
      <c r="R811" t="str">
        <f t="shared" si="61"/>
        <v>-</v>
      </c>
      <c r="S811" t="str">
        <f t="shared" si="62"/>
        <v>-</v>
      </c>
      <c r="T811" t="str">
        <f t="shared" si="63"/>
        <v>-</v>
      </c>
      <c r="U811" t="str">
        <f t="shared" si="64"/>
        <v>High Value</v>
      </c>
    </row>
    <row r="812" spans="1:21" hidden="1" x14ac:dyDescent="0.2">
      <c r="A812" s="2">
        <v>613</v>
      </c>
      <c r="B812" s="2" t="s">
        <v>9</v>
      </c>
      <c r="C812" s="2" t="s">
        <v>1187</v>
      </c>
      <c r="D812" s="2" t="s">
        <v>45</v>
      </c>
      <c r="E812" s="2">
        <v>10001</v>
      </c>
      <c r="F812" s="2" t="s">
        <v>42</v>
      </c>
      <c r="G812" s="2" t="s">
        <v>36</v>
      </c>
      <c r="H812" s="2">
        <v>1</v>
      </c>
      <c r="I812" s="2" t="s">
        <v>39</v>
      </c>
      <c r="J812" s="2" t="str">
        <f>VLOOKUP(E812,[1]LL_Hub!$A$1:$B$13,2,FALSE)</f>
        <v>New York</v>
      </c>
      <c r="K812" t="str">
        <f>VLOOKUP(D812,'[2]product Table data'!$A$2:$B$12,2,FALSE)</f>
        <v>Female</v>
      </c>
      <c r="L812" t="str">
        <f>VLOOKUP($D812,'[2]product Table data'!$A$2:$G$12,L$1,FALSE)</f>
        <v>Winter Warmth</v>
      </c>
      <c r="M812" t="str">
        <f>VLOOKUP($D812,'[2]product Table data'!$A$2:$G$12,M$1,FALSE)</f>
        <v>Romania</v>
      </c>
      <c r="N812" t="str">
        <f>VLOOKUP($D812,'[2]product Table data'!$A$2:$G$12,N$1,FALSE)</f>
        <v>Eastern Europe</v>
      </c>
      <c r="O812">
        <f>VLOOKUP($D812,'[2]product Table data'!$A$2:$G$12,O$1,FALSE)</f>
        <v>350</v>
      </c>
      <c r="P812">
        <f>VLOOKUP($D812,'[2]product Table data'!$A$2:$G$12,P$1,FALSE)</f>
        <v>450</v>
      </c>
      <c r="Q812">
        <f t="shared" si="60"/>
        <v>100</v>
      </c>
      <c r="R812" t="str">
        <f t="shared" si="61"/>
        <v>-</v>
      </c>
      <c r="S812" t="str">
        <f t="shared" si="62"/>
        <v>-</v>
      </c>
      <c r="T812" t="str">
        <f t="shared" si="63"/>
        <v>-</v>
      </c>
      <c r="U812" t="str">
        <f t="shared" si="64"/>
        <v>High Value</v>
      </c>
    </row>
    <row r="813" spans="1:21" hidden="1" x14ac:dyDescent="0.2">
      <c r="A813" s="2">
        <v>614</v>
      </c>
      <c r="B813" s="2" t="s">
        <v>9</v>
      </c>
      <c r="C813" s="2" t="s">
        <v>1188</v>
      </c>
      <c r="D813" s="2" t="s">
        <v>45</v>
      </c>
      <c r="E813" s="2">
        <v>10022</v>
      </c>
      <c r="F813" s="2" t="s">
        <v>42</v>
      </c>
      <c r="G813" s="2" t="s">
        <v>36</v>
      </c>
      <c r="H813" s="2">
        <v>1</v>
      </c>
      <c r="I813" s="2" t="s">
        <v>39</v>
      </c>
      <c r="J813" s="2" t="str">
        <f>VLOOKUP(E813,[1]LL_Hub!$A$1:$B$13,2,FALSE)</f>
        <v>New York</v>
      </c>
      <c r="K813" t="str">
        <f>VLOOKUP(D813,'[2]product Table data'!$A$2:$B$12,2,FALSE)</f>
        <v>Female</v>
      </c>
      <c r="L813" t="str">
        <f>VLOOKUP($D813,'[2]product Table data'!$A$2:$G$12,L$1,FALSE)</f>
        <v>Winter Warmth</v>
      </c>
      <c r="M813" t="str">
        <f>VLOOKUP($D813,'[2]product Table data'!$A$2:$G$12,M$1,FALSE)</f>
        <v>Romania</v>
      </c>
      <c r="N813" t="str">
        <f>VLOOKUP($D813,'[2]product Table data'!$A$2:$G$12,N$1,FALSE)</f>
        <v>Eastern Europe</v>
      </c>
      <c r="O813">
        <f>VLOOKUP($D813,'[2]product Table data'!$A$2:$G$12,O$1,FALSE)</f>
        <v>350</v>
      </c>
      <c r="P813">
        <f>VLOOKUP($D813,'[2]product Table data'!$A$2:$G$12,P$1,FALSE)</f>
        <v>450</v>
      </c>
      <c r="Q813">
        <f t="shared" si="60"/>
        <v>100</v>
      </c>
      <c r="R813" t="str">
        <f t="shared" si="61"/>
        <v>-</v>
      </c>
      <c r="S813" t="str">
        <f t="shared" si="62"/>
        <v>-</v>
      </c>
      <c r="T813" t="str">
        <f t="shared" si="63"/>
        <v>-</v>
      </c>
      <c r="U813" t="str">
        <f t="shared" si="64"/>
        <v>High Value</v>
      </c>
    </row>
    <row r="814" spans="1:21" hidden="1" x14ac:dyDescent="0.2">
      <c r="A814" s="2">
        <v>615</v>
      </c>
      <c r="B814" s="2" t="s">
        <v>9</v>
      </c>
      <c r="C814" s="2" t="s">
        <v>1189</v>
      </c>
      <c r="D814" s="2" t="s">
        <v>45</v>
      </c>
      <c r="E814" s="2">
        <v>10022</v>
      </c>
      <c r="F814" s="2" t="s">
        <v>42</v>
      </c>
      <c r="G814" s="2" t="s">
        <v>36</v>
      </c>
      <c r="H814" s="2">
        <v>1</v>
      </c>
      <c r="I814" s="2" t="s">
        <v>39</v>
      </c>
      <c r="J814" s="2" t="str">
        <f>VLOOKUP(E814,[1]LL_Hub!$A$1:$B$13,2,FALSE)</f>
        <v>New York</v>
      </c>
      <c r="K814" t="str">
        <f>VLOOKUP(D814,'[2]product Table data'!$A$2:$B$12,2,FALSE)</f>
        <v>Female</v>
      </c>
      <c r="L814" t="str">
        <f>VLOOKUP($D814,'[2]product Table data'!$A$2:$G$12,L$1,FALSE)</f>
        <v>Winter Warmth</v>
      </c>
      <c r="M814" t="str">
        <f>VLOOKUP($D814,'[2]product Table data'!$A$2:$G$12,M$1,FALSE)</f>
        <v>Romania</v>
      </c>
      <c r="N814" t="str">
        <f>VLOOKUP($D814,'[2]product Table data'!$A$2:$G$12,N$1,FALSE)</f>
        <v>Eastern Europe</v>
      </c>
      <c r="O814">
        <f>VLOOKUP($D814,'[2]product Table data'!$A$2:$G$12,O$1,FALSE)</f>
        <v>350</v>
      </c>
      <c r="P814">
        <f>VLOOKUP($D814,'[2]product Table data'!$A$2:$G$12,P$1,FALSE)</f>
        <v>450</v>
      </c>
      <c r="Q814">
        <f t="shared" si="60"/>
        <v>100</v>
      </c>
      <c r="R814" t="str">
        <f t="shared" si="61"/>
        <v>-</v>
      </c>
      <c r="S814" t="str">
        <f t="shared" si="62"/>
        <v>-</v>
      </c>
      <c r="T814" t="str">
        <f t="shared" si="63"/>
        <v>-</v>
      </c>
      <c r="U814" t="str">
        <f t="shared" si="64"/>
        <v>High Value</v>
      </c>
    </row>
    <row r="815" spans="1:21" hidden="1" x14ac:dyDescent="0.2">
      <c r="A815" s="2">
        <v>616</v>
      </c>
      <c r="B815" s="2" t="s">
        <v>9</v>
      </c>
      <c r="C815" s="2" t="s">
        <v>1190</v>
      </c>
      <c r="D815" s="2" t="s">
        <v>45</v>
      </c>
      <c r="E815" s="2">
        <v>10022</v>
      </c>
      <c r="F815" s="2" t="s">
        <v>42</v>
      </c>
      <c r="G815" s="2" t="s">
        <v>36</v>
      </c>
      <c r="H815" s="2">
        <v>1</v>
      </c>
      <c r="I815" s="2" t="s">
        <v>39</v>
      </c>
      <c r="J815" s="2" t="str">
        <f>VLOOKUP(E815,[1]LL_Hub!$A$1:$B$13,2,FALSE)</f>
        <v>New York</v>
      </c>
      <c r="K815" t="str">
        <f>VLOOKUP(D815,'[2]product Table data'!$A$2:$B$12,2,FALSE)</f>
        <v>Female</v>
      </c>
      <c r="L815" t="str">
        <f>VLOOKUP($D815,'[2]product Table data'!$A$2:$G$12,L$1,FALSE)</f>
        <v>Winter Warmth</v>
      </c>
      <c r="M815" t="str">
        <f>VLOOKUP($D815,'[2]product Table data'!$A$2:$G$12,M$1,FALSE)</f>
        <v>Romania</v>
      </c>
      <c r="N815" t="str">
        <f>VLOOKUP($D815,'[2]product Table data'!$A$2:$G$12,N$1,FALSE)</f>
        <v>Eastern Europe</v>
      </c>
      <c r="O815">
        <f>VLOOKUP($D815,'[2]product Table data'!$A$2:$G$12,O$1,FALSE)</f>
        <v>350</v>
      </c>
      <c r="P815">
        <f>VLOOKUP($D815,'[2]product Table data'!$A$2:$G$12,P$1,FALSE)</f>
        <v>450</v>
      </c>
      <c r="Q815">
        <f t="shared" si="60"/>
        <v>100</v>
      </c>
      <c r="R815" t="str">
        <f t="shared" si="61"/>
        <v>-</v>
      </c>
      <c r="S815" t="str">
        <f t="shared" si="62"/>
        <v>-</v>
      </c>
      <c r="T815" t="str">
        <f t="shared" si="63"/>
        <v>-</v>
      </c>
      <c r="U815" t="str">
        <f t="shared" si="64"/>
        <v>High Value</v>
      </c>
    </row>
    <row r="816" spans="1:21" hidden="1" x14ac:dyDescent="0.2">
      <c r="A816" s="2">
        <v>617</v>
      </c>
      <c r="B816" s="2" t="s">
        <v>9</v>
      </c>
      <c r="C816" s="2" t="s">
        <v>1191</v>
      </c>
      <c r="D816" s="2" t="s">
        <v>45</v>
      </c>
      <c r="E816" s="2">
        <v>10022</v>
      </c>
      <c r="F816" s="2" t="s">
        <v>42</v>
      </c>
      <c r="G816" s="2" t="s">
        <v>36</v>
      </c>
      <c r="H816" s="2">
        <v>1</v>
      </c>
      <c r="I816" s="2" t="s">
        <v>39</v>
      </c>
      <c r="J816" s="2" t="str">
        <f>VLOOKUP(E816,[1]LL_Hub!$A$1:$B$13,2,FALSE)</f>
        <v>New York</v>
      </c>
      <c r="K816" t="str">
        <f>VLOOKUP(D816,'[2]product Table data'!$A$2:$B$12,2,FALSE)</f>
        <v>Female</v>
      </c>
      <c r="L816" t="str">
        <f>VLOOKUP($D816,'[2]product Table data'!$A$2:$G$12,L$1,FALSE)</f>
        <v>Winter Warmth</v>
      </c>
      <c r="M816" t="str">
        <f>VLOOKUP($D816,'[2]product Table data'!$A$2:$G$12,M$1,FALSE)</f>
        <v>Romania</v>
      </c>
      <c r="N816" t="str">
        <f>VLOOKUP($D816,'[2]product Table data'!$A$2:$G$12,N$1,FALSE)</f>
        <v>Eastern Europe</v>
      </c>
      <c r="O816">
        <f>VLOOKUP($D816,'[2]product Table data'!$A$2:$G$12,O$1,FALSE)</f>
        <v>350</v>
      </c>
      <c r="P816">
        <f>VLOOKUP($D816,'[2]product Table data'!$A$2:$G$12,P$1,FALSE)</f>
        <v>450</v>
      </c>
      <c r="Q816">
        <f t="shared" si="60"/>
        <v>100</v>
      </c>
      <c r="R816" t="str">
        <f t="shared" si="61"/>
        <v>-</v>
      </c>
      <c r="S816" t="str">
        <f t="shared" si="62"/>
        <v>-</v>
      </c>
      <c r="T816" t="str">
        <f t="shared" si="63"/>
        <v>-</v>
      </c>
      <c r="U816" t="str">
        <f t="shared" si="64"/>
        <v>High Value</v>
      </c>
    </row>
    <row r="817" spans="1:21" hidden="1" x14ac:dyDescent="0.2">
      <c r="A817" s="2">
        <v>618</v>
      </c>
      <c r="B817" s="2" t="s">
        <v>9</v>
      </c>
      <c r="C817" s="2" t="s">
        <v>1192</v>
      </c>
      <c r="D817" s="2" t="s">
        <v>45</v>
      </c>
      <c r="E817" s="2">
        <v>10022</v>
      </c>
      <c r="F817" s="2" t="s">
        <v>42</v>
      </c>
      <c r="G817" s="2" t="s">
        <v>36</v>
      </c>
      <c r="H817" s="2">
        <v>1</v>
      </c>
      <c r="I817" s="2" t="s">
        <v>39</v>
      </c>
      <c r="J817" s="2" t="str">
        <f>VLOOKUP(E817,[1]LL_Hub!$A$1:$B$13,2,FALSE)</f>
        <v>New York</v>
      </c>
      <c r="K817" t="str">
        <f>VLOOKUP(D817,'[2]product Table data'!$A$2:$B$12,2,FALSE)</f>
        <v>Female</v>
      </c>
      <c r="L817" t="str">
        <f>VLOOKUP($D817,'[2]product Table data'!$A$2:$G$12,L$1,FALSE)</f>
        <v>Winter Warmth</v>
      </c>
      <c r="M817" t="str">
        <f>VLOOKUP($D817,'[2]product Table data'!$A$2:$G$12,M$1,FALSE)</f>
        <v>Romania</v>
      </c>
      <c r="N817" t="str">
        <f>VLOOKUP($D817,'[2]product Table data'!$A$2:$G$12,N$1,FALSE)</f>
        <v>Eastern Europe</v>
      </c>
      <c r="O817">
        <f>VLOOKUP($D817,'[2]product Table data'!$A$2:$G$12,O$1,FALSE)</f>
        <v>350</v>
      </c>
      <c r="P817">
        <f>VLOOKUP($D817,'[2]product Table data'!$A$2:$G$12,P$1,FALSE)</f>
        <v>450</v>
      </c>
      <c r="Q817">
        <f t="shared" si="60"/>
        <v>100</v>
      </c>
      <c r="R817" t="str">
        <f t="shared" si="61"/>
        <v>-</v>
      </c>
      <c r="S817" t="str">
        <f t="shared" si="62"/>
        <v>-</v>
      </c>
      <c r="T817" t="str">
        <f t="shared" si="63"/>
        <v>-</v>
      </c>
      <c r="U817" t="str">
        <f t="shared" si="64"/>
        <v>High Value</v>
      </c>
    </row>
    <row r="818" spans="1:21" hidden="1" x14ac:dyDescent="0.2">
      <c r="A818" s="2">
        <v>619</v>
      </c>
      <c r="B818" s="2" t="s">
        <v>9</v>
      </c>
      <c r="C818" s="2" t="s">
        <v>1193</v>
      </c>
      <c r="D818" s="2" t="s">
        <v>45</v>
      </c>
      <c r="E818" s="2">
        <v>10022</v>
      </c>
      <c r="F818" s="2" t="s">
        <v>42</v>
      </c>
      <c r="G818" s="2" t="s">
        <v>36</v>
      </c>
      <c r="H818" s="2">
        <v>1</v>
      </c>
      <c r="I818" s="2" t="s">
        <v>39</v>
      </c>
      <c r="J818" s="2" t="str">
        <f>VLOOKUP(E818,[1]LL_Hub!$A$1:$B$13,2,FALSE)</f>
        <v>New York</v>
      </c>
      <c r="K818" t="str">
        <f>VLOOKUP(D818,'[2]product Table data'!$A$2:$B$12,2,FALSE)</f>
        <v>Female</v>
      </c>
      <c r="L818" t="str">
        <f>VLOOKUP($D818,'[2]product Table data'!$A$2:$G$12,L$1,FALSE)</f>
        <v>Winter Warmth</v>
      </c>
      <c r="M818" t="str">
        <f>VLOOKUP($D818,'[2]product Table data'!$A$2:$G$12,M$1,FALSE)</f>
        <v>Romania</v>
      </c>
      <c r="N818" t="str">
        <f>VLOOKUP($D818,'[2]product Table data'!$A$2:$G$12,N$1,FALSE)</f>
        <v>Eastern Europe</v>
      </c>
      <c r="O818">
        <f>VLOOKUP($D818,'[2]product Table data'!$A$2:$G$12,O$1,FALSE)</f>
        <v>350</v>
      </c>
      <c r="P818">
        <f>VLOOKUP($D818,'[2]product Table data'!$A$2:$G$12,P$1,FALSE)</f>
        <v>450</v>
      </c>
      <c r="Q818">
        <f t="shared" si="60"/>
        <v>100</v>
      </c>
      <c r="R818" t="str">
        <f t="shared" si="61"/>
        <v>-</v>
      </c>
      <c r="S818" t="str">
        <f t="shared" si="62"/>
        <v>-</v>
      </c>
      <c r="T818" t="str">
        <f t="shared" si="63"/>
        <v>-</v>
      </c>
      <c r="U818" t="str">
        <f t="shared" si="64"/>
        <v>High Value</v>
      </c>
    </row>
    <row r="819" spans="1:21" hidden="1" x14ac:dyDescent="0.2">
      <c r="A819" s="2">
        <v>620</v>
      </c>
      <c r="B819" s="2" t="s">
        <v>9</v>
      </c>
      <c r="C819" s="2" t="s">
        <v>1194</v>
      </c>
      <c r="D819" s="2" t="s">
        <v>45</v>
      </c>
      <c r="E819" s="2">
        <v>10022</v>
      </c>
      <c r="F819" s="2" t="s">
        <v>42</v>
      </c>
      <c r="G819" s="2" t="s">
        <v>36</v>
      </c>
      <c r="H819" s="2">
        <v>1</v>
      </c>
      <c r="I819" s="2" t="s">
        <v>39</v>
      </c>
      <c r="J819" s="2" t="str">
        <f>VLOOKUP(E819,[1]LL_Hub!$A$1:$B$13,2,FALSE)</f>
        <v>New York</v>
      </c>
      <c r="K819" t="str">
        <f>VLOOKUP(D819,'[2]product Table data'!$A$2:$B$12,2,FALSE)</f>
        <v>Female</v>
      </c>
      <c r="L819" t="str">
        <f>VLOOKUP($D819,'[2]product Table data'!$A$2:$G$12,L$1,FALSE)</f>
        <v>Winter Warmth</v>
      </c>
      <c r="M819" t="str">
        <f>VLOOKUP($D819,'[2]product Table data'!$A$2:$G$12,M$1,FALSE)</f>
        <v>Romania</v>
      </c>
      <c r="N819" t="str">
        <f>VLOOKUP($D819,'[2]product Table data'!$A$2:$G$12,N$1,FALSE)</f>
        <v>Eastern Europe</v>
      </c>
      <c r="O819">
        <f>VLOOKUP($D819,'[2]product Table data'!$A$2:$G$12,O$1,FALSE)</f>
        <v>350</v>
      </c>
      <c r="P819">
        <f>VLOOKUP($D819,'[2]product Table data'!$A$2:$G$12,P$1,FALSE)</f>
        <v>450</v>
      </c>
      <c r="Q819">
        <f t="shared" si="60"/>
        <v>100</v>
      </c>
      <c r="R819" t="str">
        <f t="shared" si="61"/>
        <v>-</v>
      </c>
      <c r="S819" t="str">
        <f t="shared" si="62"/>
        <v>-</v>
      </c>
      <c r="T819" t="str">
        <f t="shared" si="63"/>
        <v>-</v>
      </c>
      <c r="U819" t="str">
        <f t="shared" si="64"/>
        <v>High Value</v>
      </c>
    </row>
    <row r="820" spans="1:21" hidden="1" x14ac:dyDescent="0.2">
      <c r="A820" s="2">
        <v>621</v>
      </c>
      <c r="B820" s="2" t="s">
        <v>9</v>
      </c>
      <c r="C820" s="2" t="s">
        <v>1195</v>
      </c>
      <c r="D820" s="2" t="s">
        <v>45</v>
      </c>
      <c r="E820" s="2">
        <v>10022</v>
      </c>
      <c r="F820" s="2" t="s">
        <v>42</v>
      </c>
      <c r="G820" s="2" t="s">
        <v>36</v>
      </c>
      <c r="H820" s="2">
        <v>1</v>
      </c>
      <c r="I820" s="2" t="s">
        <v>39</v>
      </c>
      <c r="J820" s="2" t="str">
        <f>VLOOKUP(E820,[1]LL_Hub!$A$1:$B$13,2,FALSE)</f>
        <v>New York</v>
      </c>
      <c r="K820" t="str">
        <f>VLOOKUP(D820,'[2]product Table data'!$A$2:$B$12,2,FALSE)</f>
        <v>Female</v>
      </c>
      <c r="L820" t="str">
        <f>VLOOKUP($D820,'[2]product Table data'!$A$2:$G$12,L$1,FALSE)</f>
        <v>Winter Warmth</v>
      </c>
      <c r="M820" t="str">
        <f>VLOOKUP($D820,'[2]product Table data'!$A$2:$G$12,M$1,FALSE)</f>
        <v>Romania</v>
      </c>
      <c r="N820" t="str">
        <f>VLOOKUP($D820,'[2]product Table data'!$A$2:$G$12,N$1,FALSE)</f>
        <v>Eastern Europe</v>
      </c>
      <c r="O820">
        <f>VLOOKUP($D820,'[2]product Table data'!$A$2:$G$12,O$1,FALSE)</f>
        <v>350</v>
      </c>
      <c r="P820">
        <f>VLOOKUP($D820,'[2]product Table data'!$A$2:$G$12,P$1,FALSE)</f>
        <v>450</v>
      </c>
      <c r="Q820">
        <f t="shared" si="60"/>
        <v>100</v>
      </c>
      <c r="R820" t="str">
        <f t="shared" si="61"/>
        <v>-</v>
      </c>
      <c r="S820" t="str">
        <f t="shared" si="62"/>
        <v>-</v>
      </c>
      <c r="T820" t="str">
        <f t="shared" si="63"/>
        <v>-</v>
      </c>
      <c r="U820" t="str">
        <f t="shared" si="64"/>
        <v>High Value</v>
      </c>
    </row>
    <row r="821" spans="1:21" hidden="1" x14ac:dyDescent="0.2">
      <c r="A821" s="2">
        <v>622</v>
      </c>
      <c r="B821" s="2" t="s">
        <v>9</v>
      </c>
      <c r="C821" s="2" t="s">
        <v>1196</v>
      </c>
      <c r="D821" s="2" t="s">
        <v>45</v>
      </c>
      <c r="E821" s="2">
        <v>10022</v>
      </c>
      <c r="F821" s="2" t="s">
        <v>42</v>
      </c>
      <c r="G821" s="2" t="s">
        <v>36</v>
      </c>
      <c r="H821" s="2">
        <v>1</v>
      </c>
      <c r="I821" s="2" t="s">
        <v>39</v>
      </c>
      <c r="J821" s="2" t="str">
        <f>VLOOKUP(E821,[1]LL_Hub!$A$1:$B$13,2,FALSE)</f>
        <v>New York</v>
      </c>
      <c r="K821" t="str">
        <f>VLOOKUP(D821,'[2]product Table data'!$A$2:$B$12,2,FALSE)</f>
        <v>Female</v>
      </c>
      <c r="L821" t="str">
        <f>VLOOKUP($D821,'[2]product Table data'!$A$2:$G$12,L$1,FALSE)</f>
        <v>Winter Warmth</v>
      </c>
      <c r="M821" t="str">
        <f>VLOOKUP($D821,'[2]product Table data'!$A$2:$G$12,M$1,FALSE)</f>
        <v>Romania</v>
      </c>
      <c r="N821" t="str">
        <f>VLOOKUP($D821,'[2]product Table data'!$A$2:$G$12,N$1,FALSE)</f>
        <v>Eastern Europe</v>
      </c>
      <c r="O821">
        <f>VLOOKUP($D821,'[2]product Table data'!$A$2:$G$12,O$1,FALSE)</f>
        <v>350</v>
      </c>
      <c r="P821">
        <f>VLOOKUP($D821,'[2]product Table data'!$A$2:$G$12,P$1,FALSE)</f>
        <v>450</v>
      </c>
      <c r="Q821">
        <f t="shared" si="60"/>
        <v>100</v>
      </c>
      <c r="R821" t="str">
        <f t="shared" si="61"/>
        <v>-</v>
      </c>
      <c r="S821" t="str">
        <f t="shared" si="62"/>
        <v>-</v>
      </c>
      <c r="T821" t="str">
        <f t="shared" si="63"/>
        <v>-</v>
      </c>
      <c r="U821" t="str">
        <f t="shared" si="64"/>
        <v>High Value</v>
      </c>
    </row>
    <row r="822" spans="1:21" hidden="1" x14ac:dyDescent="0.2">
      <c r="A822" s="2">
        <v>623</v>
      </c>
      <c r="B822" s="2" t="s">
        <v>9</v>
      </c>
      <c r="C822" s="2" t="s">
        <v>1197</v>
      </c>
      <c r="D822" s="2" t="s">
        <v>45</v>
      </c>
      <c r="E822" s="2">
        <v>10022</v>
      </c>
      <c r="F822" s="2" t="s">
        <v>42</v>
      </c>
      <c r="G822" s="2" t="s">
        <v>36</v>
      </c>
      <c r="H822" s="2">
        <v>1</v>
      </c>
      <c r="I822" s="2" t="s">
        <v>39</v>
      </c>
      <c r="J822" s="2" t="str">
        <f>VLOOKUP(E822,[1]LL_Hub!$A$1:$B$13,2,FALSE)</f>
        <v>New York</v>
      </c>
      <c r="K822" t="str">
        <f>VLOOKUP(D822,'[2]product Table data'!$A$2:$B$12,2,FALSE)</f>
        <v>Female</v>
      </c>
      <c r="L822" t="str">
        <f>VLOOKUP($D822,'[2]product Table data'!$A$2:$G$12,L$1,FALSE)</f>
        <v>Winter Warmth</v>
      </c>
      <c r="M822" t="str">
        <f>VLOOKUP($D822,'[2]product Table data'!$A$2:$G$12,M$1,FALSE)</f>
        <v>Romania</v>
      </c>
      <c r="N822" t="str">
        <f>VLOOKUP($D822,'[2]product Table data'!$A$2:$G$12,N$1,FALSE)</f>
        <v>Eastern Europe</v>
      </c>
      <c r="O822">
        <f>VLOOKUP($D822,'[2]product Table data'!$A$2:$G$12,O$1,FALSE)</f>
        <v>350</v>
      </c>
      <c r="P822">
        <f>VLOOKUP($D822,'[2]product Table data'!$A$2:$G$12,P$1,FALSE)</f>
        <v>450</v>
      </c>
      <c r="Q822">
        <f t="shared" si="60"/>
        <v>100</v>
      </c>
      <c r="R822" t="str">
        <f t="shared" si="61"/>
        <v>-</v>
      </c>
      <c r="S822" t="str">
        <f t="shared" si="62"/>
        <v>-</v>
      </c>
      <c r="T822" t="str">
        <f t="shared" si="63"/>
        <v>-</v>
      </c>
      <c r="U822" t="str">
        <f t="shared" si="64"/>
        <v>High Value</v>
      </c>
    </row>
    <row r="823" spans="1:21" hidden="1" x14ac:dyDescent="0.2">
      <c r="A823" s="2">
        <v>624</v>
      </c>
      <c r="B823" s="2" t="s">
        <v>9</v>
      </c>
      <c r="C823" s="2" t="s">
        <v>1198</v>
      </c>
      <c r="D823" s="2" t="s">
        <v>45</v>
      </c>
      <c r="E823" s="2">
        <v>10022</v>
      </c>
      <c r="F823" s="2" t="s">
        <v>42</v>
      </c>
      <c r="G823" s="2" t="s">
        <v>36</v>
      </c>
      <c r="H823" s="2">
        <v>1</v>
      </c>
      <c r="I823" s="2" t="s">
        <v>39</v>
      </c>
      <c r="J823" s="2" t="str">
        <f>VLOOKUP(E823,[1]LL_Hub!$A$1:$B$13,2,FALSE)</f>
        <v>New York</v>
      </c>
      <c r="K823" t="str">
        <f>VLOOKUP(D823,'[2]product Table data'!$A$2:$B$12,2,FALSE)</f>
        <v>Female</v>
      </c>
      <c r="L823" t="str">
        <f>VLOOKUP($D823,'[2]product Table data'!$A$2:$G$12,L$1,FALSE)</f>
        <v>Winter Warmth</v>
      </c>
      <c r="M823" t="str">
        <f>VLOOKUP($D823,'[2]product Table data'!$A$2:$G$12,M$1,FALSE)</f>
        <v>Romania</v>
      </c>
      <c r="N823" t="str">
        <f>VLOOKUP($D823,'[2]product Table data'!$A$2:$G$12,N$1,FALSE)</f>
        <v>Eastern Europe</v>
      </c>
      <c r="O823">
        <f>VLOOKUP($D823,'[2]product Table data'!$A$2:$G$12,O$1,FALSE)</f>
        <v>350</v>
      </c>
      <c r="P823">
        <f>VLOOKUP($D823,'[2]product Table data'!$A$2:$G$12,P$1,FALSE)</f>
        <v>450</v>
      </c>
      <c r="Q823">
        <f t="shared" si="60"/>
        <v>100</v>
      </c>
      <c r="R823" t="str">
        <f t="shared" si="61"/>
        <v>-</v>
      </c>
      <c r="S823" t="str">
        <f t="shared" si="62"/>
        <v>-</v>
      </c>
      <c r="T823" t="str">
        <f t="shared" si="63"/>
        <v>-</v>
      </c>
      <c r="U823" t="str">
        <f t="shared" si="64"/>
        <v>High Value</v>
      </c>
    </row>
    <row r="824" spans="1:21" hidden="1" x14ac:dyDescent="0.2">
      <c r="A824" s="2">
        <v>625</v>
      </c>
      <c r="B824" s="2" t="s">
        <v>9</v>
      </c>
      <c r="C824" s="2" t="s">
        <v>1199</v>
      </c>
      <c r="D824" s="2" t="s">
        <v>45</v>
      </c>
      <c r="E824" s="2">
        <v>10022</v>
      </c>
      <c r="F824" s="2" t="s">
        <v>42</v>
      </c>
      <c r="G824" s="2" t="s">
        <v>36</v>
      </c>
      <c r="H824" s="2">
        <v>1</v>
      </c>
      <c r="I824" s="2" t="s">
        <v>39</v>
      </c>
      <c r="J824" s="2" t="str">
        <f>VLOOKUP(E824,[1]LL_Hub!$A$1:$B$13,2,FALSE)</f>
        <v>New York</v>
      </c>
      <c r="K824" t="str">
        <f>VLOOKUP(D824,'[2]product Table data'!$A$2:$B$12,2,FALSE)</f>
        <v>Female</v>
      </c>
      <c r="L824" t="str">
        <f>VLOOKUP($D824,'[2]product Table data'!$A$2:$G$12,L$1,FALSE)</f>
        <v>Winter Warmth</v>
      </c>
      <c r="M824" t="str">
        <f>VLOOKUP($D824,'[2]product Table data'!$A$2:$G$12,M$1,FALSE)</f>
        <v>Romania</v>
      </c>
      <c r="N824" t="str">
        <f>VLOOKUP($D824,'[2]product Table data'!$A$2:$G$12,N$1,FALSE)</f>
        <v>Eastern Europe</v>
      </c>
      <c r="O824">
        <f>VLOOKUP($D824,'[2]product Table data'!$A$2:$G$12,O$1,FALSE)</f>
        <v>350</v>
      </c>
      <c r="P824">
        <f>VLOOKUP($D824,'[2]product Table data'!$A$2:$G$12,P$1,FALSE)</f>
        <v>450</v>
      </c>
      <c r="Q824">
        <f t="shared" si="60"/>
        <v>100</v>
      </c>
      <c r="R824" t="str">
        <f t="shared" si="61"/>
        <v>-</v>
      </c>
      <c r="S824" t="str">
        <f t="shared" si="62"/>
        <v>-</v>
      </c>
      <c r="T824" t="str">
        <f t="shared" si="63"/>
        <v>-</v>
      </c>
      <c r="U824" t="str">
        <f t="shared" si="64"/>
        <v>High Value</v>
      </c>
    </row>
    <row r="825" spans="1:21" hidden="1" x14ac:dyDescent="0.2">
      <c r="A825" s="2">
        <v>626</v>
      </c>
      <c r="B825" s="2" t="s">
        <v>9</v>
      </c>
      <c r="C825" s="2" t="s">
        <v>1200</v>
      </c>
      <c r="D825" s="2" t="s">
        <v>45</v>
      </c>
      <c r="E825" s="2">
        <v>10022</v>
      </c>
      <c r="F825" s="2" t="s">
        <v>42</v>
      </c>
      <c r="G825" s="2" t="s">
        <v>36</v>
      </c>
      <c r="H825" s="2">
        <v>1</v>
      </c>
      <c r="I825" s="2" t="s">
        <v>39</v>
      </c>
      <c r="J825" s="2" t="str">
        <f>VLOOKUP(E825,[1]LL_Hub!$A$1:$B$13,2,FALSE)</f>
        <v>New York</v>
      </c>
      <c r="K825" t="str">
        <f>VLOOKUP(D825,'[2]product Table data'!$A$2:$B$12,2,FALSE)</f>
        <v>Female</v>
      </c>
      <c r="L825" t="str">
        <f>VLOOKUP($D825,'[2]product Table data'!$A$2:$G$12,L$1,FALSE)</f>
        <v>Winter Warmth</v>
      </c>
      <c r="M825" t="str">
        <f>VLOOKUP($D825,'[2]product Table data'!$A$2:$G$12,M$1,FALSE)</f>
        <v>Romania</v>
      </c>
      <c r="N825" t="str">
        <f>VLOOKUP($D825,'[2]product Table data'!$A$2:$G$12,N$1,FALSE)</f>
        <v>Eastern Europe</v>
      </c>
      <c r="O825">
        <f>VLOOKUP($D825,'[2]product Table data'!$A$2:$G$12,O$1,FALSE)</f>
        <v>350</v>
      </c>
      <c r="P825">
        <f>VLOOKUP($D825,'[2]product Table data'!$A$2:$G$12,P$1,FALSE)</f>
        <v>450</v>
      </c>
      <c r="Q825">
        <f t="shared" si="60"/>
        <v>100</v>
      </c>
      <c r="R825" t="str">
        <f t="shared" si="61"/>
        <v>-</v>
      </c>
      <c r="S825" t="str">
        <f t="shared" si="62"/>
        <v>-</v>
      </c>
      <c r="T825" t="str">
        <f t="shared" si="63"/>
        <v>-</v>
      </c>
      <c r="U825" t="str">
        <f t="shared" si="64"/>
        <v>High Value</v>
      </c>
    </row>
    <row r="826" spans="1:21" hidden="1" x14ac:dyDescent="0.2">
      <c r="A826" s="2">
        <v>627</v>
      </c>
      <c r="B826" s="2" t="s">
        <v>9</v>
      </c>
      <c r="C826" s="2" t="s">
        <v>1201</v>
      </c>
      <c r="D826" s="2" t="s">
        <v>45</v>
      </c>
      <c r="E826" s="2">
        <v>10022</v>
      </c>
      <c r="F826" s="2" t="s">
        <v>42</v>
      </c>
      <c r="G826" s="2" t="s">
        <v>36</v>
      </c>
      <c r="H826" s="2">
        <v>1</v>
      </c>
      <c r="I826" s="2" t="s">
        <v>39</v>
      </c>
      <c r="J826" s="2" t="str">
        <f>VLOOKUP(E826,[1]LL_Hub!$A$1:$B$13,2,FALSE)</f>
        <v>New York</v>
      </c>
      <c r="K826" t="str">
        <f>VLOOKUP(D826,'[2]product Table data'!$A$2:$B$12,2,FALSE)</f>
        <v>Female</v>
      </c>
      <c r="L826" t="str">
        <f>VLOOKUP($D826,'[2]product Table data'!$A$2:$G$12,L$1,FALSE)</f>
        <v>Winter Warmth</v>
      </c>
      <c r="M826" t="str">
        <f>VLOOKUP($D826,'[2]product Table data'!$A$2:$G$12,M$1,FALSE)</f>
        <v>Romania</v>
      </c>
      <c r="N826" t="str">
        <f>VLOOKUP($D826,'[2]product Table data'!$A$2:$G$12,N$1,FALSE)</f>
        <v>Eastern Europe</v>
      </c>
      <c r="O826">
        <f>VLOOKUP($D826,'[2]product Table data'!$A$2:$G$12,O$1,FALSE)</f>
        <v>350</v>
      </c>
      <c r="P826">
        <f>VLOOKUP($D826,'[2]product Table data'!$A$2:$G$12,P$1,FALSE)</f>
        <v>450</v>
      </c>
      <c r="Q826">
        <f t="shared" si="60"/>
        <v>100</v>
      </c>
      <c r="R826" t="str">
        <f t="shared" si="61"/>
        <v>-</v>
      </c>
      <c r="S826" t="str">
        <f t="shared" si="62"/>
        <v>-</v>
      </c>
      <c r="T826" t="str">
        <f t="shared" si="63"/>
        <v>-</v>
      </c>
      <c r="U826" t="str">
        <f t="shared" si="64"/>
        <v>High Value</v>
      </c>
    </row>
    <row r="827" spans="1:21" hidden="1" x14ac:dyDescent="0.2">
      <c r="A827" s="2">
        <v>628</v>
      </c>
      <c r="B827" s="2" t="s">
        <v>9</v>
      </c>
      <c r="C827" s="2" t="s">
        <v>1202</v>
      </c>
      <c r="D827" s="2" t="s">
        <v>45</v>
      </c>
      <c r="E827" s="2">
        <v>10022</v>
      </c>
      <c r="F827" s="2" t="s">
        <v>42</v>
      </c>
      <c r="G827" s="2" t="s">
        <v>36</v>
      </c>
      <c r="H827" s="2">
        <v>1</v>
      </c>
      <c r="I827" s="2" t="s">
        <v>39</v>
      </c>
      <c r="J827" s="2" t="str">
        <f>VLOOKUP(E827,[1]LL_Hub!$A$1:$B$13,2,FALSE)</f>
        <v>New York</v>
      </c>
      <c r="K827" t="str">
        <f>VLOOKUP(D827,'[2]product Table data'!$A$2:$B$12,2,FALSE)</f>
        <v>Female</v>
      </c>
      <c r="L827" t="str">
        <f>VLOOKUP($D827,'[2]product Table data'!$A$2:$G$12,L$1,FALSE)</f>
        <v>Winter Warmth</v>
      </c>
      <c r="M827" t="str">
        <f>VLOOKUP($D827,'[2]product Table data'!$A$2:$G$12,M$1,FALSE)</f>
        <v>Romania</v>
      </c>
      <c r="N827" t="str">
        <f>VLOOKUP($D827,'[2]product Table data'!$A$2:$G$12,N$1,FALSE)</f>
        <v>Eastern Europe</v>
      </c>
      <c r="O827">
        <f>VLOOKUP($D827,'[2]product Table data'!$A$2:$G$12,O$1,FALSE)</f>
        <v>350</v>
      </c>
      <c r="P827">
        <f>VLOOKUP($D827,'[2]product Table data'!$A$2:$G$12,P$1,FALSE)</f>
        <v>450</v>
      </c>
      <c r="Q827">
        <f t="shared" si="60"/>
        <v>100</v>
      </c>
      <c r="R827" t="str">
        <f t="shared" si="61"/>
        <v>-</v>
      </c>
      <c r="S827" t="str">
        <f t="shared" si="62"/>
        <v>-</v>
      </c>
      <c r="T827" t="str">
        <f t="shared" si="63"/>
        <v>-</v>
      </c>
      <c r="U827" t="str">
        <f t="shared" si="64"/>
        <v>High Value</v>
      </c>
    </row>
    <row r="828" spans="1:21" hidden="1" x14ac:dyDescent="0.2">
      <c r="A828" s="2">
        <v>629</v>
      </c>
      <c r="B828" s="2" t="s">
        <v>9</v>
      </c>
      <c r="C828" s="2" t="s">
        <v>1203</v>
      </c>
      <c r="D828" s="2" t="s">
        <v>45</v>
      </c>
      <c r="E828" s="2">
        <v>10022</v>
      </c>
      <c r="F828" s="2" t="s">
        <v>42</v>
      </c>
      <c r="G828" s="2" t="s">
        <v>36</v>
      </c>
      <c r="H828" s="2">
        <v>1</v>
      </c>
      <c r="I828" s="2" t="s">
        <v>39</v>
      </c>
      <c r="J828" s="2" t="str">
        <f>VLOOKUP(E828,[1]LL_Hub!$A$1:$B$13,2,FALSE)</f>
        <v>New York</v>
      </c>
      <c r="K828" t="str">
        <f>VLOOKUP(D828,'[2]product Table data'!$A$2:$B$12,2,FALSE)</f>
        <v>Female</v>
      </c>
      <c r="L828" t="str">
        <f>VLOOKUP($D828,'[2]product Table data'!$A$2:$G$12,L$1,FALSE)</f>
        <v>Winter Warmth</v>
      </c>
      <c r="M828" t="str">
        <f>VLOOKUP($D828,'[2]product Table data'!$A$2:$G$12,M$1,FALSE)</f>
        <v>Romania</v>
      </c>
      <c r="N828" t="str">
        <f>VLOOKUP($D828,'[2]product Table data'!$A$2:$G$12,N$1,FALSE)</f>
        <v>Eastern Europe</v>
      </c>
      <c r="O828">
        <f>VLOOKUP($D828,'[2]product Table data'!$A$2:$G$12,O$1,FALSE)</f>
        <v>350</v>
      </c>
      <c r="P828">
        <f>VLOOKUP($D828,'[2]product Table data'!$A$2:$G$12,P$1,FALSE)</f>
        <v>450</v>
      </c>
      <c r="Q828">
        <f t="shared" si="60"/>
        <v>100</v>
      </c>
      <c r="R828" t="str">
        <f t="shared" si="61"/>
        <v>-</v>
      </c>
      <c r="S828" t="str">
        <f t="shared" si="62"/>
        <v>-</v>
      </c>
      <c r="T828" t="str">
        <f t="shared" si="63"/>
        <v>-</v>
      </c>
      <c r="U828" t="str">
        <f t="shared" si="64"/>
        <v>High Value</v>
      </c>
    </row>
    <row r="829" spans="1:21" hidden="1" x14ac:dyDescent="0.2">
      <c r="A829" s="2">
        <v>630</v>
      </c>
      <c r="B829" s="2" t="s">
        <v>9</v>
      </c>
      <c r="C829" s="2" t="s">
        <v>1204</v>
      </c>
      <c r="D829" s="2" t="s">
        <v>45</v>
      </c>
      <c r="E829" s="2">
        <v>10022</v>
      </c>
      <c r="F829" s="2" t="s">
        <v>42</v>
      </c>
      <c r="G829" s="2" t="s">
        <v>36</v>
      </c>
      <c r="H829" s="2">
        <v>1</v>
      </c>
      <c r="I829" s="2" t="s">
        <v>39</v>
      </c>
      <c r="J829" s="2" t="str">
        <f>VLOOKUP(E829,[1]LL_Hub!$A$1:$B$13,2,FALSE)</f>
        <v>New York</v>
      </c>
      <c r="K829" t="str">
        <f>VLOOKUP(D829,'[2]product Table data'!$A$2:$B$12,2,FALSE)</f>
        <v>Female</v>
      </c>
      <c r="L829" t="str">
        <f>VLOOKUP($D829,'[2]product Table data'!$A$2:$G$12,L$1,FALSE)</f>
        <v>Winter Warmth</v>
      </c>
      <c r="M829" t="str">
        <f>VLOOKUP($D829,'[2]product Table data'!$A$2:$G$12,M$1,FALSE)</f>
        <v>Romania</v>
      </c>
      <c r="N829" t="str">
        <f>VLOOKUP($D829,'[2]product Table data'!$A$2:$G$12,N$1,FALSE)</f>
        <v>Eastern Europe</v>
      </c>
      <c r="O829">
        <f>VLOOKUP($D829,'[2]product Table data'!$A$2:$G$12,O$1,FALSE)</f>
        <v>350</v>
      </c>
      <c r="P829">
        <f>VLOOKUP($D829,'[2]product Table data'!$A$2:$G$12,P$1,FALSE)</f>
        <v>450</v>
      </c>
      <c r="Q829">
        <f t="shared" si="60"/>
        <v>100</v>
      </c>
      <c r="R829" t="str">
        <f t="shared" si="61"/>
        <v>-</v>
      </c>
      <c r="S829" t="str">
        <f t="shared" si="62"/>
        <v>-</v>
      </c>
      <c r="T829" t="str">
        <f t="shared" si="63"/>
        <v>-</v>
      </c>
      <c r="U829" t="str">
        <f t="shared" si="64"/>
        <v>High Value</v>
      </c>
    </row>
    <row r="830" spans="1:21" hidden="1" x14ac:dyDescent="0.2">
      <c r="A830" s="2">
        <v>631</v>
      </c>
      <c r="B830" s="2" t="s">
        <v>9</v>
      </c>
      <c r="C830" s="2" t="s">
        <v>1205</v>
      </c>
      <c r="D830" s="2" t="s">
        <v>45</v>
      </c>
      <c r="E830" s="2">
        <v>10022</v>
      </c>
      <c r="F830" s="2" t="s">
        <v>42</v>
      </c>
      <c r="G830" s="2" t="s">
        <v>36</v>
      </c>
      <c r="H830" s="2">
        <v>1</v>
      </c>
      <c r="I830" s="2" t="s">
        <v>39</v>
      </c>
      <c r="J830" s="2" t="str">
        <f>VLOOKUP(E830,[1]LL_Hub!$A$1:$B$13,2,FALSE)</f>
        <v>New York</v>
      </c>
      <c r="K830" t="str">
        <f>VLOOKUP(D830,'[2]product Table data'!$A$2:$B$12,2,FALSE)</f>
        <v>Female</v>
      </c>
      <c r="L830" t="str">
        <f>VLOOKUP($D830,'[2]product Table data'!$A$2:$G$12,L$1,FALSE)</f>
        <v>Winter Warmth</v>
      </c>
      <c r="M830" t="str">
        <f>VLOOKUP($D830,'[2]product Table data'!$A$2:$G$12,M$1,FALSE)</f>
        <v>Romania</v>
      </c>
      <c r="N830" t="str">
        <f>VLOOKUP($D830,'[2]product Table data'!$A$2:$G$12,N$1,FALSE)</f>
        <v>Eastern Europe</v>
      </c>
      <c r="O830">
        <f>VLOOKUP($D830,'[2]product Table data'!$A$2:$G$12,O$1,FALSE)</f>
        <v>350</v>
      </c>
      <c r="P830">
        <f>VLOOKUP($D830,'[2]product Table data'!$A$2:$G$12,P$1,FALSE)</f>
        <v>450</v>
      </c>
      <c r="Q830">
        <f t="shared" si="60"/>
        <v>100</v>
      </c>
      <c r="R830" t="str">
        <f t="shared" si="61"/>
        <v>-</v>
      </c>
      <c r="S830" t="str">
        <f t="shared" si="62"/>
        <v>-</v>
      </c>
      <c r="T830" t="str">
        <f t="shared" si="63"/>
        <v>-</v>
      </c>
      <c r="U830" t="str">
        <f t="shared" si="64"/>
        <v>High Value</v>
      </c>
    </row>
    <row r="831" spans="1:21" x14ac:dyDescent="0.2">
      <c r="A831" s="2">
        <v>75</v>
      </c>
      <c r="B831" s="2" t="s">
        <v>9</v>
      </c>
      <c r="C831" s="2" t="s">
        <v>572</v>
      </c>
      <c r="D831" s="2" t="s">
        <v>45</v>
      </c>
      <c r="E831" s="2">
        <v>10001</v>
      </c>
      <c r="F831" s="2" t="s">
        <v>573</v>
      </c>
      <c r="G831" s="2" t="s">
        <v>13</v>
      </c>
      <c r="H831" s="2">
        <v>1</v>
      </c>
      <c r="I831" s="2" t="s">
        <v>14</v>
      </c>
      <c r="J831" s="2" t="str">
        <f>VLOOKUP(E831,[1]LL_Hub!$A$1:$B$13,2,FALSE)</f>
        <v>New York</v>
      </c>
      <c r="K831" t="str">
        <f>VLOOKUP(D831,'[2]product Table data'!$A$2:$B$12,2,FALSE)</f>
        <v>Female</v>
      </c>
      <c r="L831" t="str">
        <f>VLOOKUP($D831,'[2]product Table data'!$A$2:$G$12,L$1,FALSE)</f>
        <v>Winter Warmth</v>
      </c>
      <c r="M831" t="str">
        <f>VLOOKUP($D831,'[2]product Table data'!$A$2:$G$12,M$1,FALSE)</f>
        <v>Romania</v>
      </c>
      <c r="N831" t="str">
        <f>VLOOKUP($D831,'[2]product Table data'!$A$2:$G$12,N$1,FALSE)</f>
        <v>Eastern Europe</v>
      </c>
      <c r="O831">
        <f>VLOOKUP($D831,'[2]product Table data'!$A$2:$G$12,O$1,FALSE)</f>
        <v>350</v>
      </c>
      <c r="P831">
        <f>VLOOKUP($D831,'[2]product Table data'!$A$2:$G$12,P$1,FALSE)</f>
        <v>450</v>
      </c>
      <c r="Q831">
        <f t="shared" si="60"/>
        <v>100</v>
      </c>
      <c r="R831" t="str">
        <f t="shared" si="61"/>
        <v>-</v>
      </c>
      <c r="S831" t="str">
        <f t="shared" si="62"/>
        <v>-</v>
      </c>
      <c r="T831" t="str">
        <f t="shared" si="63"/>
        <v>-</v>
      </c>
      <c r="U831" t="str">
        <f t="shared" si="64"/>
        <v>High Value</v>
      </c>
    </row>
    <row r="832" spans="1:21" x14ac:dyDescent="0.2">
      <c r="A832" s="2">
        <v>76</v>
      </c>
      <c r="B832" s="2" t="s">
        <v>9</v>
      </c>
      <c r="C832" s="2" t="s">
        <v>574</v>
      </c>
      <c r="D832" s="2" t="s">
        <v>45</v>
      </c>
      <c r="E832" s="2">
        <v>10001</v>
      </c>
      <c r="F832" s="2" t="s">
        <v>575</v>
      </c>
      <c r="G832" s="2" t="s">
        <v>13</v>
      </c>
      <c r="H832" s="2">
        <v>1</v>
      </c>
      <c r="I832" s="2" t="s">
        <v>14</v>
      </c>
      <c r="J832" s="2" t="str">
        <f>VLOOKUP(E832,[1]LL_Hub!$A$1:$B$13,2,FALSE)</f>
        <v>New York</v>
      </c>
      <c r="K832" t="str">
        <f>VLOOKUP(D832,'[2]product Table data'!$A$2:$B$12,2,FALSE)</f>
        <v>Female</v>
      </c>
      <c r="L832" t="str">
        <f>VLOOKUP($D832,'[2]product Table data'!$A$2:$G$12,L$1,FALSE)</f>
        <v>Winter Warmth</v>
      </c>
      <c r="M832" t="str">
        <f>VLOOKUP($D832,'[2]product Table data'!$A$2:$G$12,M$1,FALSE)</f>
        <v>Romania</v>
      </c>
      <c r="N832" t="str">
        <f>VLOOKUP($D832,'[2]product Table data'!$A$2:$G$12,N$1,FALSE)</f>
        <v>Eastern Europe</v>
      </c>
      <c r="O832">
        <f>VLOOKUP($D832,'[2]product Table data'!$A$2:$G$12,O$1,FALSE)</f>
        <v>350</v>
      </c>
      <c r="P832">
        <f>VLOOKUP($D832,'[2]product Table data'!$A$2:$G$12,P$1,FALSE)</f>
        <v>450</v>
      </c>
      <c r="Q832">
        <f t="shared" si="60"/>
        <v>100</v>
      </c>
      <c r="R832" t="str">
        <f t="shared" si="61"/>
        <v>-</v>
      </c>
      <c r="S832" t="str">
        <f t="shared" si="62"/>
        <v>-</v>
      </c>
      <c r="T832" t="str">
        <f t="shared" si="63"/>
        <v>-</v>
      </c>
      <c r="U832" t="str">
        <f t="shared" si="64"/>
        <v>High Value</v>
      </c>
    </row>
    <row r="833" spans="1:21" x14ac:dyDescent="0.2">
      <c r="A833" s="2">
        <v>79</v>
      </c>
      <c r="B833" s="2" t="s">
        <v>9</v>
      </c>
      <c r="C833" s="2" t="s">
        <v>580</v>
      </c>
      <c r="D833" s="2" t="s">
        <v>45</v>
      </c>
      <c r="E833" s="2">
        <v>10001</v>
      </c>
      <c r="F833" s="2" t="s">
        <v>581</v>
      </c>
      <c r="G833" s="2" t="s">
        <v>13</v>
      </c>
      <c r="H833" s="2">
        <v>1</v>
      </c>
      <c r="I833" s="2" t="s">
        <v>14</v>
      </c>
      <c r="J833" s="2" t="str">
        <f>VLOOKUP(E833,[1]LL_Hub!$A$1:$B$13,2,FALSE)</f>
        <v>New York</v>
      </c>
      <c r="K833" t="str">
        <f>VLOOKUP(D833,'[2]product Table data'!$A$2:$B$12,2,FALSE)</f>
        <v>Female</v>
      </c>
      <c r="L833" t="str">
        <f>VLOOKUP($D833,'[2]product Table data'!$A$2:$G$12,L$1,FALSE)</f>
        <v>Winter Warmth</v>
      </c>
      <c r="M833" t="str">
        <f>VLOOKUP($D833,'[2]product Table data'!$A$2:$G$12,M$1,FALSE)</f>
        <v>Romania</v>
      </c>
      <c r="N833" t="str">
        <f>VLOOKUP($D833,'[2]product Table data'!$A$2:$G$12,N$1,FALSE)</f>
        <v>Eastern Europe</v>
      </c>
      <c r="O833">
        <f>VLOOKUP($D833,'[2]product Table data'!$A$2:$G$12,O$1,FALSE)</f>
        <v>350</v>
      </c>
      <c r="P833">
        <f>VLOOKUP($D833,'[2]product Table data'!$A$2:$G$12,P$1,FALSE)</f>
        <v>450</v>
      </c>
      <c r="Q833">
        <f t="shared" si="60"/>
        <v>100</v>
      </c>
      <c r="R833" t="str">
        <f t="shared" si="61"/>
        <v>-</v>
      </c>
      <c r="S833" t="str">
        <f t="shared" si="62"/>
        <v>-</v>
      </c>
      <c r="T833" t="str">
        <f t="shared" si="63"/>
        <v>-</v>
      </c>
      <c r="U833" t="str">
        <f t="shared" si="64"/>
        <v>High Value</v>
      </c>
    </row>
    <row r="834" spans="1:21" x14ac:dyDescent="0.2">
      <c r="A834" s="2">
        <v>80</v>
      </c>
      <c r="B834" s="2" t="s">
        <v>9</v>
      </c>
      <c r="C834" s="2" t="s">
        <v>582</v>
      </c>
      <c r="D834" s="2" t="s">
        <v>45</v>
      </c>
      <c r="E834" s="2">
        <v>10013</v>
      </c>
      <c r="F834" s="2" t="s">
        <v>583</v>
      </c>
      <c r="G834" s="2" t="s">
        <v>13</v>
      </c>
      <c r="H834" s="2">
        <v>1</v>
      </c>
      <c r="I834" s="2" t="s">
        <v>14</v>
      </c>
      <c r="J834" s="2" t="str">
        <f>VLOOKUP(E834,[1]LL_Hub!$A$1:$B$13,2,FALSE)</f>
        <v>New York</v>
      </c>
      <c r="K834" t="str">
        <f>VLOOKUP(D834,'[2]product Table data'!$A$2:$B$12,2,FALSE)</f>
        <v>Female</v>
      </c>
      <c r="L834" t="str">
        <f>VLOOKUP($D834,'[2]product Table data'!$A$2:$G$12,L$1,FALSE)</f>
        <v>Winter Warmth</v>
      </c>
      <c r="M834" t="str">
        <f>VLOOKUP($D834,'[2]product Table data'!$A$2:$G$12,M$1,FALSE)</f>
        <v>Romania</v>
      </c>
      <c r="N834" t="str">
        <f>VLOOKUP($D834,'[2]product Table data'!$A$2:$G$12,N$1,FALSE)</f>
        <v>Eastern Europe</v>
      </c>
      <c r="O834">
        <f>VLOOKUP($D834,'[2]product Table data'!$A$2:$G$12,O$1,FALSE)</f>
        <v>350</v>
      </c>
      <c r="P834">
        <f>VLOOKUP($D834,'[2]product Table data'!$A$2:$G$12,P$1,FALSE)</f>
        <v>450</v>
      </c>
      <c r="Q834">
        <f t="shared" si="60"/>
        <v>100</v>
      </c>
      <c r="R834" t="str">
        <f t="shared" si="61"/>
        <v>-</v>
      </c>
      <c r="S834" t="str">
        <f t="shared" si="62"/>
        <v>-</v>
      </c>
      <c r="T834" t="str">
        <f t="shared" si="63"/>
        <v>-</v>
      </c>
      <c r="U834" t="str">
        <f t="shared" si="64"/>
        <v>High Value</v>
      </c>
    </row>
    <row r="835" spans="1:21" x14ac:dyDescent="0.2">
      <c r="A835" s="2">
        <v>230</v>
      </c>
      <c r="B835" s="2" t="s">
        <v>9</v>
      </c>
      <c r="C835" s="2" t="s">
        <v>734</v>
      </c>
      <c r="D835" s="2" t="s">
        <v>45</v>
      </c>
      <c r="E835" s="2">
        <v>80014</v>
      </c>
      <c r="F835" s="2" t="s">
        <v>735</v>
      </c>
      <c r="G835" s="2" t="s">
        <v>13</v>
      </c>
      <c r="H835" s="2">
        <v>1</v>
      </c>
      <c r="I835" s="2" t="s">
        <v>14</v>
      </c>
      <c r="J835" s="2" t="str">
        <f>VLOOKUP(E835,[1]LL_Hub!$A$1:$B$13,2,FALSE)</f>
        <v>Denver</v>
      </c>
      <c r="K835" t="str">
        <f>VLOOKUP(D835,'[2]product Table data'!$A$2:$B$12,2,FALSE)</f>
        <v>Female</v>
      </c>
      <c r="L835" t="str">
        <f>VLOOKUP($D835,'[2]product Table data'!$A$2:$G$12,L$1,FALSE)</f>
        <v>Winter Warmth</v>
      </c>
      <c r="M835" t="str">
        <f>VLOOKUP($D835,'[2]product Table data'!$A$2:$G$12,M$1,FALSE)</f>
        <v>Romania</v>
      </c>
      <c r="N835" t="str">
        <f>VLOOKUP($D835,'[2]product Table data'!$A$2:$G$12,N$1,FALSE)</f>
        <v>Eastern Europe</v>
      </c>
      <c r="O835">
        <f>VLOOKUP($D835,'[2]product Table data'!$A$2:$G$12,O$1,FALSE)</f>
        <v>350</v>
      </c>
      <c r="P835">
        <f>VLOOKUP($D835,'[2]product Table data'!$A$2:$G$12,P$1,FALSE)</f>
        <v>450</v>
      </c>
      <c r="Q835">
        <f t="shared" ref="Q835:Q898" si="65">P835-O835</f>
        <v>100</v>
      </c>
      <c r="R835" t="str">
        <f t="shared" ref="R835:R898" si="66">IF(OR(J835="Los Angeles",J835="Denver"),"Hub Risk","-")</f>
        <v>Hub Risk</v>
      </c>
      <c r="S835" t="str">
        <f t="shared" ref="S835:S898" si="67">IF(OR(L835="Casual n Light",L835="Fancy Sheek"),"Style Risk","-")</f>
        <v>-</v>
      </c>
      <c r="T835" t="str">
        <f t="shared" ref="T835:T898" si="68">IF(AND(R835="Hub Risk", S835="Style Risk"), "Risk", "-")</f>
        <v>-</v>
      </c>
      <c r="U835" t="str">
        <f t="shared" ref="U835:U898" si="69">IF(Q835&lt;=5, "Low Value", "High Value")</f>
        <v>High Value</v>
      </c>
    </row>
    <row r="836" spans="1:21" x14ac:dyDescent="0.2">
      <c r="A836" s="2">
        <v>234</v>
      </c>
      <c r="B836" s="2" t="s">
        <v>9</v>
      </c>
      <c r="C836" s="2" t="s">
        <v>741</v>
      </c>
      <c r="D836" s="2" t="s">
        <v>45</v>
      </c>
      <c r="E836" s="2">
        <v>80014</v>
      </c>
      <c r="F836" s="2" t="s">
        <v>742</v>
      </c>
      <c r="G836" s="2" t="s">
        <v>13</v>
      </c>
      <c r="H836" s="2">
        <v>1</v>
      </c>
      <c r="I836" s="2" t="s">
        <v>14</v>
      </c>
      <c r="J836" s="2" t="str">
        <f>VLOOKUP(E836,[1]LL_Hub!$A$1:$B$13,2,FALSE)</f>
        <v>Denver</v>
      </c>
      <c r="K836" t="str">
        <f>VLOOKUP(D836,'[2]product Table data'!$A$2:$B$12,2,FALSE)</f>
        <v>Female</v>
      </c>
      <c r="L836" t="str">
        <f>VLOOKUP($D836,'[2]product Table data'!$A$2:$G$12,L$1,FALSE)</f>
        <v>Winter Warmth</v>
      </c>
      <c r="M836" t="str">
        <f>VLOOKUP($D836,'[2]product Table data'!$A$2:$G$12,M$1,FALSE)</f>
        <v>Romania</v>
      </c>
      <c r="N836" t="str">
        <f>VLOOKUP($D836,'[2]product Table data'!$A$2:$G$12,N$1,FALSE)</f>
        <v>Eastern Europe</v>
      </c>
      <c r="O836">
        <f>VLOOKUP($D836,'[2]product Table data'!$A$2:$G$12,O$1,FALSE)</f>
        <v>350</v>
      </c>
      <c r="P836">
        <f>VLOOKUP($D836,'[2]product Table data'!$A$2:$G$12,P$1,FALSE)</f>
        <v>450</v>
      </c>
      <c r="Q836">
        <f t="shared" si="65"/>
        <v>100</v>
      </c>
      <c r="R836" t="str">
        <f t="shared" si="66"/>
        <v>Hub Risk</v>
      </c>
      <c r="S836" t="str">
        <f t="shared" si="67"/>
        <v>-</v>
      </c>
      <c r="T836" t="str">
        <f t="shared" si="68"/>
        <v>-</v>
      </c>
      <c r="U836" t="str">
        <f t="shared" si="69"/>
        <v>High Value</v>
      </c>
    </row>
    <row r="837" spans="1:21" x14ac:dyDescent="0.2">
      <c r="A837" s="2">
        <v>632</v>
      </c>
      <c r="B837" s="2" t="s">
        <v>9</v>
      </c>
      <c r="C837" s="2" t="s">
        <v>1206</v>
      </c>
      <c r="D837" s="2" t="s">
        <v>45</v>
      </c>
      <c r="E837" s="2">
        <v>10022</v>
      </c>
      <c r="F837" s="2" t="s">
        <v>42</v>
      </c>
      <c r="G837" s="2" t="s">
        <v>36</v>
      </c>
      <c r="H837" s="2">
        <v>1</v>
      </c>
      <c r="I837" s="2" t="s">
        <v>14</v>
      </c>
      <c r="J837" s="2" t="str">
        <f>VLOOKUP(E837,[1]LL_Hub!$A$1:$B$13,2,FALSE)</f>
        <v>New York</v>
      </c>
      <c r="K837" t="str">
        <f>VLOOKUP(D837,'[2]product Table data'!$A$2:$B$12,2,FALSE)</f>
        <v>Female</v>
      </c>
      <c r="L837" t="str">
        <f>VLOOKUP($D837,'[2]product Table data'!$A$2:$G$12,L$1,FALSE)</f>
        <v>Winter Warmth</v>
      </c>
      <c r="M837" t="str">
        <f>VLOOKUP($D837,'[2]product Table data'!$A$2:$G$12,M$1,FALSE)</f>
        <v>Romania</v>
      </c>
      <c r="N837" t="str">
        <f>VLOOKUP($D837,'[2]product Table data'!$A$2:$G$12,N$1,FALSE)</f>
        <v>Eastern Europe</v>
      </c>
      <c r="O837">
        <f>VLOOKUP($D837,'[2]product Table data'!$A$2:$G$12,O$1,FALSE)</f>
        <v>350</v>
      </c>
      <c r="P837">
        <f>VLOOKUP($D837,'[2]product Table data'!$A$2:$G$12,P$1,FALSE)</f>
        <v>450</v>
      </c>
      <c r="Q837">
        <f t="shared" si="65"/>
        <v>100</v>
      </c>
      <c r="R837" t="str">
        <f t="shared" si="66"/>
        <v>-</v>
      </c>
      <c r="S837" t="str">
        <f t="shared" si="67"/>
        <v>-</v>
      </c>
      <c r="T837" t="str">
        <f t="shared" si="68"/>
        <v>-</v>
      </c>
      <c r="U837" t="str">
        <f t="shared" si="69"/>
        <v>High Value</v>
      </c>
    </row>
    <row r="838" spans="1:21" x14ac:dyDescent="0.2">
      <c r="A838" s="2">
        <v>633</v>
      </c>
      <c r="B838" s="2" t="s">
        <v>9</v>
      </c>
      <c r="C838" s="2" t="s">
        <v>1207</v>
      </c>
      <c r="D838" s="2" t="s">
        <v>45</v>
      </c>
      <c r="E838" s="2">
        <v>10022</v>
      </c>
      <c r="F838" s="2" t="s">
        <v>42</v>
      </c>
      <c r="G838" s="2" t="s">
        <v>36</v>
      </c>
      <c r="H838" s="2">
        <v>1</v>
      </c>
      <c r="I838" s="2" t="s">
        <v>14</v>
      </c>
      <c r="J838" s="2" t="str">
        <f>VLOOKUP(E838,[1]LL_Hub!$A$1:$B$13,2,FALSE)</f>
        <v>New York</v>
      </c>
      <c r="K838" t="str">
        <f>VLOOKUP(D838,'[2]product Table data'!$A$2:$B$12,2,FALSE)</f>
        <v>Female</v>
      </c>
      <c r="L838" t="str">
        <f>VLOOKUP($D838,'[2]product Table data'!$A$2:$G$12,L$1,FALSE)</f>
        <v>Winter Warmth</v>
      </c>
      <c r="M838" t="str">
        <f>VLOOKUP($D838,'[2]product Table data'!$A$2:$G$12,M$1,FALSE)</f>
        <v>Romania</v>
      </c>
      <c r="N838" t="str">
        <f>VLOOKUP($D838,'[2]product Table data'!$A$2:$G$12,N$1,FALSE)</f>
        <v>Eastern Europe</v>
      </c>
      <c r="O838">
        <f>VLOOKUP($D838,'[2]product Table data'!$A$2:$G$12,O$1,FALSE)</f>
        <v>350</v>
      </c>
      <c r="P838">
        <f>VLOOKUP($D838,'[2]product Table data'!$A$2:$G$12,P$1,FALSE)</f>
        <v>450</v>
      </c>
      <c r="Q838">
        <f t="shared" si="65"/>
        <v>100</v>
      </c>
      <c r="R838" t="str">
        <f t="shared" si="66"/>
        <v>-</v>
      </c>
      <c r="S838" t="str">
        <f t="shared" si="67"/>
        <v>-</v>
      </c>
      <c r="T838" t="str">
        <f t="shared" si="68"/>
        <v>-</v>
      </c>
      <c r="U838" t="str">
        <f t="shared" si="69"/>
        <v>High Value</v>
      </c>
    </row>
    <row r="839" spans="1:21" x14ac:dyDescent="0.2">
      <c r="A839" s="2">
        <v>634</v>
      </c>
      <c r="B839" s="2" t="s">
        <v>9</v>
      </c>
      <c r="C839" s="2" t="s">
        <v>1208</v>
      </c>
      <c r="D839" s="2" t="s">
        <v>45</v>
      </c>
      <c r="E839" s="2">
        <v>10022</v>
      </c>
      <c r="F839" s="2" t="s">
        <v>42</v>
      </c>
      <c r="G839" s="2" t="s">
        <v>36</v>
      </c>
      <c r="H839" s="2">
        <v>1</v>
      </c>
      <c r="I839" s="2" t="s">
        <v>14</v>
      </c>
      <c r="J839" s="2" t="str">
        <f>VLOOKUP(E839,[1]LL_Hub!$A$1:$B$13,2,FALSE)</f>
        <v>New York</v>
      </c>
      <c r="K839" t="str">
        <f>VLOOKUP(D839,'[2]product Table data'!$A$2:$B$12,2,FALSE)</f>
        <v>Female</v>
      </c>
      <c r="L839" t="str">
        <f>VLOOKUP($D839,'[2]product Table data'!$A$2:$G$12,L$1,FALSE)</f>
        <v>Winter Warmth</v>
      </c>
      <c r="M839" t="str">
        <f>VLOOKUP($D839,'[2]product Table data'!$A$2:$G$12,M$1,FALSE)</f>
        <v>Romania</v>
      </c>
      <c r="N839" t="str">
        <f>VLOOKUP($D839,'[2]product Table data'!$A$2:$G$12,N$1,FALSE)</f>
        <v>Eastern Europe</v>
      </c>
      <c r="O839">
        <f>VLOOKUP($D839,'[2]product Table data'!$A$2:$G$12,O$1,FALSE)</f>
        <v>350</v>
      </c>
      <c r="P839">
        <f>VLOOKUP($D839,'[2]product Table data'!$A$2:$G$12,P$1,FALSE)</f>
        <v>450</v>
      </c>
      <c r="Q839">
        <f t="shared" si="65"/>
        <v>100</v>
      </c>
      <c r="R839" t="str">
        <f t="shared" si="66"/>
        <v>-</v>
      </c>
      <c r="S839" t="str">
        <f t="shared" si="67"/>
        <v>-</v>
      </c>
      <c r="T839" t="str">
        <f t="shared" si="68"/>
        <v>-</v>
      </c>
      <c r="U839" t="str">
        <f t="shared" si="69"/>
        <v>High Value</v>
      </c>
    </row>
    <row r="840" spans="1:21" x14ac:dyDescent="0.2">
      <c r="A840" s="2">
        <v>635</v>
      </c>
      <c r="B840" s="2" t="s">
        <v>9</v>
      </c>
      <c r="C840" s="2" t="s">
        <v>1209</v>
      </c>
      <c r="D840" s="2" t="s">
        <v>45</v>
      </c>
      <c r="E840" s="2">
        <v>10022</v>
      </c>
      <c r="F840" s="2" t="s">
        <v>42</v>
      </c>
      <c r="G840" s="2" t="s">
        <v>36</v>
      </c>
      <c r="H840" s="2">
        <v>1</v>
      </c>
      <c r="I840" s="2" t="s">
        <v>14</v>
      </c>
      <c r="J840" s="2" t="str">
        <f>VLOOKUP(E840,[1]LL_Hub!$A$1:$B$13,2,FALSE)</f>
        <v>New York</v>
      </c>
      <c r="K840" t="str">
        <f>VLOOKUP(D840,'[2]product Table data'!$A$2:$B$12,2,FALSE)</f>
        <v>Female</v>
      </c>
      <c r="L840" t="str">
        <f>VLOOKUP($D840,'[2]product Table data'!$A$2:$G$12,L$1,FALSE)</f>
        <v>Winter Warmth</v>
      </c>
      <c r="M840" t="str">
        <f>VLOOKUP($D840,'[2]product Table data'!$A$2:$G$12,M$1,FALSE)</f>
        <v>Romania</v>
      </c>
      <c r="N840" t="str">
        <f>VLOOKUP($D840,'[2]product Table data'!$A$2:$G$12,N$1,FALSE)</f>
        <v>Eastern Europe</v>
      </c>
      <c r="O840">
        <f>VLOOKUP($D840,'[2]product Table data'!$A$2:$G$12,O$1,FALSE)</f>
        <v>350</v>
      </c>
      <c r="P840">
        <f>VLOOKUP($D840,'[2]product Table data'!$A$2:$G$12,P$1,FALSE)</f>
        <v>450</v>
      </c>
      <c r="Q840">
        <f t="shared" si="65"/>
        <v>100</v>
      </c>
      <c r="R840" t="str">
        <f t="shared" si="66"/>
        <v>-</v>
      </c>
      <c r="S840" t="str">
        <f t="shared" si="67"/>
        <v>-</v>
      </c>
      <c r="T840" t="str">
        <f t="shared" si="68"/>
        <v>-</v>
      </c>
      <c r="U840" t="str">
        <f t="shared" si="69"/>
        <v>High Value</v>
      </c>
    </row>
    <row r="841" spans="1:21" x14ac:dyDescent="0.2">
      <c r="A841" s="2">
        <v>636</v>
      </c>
      <c r="B841" s="2" t="s">
        <v>9</v>
      </c>
      <c r="C841" s="2" t="s">
        <v>1210</v>
      </c>
      <c r="D841" s="2" t="s">
        <v>45</v>
      </c>
      <c r="E841" s="2">
        <v>10022</v>
      </c>
      <c r="F841" s="2" t="s">
        <v>42</v>
      </c>
      <c r="G841" s="2" t="s">
        <v>36</v>
      </c>
      <c r="H841" s="2">
        <v>1</v>
      </c>
      <c r="I841" s="2" t="s">
        <v>14</v>
      </c>
      <c r="J841" s="2" t="str">
        <f>VLOOKUP(E841,[1]LL_Hub!$A$1:$B$13,2,FALSE)</f>
        <v>New York</v>
      </c>
      <c r="K841" t="str">
        <f>VLOOKUP(D841,'[2]product Table data'!$A$2:$B$12,2,FALSE)</f>
        <v>Female</v>
      </c>
      <c r="L841" t="str">
        <f>VLOOKUP($D841,'[2]product Table data'!$A$2:$G$12,L$1,FALSE)</f>
        <v>Winter Warmth</v>
      </c>
      <c r="M841" t="str">
        <f>VLOOKUP($D841,'[2]product Table data'!$A$2:$G$12,M$1,FALSE)</f>
        <v>Romania</v>
      </c>
      <c r="N841" t="str">
        <f>VLOOKUP($D841,'[2]product Table data'!$A$2:$G$12,N$1,FALSE)</f>
        <v>Eastern Europe</v>
      </c>
      <c r="O841">
        <f>VLOOKUP($D841,'[2]product Table data'!$A$2:$G$12,O$1,FALSE)</f>
        <v>350</v>
      </c>
      <c r="P841">
        <f>VLOOKUP($D841,'[2]product Table data'!$A$2:$G$12,P$1,FALSE)</f>
        <v>450</v>
      </c>
      <c r="Q841">
        <f t="shared" si="65"/>
        <v>100</v>
      </c>
      <c r="R841" t="str">
        <f t="shared" si="66"/>
        <v>-</v>
      </c>
      <c r="S841" t="str">
        <f t="shared" si="67"/>
        <v>-</v>
      </c>
      <c r="T841" t="str">
        <f t="shared" si="68"/>
        <v>-</v>
      </c>
      <c r="U841" t="str">
        <f t="shared" si="69"/>
        <v>High Value</v>
      </c>
    </row>
    <row r="842" spans="1:21" x14ac:dyDescent="0.2">
      <c r="A842" s="2">
        <v>637</v>
      </c>
      <c r="B842" s="2" t="s">
        <v>9</v>
      </c>
      <c r="C842" s="2" t="s">
        <v>1211</v>
      </c>
      <c r="D842" s="2" t="s">
        <v>45</v>
      </c>
      <c r="E842" s="2">
        <v>10022</v>
      </c>
      <c r="F842" s="2" t="s">
        <v>42</v>
      </c>
      <c r="G842" s="2" t="s">
        <v>36</v>
      </c>
      <c r="H842" s="2">
        <v>1</v>
      </c>
      <c r="I842" s="2" t="s">
        <v>14</v>
      </c>
      <c r="J842" s="2" t="str">
        <f>VLOOKUP(E842,[1]LL_Hub!$A$1:$B$13,2,FALSE)</f>
        <v>New York</v>
      </c>
      <c r="K842" t="str">
        <f>VLOOKUP(D842,'[2]product Table data'!$A$2:$B$12,2,FALSE)</f>
        <v>Female</v>
      </c>
      <c r="L842" t="str">
        <f>VLOOKUP($D842,'[2]product Table data'!$A$2:$G$12,L$1,FALSE)</f>
        <v>Winter Warmth</v>
      </c>
      <c r="M842" t="str">
        <f>VLOOKUP($D842,'[2]product Table data'!$A$2:$G$12,M$1,FALSE)</f>
        <v>Romania</v>
      </c>
      <c r="N842" t="str">
        <f>VLOOKUP($D842,'[2]product Table data'!$A$2:$G$12,N$1,FALSE)</f>
        <v>Eastern Europe</v>
      </c>
      <c r="O842">
        <f>VLOOKUP($D842,'[2]product Table data'!$A$2:$G$12,O$1,FALSE)</f>
        <v>350</v>
      </c>
      <c r="P842">
        <f>VLOOKUP($D842,'[2]product Table data'!$A$2:$G$12,P$1,FALSE)</f>
        <v>450</v>
      </c>
      <c r="Q842">
        <f t="shared" si="65"/>
        <v>100</v>
      </c>
      <c r="R842" t="str">
        <f t="shared" si="66"/>
        <v>-</v>
      </c>
      <c r="S842" t="str">
        <f t="shared" si="67"/>
        <v>-</v>
      </c>
      <c r="T842" t="str">
        <f t="shared" si="68"/>
        <v>-</v>
      </c>
      <c r="U842" t="str">
        <f t="shared" si="69"/>
        <v>High Value</v>
      </c>
    </row>
    <row r="843" spans="1:21" x14ac:dyDescent="0.2">
      <c r="A843" s="2">
        <v>638</v>
      </c>
      <c r="B843" s="2" t="s">
        <v>9</v>
      </c>
      <c r="C843" s="2" t="s">
        <v>1212</v>
      </c>
      <c r="D843" s="2" t="s">
        <v>45</v>
      </c>
      <c r="E843" s="2">
        <v>10022</v>
      </c>
      <c r="F843" s="2" t="s">
        <v>42</v>
      </c>
      <c r="G843" s="2" t="s">
        <v>36</v>
      </c>
      <c r="H843" s="2">
        <v>1</v>
      </c>
      <c r="I843" s="2" t="s">
        <v>14</v>
      </c>
      <c r="J843" s="2" t="str">
        <f>VLOOKUP(E843,[1]LL_Hub!$A$1:$B$13,2,FALSE)</f>
        <v>New York</v>
      </c>
      <c r="K843" t="str">
        <f>VLOOKUP(D843,'[2]product Table data'!$A$2:$B$12,2,FALSE)</f>
        <v>Female</v>
      </c>
      <c r="L843" t="str">
        <f>VLOOKUP($D843,'[2]product Table data'!$A$2:$G$12,L$1,FALSE)</f>
        <v>Winter Warmth</v>
      </c>
      <c r="M843" t="str">
        <f>VLOOKUP($D843,'[2]product Table data'!$A$2:$G$12,M$1,FALSE)</f>
        <v>Romania</v>
      </c>
      <c r="N843" t="str">
        <f>VLOOKUP($D843,'[2]product Table data'!$A$2:$G$12,N$1,FALSE)</f>
        <v>Eastern Europe</v>
      </c>
      <c r="O843">
        <f>VLOOKUP($D843,'[2]product Table data'!$A$2:$G$12,O$1,FALSE)</f>
        <v>350</v>
      </c>
      <c r="P843">
        <f>VLOOKUP($D843,'[2]product Table data'!$A$2:$G$12,P$1,FALSE)</f>
        <v>450</v>
      </c>
      <c r="Q843">
        <f t="shared" si="65"/>
        <v>100</v>
      </c>
      <c r="R843" t="str">
        <f t="shared" si="66"/>
        <v>-</v>
      </c>
      <c r="S843" t="str">
        <f t="shared" si="67"/>
        <v>-</v>
      </c>
      <c r="T843" t="str">
        <f t="shared" si="68"/>
        <v>-</v>
      </c>
      <c r="U843" t="str">
        <f t="shared" si="69"/>
        <v>High Value</v>
      </c>
    </row>
    <row r="844" spans="1:21" x14ac:dyDescent="0.2">
      <c r="A844" s="2">
        <v>639</v>
      </c>
      <c r="B844" s="2" t="s">
        <v>9</v>
      </c>
      <c r="C844" s="2" t="s">
        <v>1213</v>
      </c>
      <c r="D844" s="2" t="s">
        <v>45</v>
      </c>
      <c r="E844" s="2">
        <v>10022</v>
      </c>
      <c r="F844" s="2" t="s">
        <v>42</v>
      </c>
      <c r="G844" s="2" t="s">
        <v>36</v>
      </c>
      <c r="H844" s="2">
        <v>1</v>
      </c>
      <c r="I844" s="2" t="s">
        <v>14</v>
      </c>
      <c r="J844" s="2" t="str">
        <f>VLOOKUP(E844,[1]LL_Hub!$A$1:$B$13,2,FALSE)</f>
        <v>New York</v>
      </c>
      <c r="K844" t="str">
        <f>VLOOKUP(D844,'[2]product Table data'!$A$2:$B$12,2,FALSE)</f>
        <v>Female</v>
      </c>
      <c r="L844" t="str">
        <f>VLOOKUP($D844,'[2]product Table data'!$A$2:$G$12,L$1,FALSE)</f>
        <v>Winter Warmth</v>
      </c>
      <c r="M844" t="str">
        <f>VLOOKUP($D844,'[2]product Table data'!$A$2:$G$12,M$1,FALSE)</f>
        <v>Romania</v>
      </c>
      <c r="N844" t="str">
        <f>VLOOKUP($D844,'[2]product Table data'!$A$2:$G$12,N$1,FALSE)</f>
        <v>Eastern Europe</v>
      </c>
      <c r="O844">
        <f>VLOOKUP($D844,'[2]product Table data'!$A$2:$G$12,O$1,FALSE)</f>
        <v>350</v>
      </c>
      <c r="P844">
        <f>VLOOKUP($D844,'[2]product Table data'!$A$2:$G$12,P$1,FALSE)</f>
        <v>450</v>
      </c>
      <c r="Q844">
        <f t="shared" si="65"/>
        <v>100</v>
      </c>
      <c r="R844" t="str">
        <f t="shared" si="66"/>
        <v>-</v>
      </c>
      <c r="S844" t="str">
        <f t="shared" si="67"/>
        <v>-</v>
      </c>
      <c r="T844" t="str">
        <f t="shared" si="68"/>
        <v>-</v>
      </c>
      <c r="U844" t="str">
        <f t="shared" si="69"/>
        <v>High Value</v>
      </c>
    </row>
    <row r="845" spans="1:21" x14ac:dyDescent="0.2">
      <c r="A845" s="2">
        <v>640</v>
      </c>
      <c r="B845" s="2" t="s">
        <v>9</v>
      </c>
      <c r="C845" s="2" t="s">
        <v>1214</v>
      </c>
      <c r="D845" s="2" t="s">
        <v>45</v>
      </c>
      <c r="E845" s="2">
        <v>10022</v>
      </c>
      <c r="F845" s="2" t="s">
        <v>42</v>
      </c>
      <c r="G845" s="2" t="s">
        <v>36</v>
      </c>
      <c r="H845" s="2">
        <v>1</v>
      </c>
      <c r="I845" s="2" t="s">
        <v>14</v>
      </c>
      <c r="J845" s="2" t="str">
        <f>VLOOKUP(E845,[1]LL_Hub!$A$1:$B$13,2,FALSE)</f>
        <v>New York</v>
      </c>
      <c r="K845" t="str">
        <f>VLOOKUP(D845,'[2]product Table data'!$A$2:$B$12,2,FALSE)</f>
        <v>Female</v>
      </c>
      <c r="L845" t="str">
        <f>VLOOKUP($D845,'[2]product Table data'!$A$2:$G$12,L$1,FALSE)</f>
        <v>Winter Warmth</v>
      </c>
      <c r="M845" t="str">
        <f>VLOOKUP($D845,'[2]product Table data'!$A$2:$G$12,M$1,FALSE)</f>
        <v>Romania</v>
      </c>
      <c r="N845" t="str">
        <f>VLOOKUP($D845,'[2]product Table data'!$A$2:$G$12,N$1,FALSE)</f>
        <v>Eastern Europe</v>
      </c>
      <c r="O845">
        <f>VLOOKUP($D845,'[2]product Table data'!$A$2:$G$12,O$1,FALSE)</f>
        <v>350</v>
      </c>
      <c r="P845">
        <f>VLOOKUP($D845,'[2]product Table data'!$A$2:$G$12,P$1,FALSE)</f>
        <v>450</v>
      </c>
      <c r="Q845">
        <f t="shared" si="65"/>
        <v>100</v>
      </c>
      <c r="R845" t="str">
        <f t="shared" si="66"/>
        <v>-</v>
      </c>
      <c r="S845" t="str">
        <f t="shared" si="67"/>
        <v>-</v>
      </c>
      <c r="T845" t="str">
        <f t="shared" si="68"/>
        <v>-</v>
      </c>
      <c r="U845" t="str">
        <f t="shared" si="69"/>
        <v>High Value</v>
      </c>
    </row>
    <row r="846" spans="1:21" x14ac:dyDescent="0.2">
      <c r="A846" s="2">
        <v>641</v>
      </c>
      <c r="B846" s="2" t="s">
        <v>9</v>
      </c>
      <c r="C846" s="2" t="s">
        <v>1215</v>
      </c>
      <c r="D846" s="2" t="s">
        <v>45</v>
      </c>
      <c r="E846" s="2">
        <v>10022</v>
      </c>
      <c r="F846" s="2" t="s">
        <v>42</v>
      </c>
      <c r="G846" s="2" t="s">
        <v>36</v>
      </c>
      <c r="H846" s="2">
        <v>1</v>
      </c>
      <c r="I846" s="2" t="s">
        <v>14</v>
      </c>
      <c r="J846" s="2" t="str">
        <f>VLOOKUP(E846,[1]LL_Hub!$A$1:$B$13,2,FALSE)</f>
        <v>New York</v>
      </c>
      <c r="K846" t="str">
        <f>VLOOKUP(D846,'[2]product Table data'!$A$2:$B$12,2,FALSE)</f>
        <v>Female</v>
      </c>
      <c r="L846" t="str">
        <f>VLOOKUP($D846,'[2]product Table data'!$A$2:$G$12,L$1,FALSE)</f>
        <v>Winter Warmth</v>
      </c>
      <c r="M846" t="str">
        <f>VLOOKUP($D846,'[2]product Table data'!$A$2:$G$12,M$1,FALSE)</f>
        <v>Romania</v>
      </c>
      <c r="N846" t="str">
        <f>VLOOKUP($D846,'[2]product Table data'!$A$2:$G$12,N$1,FALSE)</f>
        <v>Eastern Europe</v>
      </c>
      <c r="O846">
        <f>VLOOKUP($D846,'[2]product Table data'!$A$2:$G$12,O$1,FALSE)</f>
        <v>350</v>
      </c>
      <c r="P846">
        <f>VLOOKUP($D846,'[2]product Table data'!$A$2:$G$12,P$1,FALSE)</f>
        <v>450</v>
      </c>
      <c r="Q846">
        <f t="shared" si="65"/>
        <v>100</v>
      </c>
      <c r="R846" t="str">
        <f t="shared" si="66"/>
        <v>-</v>
      </c>
      <c r="S846" t="str">
        <f t="shared" si="67"/>
        <v>-</v>
      </c>
      <c r="T846" t="str">
        <f t="shared" si="68"/>
        <v>-</v>
      </c>
      <c r="U846" t="str">
        <f t="shared" si="69"/>
        <v>High Value</v>
      </c>
    </row>
    <row r="847" spans="1:21" x14ac:dyDescent="0.2">
      <c r="A847" s="2">
        <v>642</v>
      </c>
      <c r="B847" s="2" t="s">
        <v>9</v>
      </c>
      <c r="C847" s="2" t="s">
        <v>1216</v>
      </c>
      <c r="D847" s="2" t="s">
        <v>45</v>
      </c>
      <c r="E847" s="2">
        <v>10022</v>
      </c>
      <c r="F847" s="2" t="s">
        <v>42</v>
      </c>
      <c r="G847" s="2" t="s">
        <v>36</v>
      </c>
      <c r="H847" s="2">
        <v>1</v>
      </c>
      <c r="I847" s="2" t="s">
        <v>14</v>
      </c>
      <c r="J847" s="2" t="str">
        <f>VLOOKUP(E847,[1]LL_Hub!$A$1:$B$13,2,FALSE)</f>
        <v>New York</v>
      </c>
      <c r="K847" t="str">
        <f>VLOOKUP(D847,'[2]product Table data'!$A$2:$B$12,2,FALSE)</f>
        <v>Female</v>
      </c>
      <c r="L847" t="str">
        <f>VLOOKUP($D847,'[2]product Table data'!$A$2:$G$12,L$1,FALSE)</f>
        <v>Winter Warmth</v>
      </c>
      <c r="M847" t="str">
        <f>VLOOKUP($D847,'[2]product Table data'!$A$2:$G$12,M$1,FALSE)</f>
        <v>Romania</v>
      </c>
      <c r="N847" t="str">
        <f>VLOOKUP($D847,'[2]product Table data'!$A$2:$G$12,N$1,FALSE)</f>
        <v>Eastern Europe</v>
      </c>
      <c r="O847">
        <f>VLOOKUP($D847,'[2]product Table data'!$A$2:$G$12,O$1,FALSE)</f>
        <v>350</v>
      </c>
      <c r="P847">
        <f>VLOOKUP($D847,'[2]product Table data'!$A$2:$G$12,P$1,FALSE)</f>
        <v>450</v>
      </c>
      <c r="Q847">
        <f t="shared" si="65"/>
        <v>100</v>
      </c>
      <c r="R847" t="str">
        <f t="shared" si="66"/>
        <v>-</v>
      </c>
      <c r="S847" t="str">
        <f t="shared" si="67"/>
        <v>-</v>
      </c>
      <c r="T847" t="str">
        <f t="shared" si="68"/>
        <v>-</v>
      </c>
      <c r="U847" t="str">
        <f t="shared" si="69"/>
        <v>High Value</v>
      </c>
    </row>
    <row r="848" spans="1:21" x14ac:dyDescent="0.2">
      <c r="A848" s="2">
        <v>643</v>
      </c>
      <c r="B848" s="2" t="s">
        <v>9</v>
      </c>
      <c r="C848" s="2" t="s">
        <v>1217</v>
      </c>
      <c r="D848" s="2" t="s">
        <v>45</v>
      </c>
      <c r="E848" s="2">
        <v>10022</v>
      </c>
      <c r="F848" s="2" t="s">
        <v>42</v>
      </c>
      <c r="G848" s="2" t="s">
        <v>36</v>
      </c>
      <c r="H848" s="2">
        <v>1</v>
      </c>
      <c r="I848" s="2" t="s">
        <v>14</v>
      </c>
      <c r="J848" s="2" t="str">
        <f>VLOOKUP(E848,[1]LL_Hub!$A$1:$B$13,2,FALSE)</f>
        <v>New York</v>
      </c>
      <c r="K848" t="str">
        <f>VLOOKUP(D848,'[2]product Table data'!$A$2:$B$12,2,FALSE)</f>
        <v>Female</v>
      </c>
      <c r="L848" t="str">
        <f>VLOOKUP($D848,'[2]product Table data'!$A$2:$G$12,L$1,FALSE)</f>
        <v>Winter Warmth</v>
      </c>
      <c r="M848" t="str">
        <f>VLOOKUP($D848,'[2]product Table data'!$A$2:$G$12,M$1,FALSE)</f>
        <v>Romania</v>
      </c>
      <c r="N848" t="str">
        <f>VLOOKUP($D848,'[2]product Table data'!$A$2:$G$12,N$1,FALSE)</f>
        <v>Eastern Europe</v>
      </c>
      <c r="O848">
        <f>VLOOKUP($D848,'[2]product Table data'!$A$2:$G$12,O$1,FALSE)</f>
        <v>350</v>
      </c>
      <c r="P848">
        <f>VLOOKUP($D848,'[2]product Table data'!$A$2:$G$12,P$1,FALSE)</f>
        <v>450</v>
      </c>
      <c r="Q848">
        <f t="shared" si="65"/>
        <v>100</v>
      </c>
      <c r="R848" t="str">
        <f t="shared" si="66"/>
        <v>-</v>
      </c>
      <c r="S848" t="str">
        <f t="shared" si="67"/>
        <v>-</v>
      </c>
      <c r="T848" t="str">
        <f t="shared" si="68"/>
        <v>-</v>
      </c>
      <c r="U848" t="str">
        <f t="shared" si="69"/>
        <v>High Value</v>
      </c>
    </row>
    <row r="849" spans="1:21" x14ac:dyDescent="0.2">
      <c r="A849" s="2">
        <v>644</v>
      </c>
      <c r="B849" s="2" t="s">
        <v>9</v>
      </c>
      <c r="C849" s="2" t="s">
        <v>1218</v>
      </c>
      <c r="D849" s="2" t="s">
        <v>45</v>
      </c>
      <c r="E849" s="2">
        <v>10022</v>
      </c>
      <c r="F849" s="2" t="s">
        <v>42</v>
      </c>
      <c r="G849" s="2" t="s">
        <v>36</v>
      </c>
      <c r="H849" s="2">
        <v>1</v>
      </c>
      <c r="I849" s="2" t="s">
        <v>14</v>
      </c>
      <c r="J849" s="2" t="str">
        <f>VLOOKUP(E849,[1]LL_Hub!$A$1:$B$13,2,FALSE)</f>
        <v>New York</v>
      </c>
      <c r="K849" t="str">
        <f>VLOOKUP(D849,'[2]product Table data'!$A$2:$B$12,2,FALSE)</f>
        <v>Female</v>
      </c>
      <c r="L849" t="str">
        <f>VLOOKUP($D849,'[2]product Table data'!$A$2:$G$12,L$1,FALSE)</f>
        <v>Winter Warmth</v>
      </c>
      <c r="M849" t="str">
        <f>VLOOKUP($D849,'[2]product Table data'!$A$2:$G$12,M$1,FALSE)</f>
        <v>Romania</v>
      </c>
      <c r="N849" t="str">
        <f>VLOOKUP($D849,'[2]product Table data'!$A$2:$G$12,N$1,FALSE)</f>
        <v>Eastern Europe</v>
      </c>
      <c r="O849">
        <f>VLOOKUP($D849,'[2]product Table data'!$A$2:$G$12,O$1,FALSE)</f>
        <v>350</v>
      </c>
      <c r="P849">
        <f>VLOOKUP($D849,'[2]product Table data'!$A$2:$G$12,P$1,FALSE)</f>
        <v>450</v>
      </c>
      <c r="Q849">
        <f t="shared" si="65"/>
        <v>100</v>
      </c>
      <c r="R849" t="str">
        <f t="shared" si="66"/>
        <v>-</v>
      </c>
      <c r="S849" t="str">
        <f t="shared" si="67"/>
        <v>-</v>
      </c>
      <c r="T849" t="str">
        <f t="shared" si="68"/>
        <v>-</v>
      </c>
      <c r="U849" t="str">
        <f t="shared" si="69"/>
        <v>High Value</v>
      </c>
    </row>
    <row r="850" spans="1:21" x14ac:dyDescent="0.2">
      <c r="A850" s="2">
        <v>645</v>
      </c>
      <c r="B850" s="2" t="s">
        <v>9</v>
      </c>
      <c r="C850" s="2" t="s">
        <v>1219</v>
      </c>
      <c r="D850" s="2" t="s">
        <v>45</v>
      </c>
      <c r="E850" s="2">
        <v>10022</v>
      </c>
      <c r="F850" s="2" t="s">
        <v>42</v>
      </c>
      <c r="G850" s="2" t="s">
        <v>36</v>
      </c>
      <c r="H850" s="2">
        <v>1</v>
      </c>
      <c r="I850" s="2" t="s">
        <v>14</v>
      </c>
      <c r="J850" s="2" t="str">
        <f>VLOOKUP(E850,[1]LL_Hub!$A$1:$B$13,2,FALSE)</f>
        <v>New York</v>
      </c>
      <c r="K850" t="str">
        <f>VLOOKUP(D850,'[2]product Table data'!$A$2:$B$12,2,FALSE)</f>
        <v>Female</v>
      </c>
      <c r="L850" t="str">
        <f>VLOOKUP($D850,'[2]product Table data'!$A$2:$G$12,L$1,FALSE)</f>
        <v>Winter Warmth</v>
      </c>
      <c r="M850" t="str">
        <f>VLOOKUP($D850,'[2]product Table data'!$A$2:$G$12,M$1,FALSE)</f>
        <v>Romania</v>
      </c>
      <c r="N850" t="str">
        <f>VLOOKUP($D850,'[2]product Table data'!$A$2:$G$12,N$1,FALSE)</f>
        <v>Eastern Europe</v>
      </c>
      <c r="O850">
        <f>VLOOKUP($D850,'[2]product Table data'!$A$2:$G$12,O$1,FALSE)</f>
        <v>350</v>
      </c>
      <c r="P850">
        <f>VLOOKUP($D850,'[2]product Table data'!$A$2:$G$12,P$1,FALSE)</f>
        <v>450</v>
      </c>
      <c r="Q850">
        <f t="shared" si="65"/>
        <v>100</v>
      </c>
      <c r="R850" t="str">
        <f t="shared" si="66"/>
        <v>-</v>
      </c>
      <c r="S850" t="str">
        <f t="shared" si="67"/>
        <v>-</v>
      </c>
      <c r="T850" t="str">
        <f t="shared" si="68"/>
        <v>-</v>
      </c>
      <c r="U850" t="str">
        <f t="shared" si="69"/>
        <v>High Value</v>
      </c>
    </row>
    <row r="851" spans="1:21" x14ac:dyDescent="0.2">
      <c r="A851" s="2">
        <v>650</v>
      </c>
      <c r="B851" s="2" t="s">
        <v>9</v>
      </c>
      <c r="C851" s="2" t="s">
        <v>1220</v>
      </c>
      <c r="D851" s="2" t="s">
        <v>45</v>
      </c>
      <c r="E851" s="2">
        <v>10022</v>
      </c>
      <c r="F851" s="2" t="s">
        <v>42</v>
      </c>
      <c r="G851" s="2" t="s">
        <v>36</v>
      </c>
      <c r="H851" s="2">
        <v>1</v>
      </c>
      <c r="I851" s="2" t="s">
        <v>14</v>
      </c>
      <c r="J851" s="2" t="str">
        <f>VLOOKUP(E851,[1]LL_Hub!$A$1:$B$13,2,FALSE)</f>
        <v>New York</v>
      </c>
      <c r="K851" t="str">
        <f>VLOOKUP(D851,'[2]product Table data'!$A$2:$B$12,2,FALSE)</f>
        <v>Female</v>
      </c>
      <c r="L851" t="str">
        <f>VLOOKUP($D851,'[2]product Table data'!$A$2:$G$12,L$1,FALSE)</f>
        <v>Winter Warmth</v>
      </c>
      <c r="M851" t="str">
        <f>VLOOKUP($D851,'[2]product Table data'!$A$2:$G$12,M$1,FALSE)</f>
        <v>Romania</v>
      </c>
      <c r="N851" t="str">
        <f>VLOOKUP($D851,'[2]product Table data'!$A$2:$G$12,N$1,FALSE)</f>
        <v>Eastern Europe</v>
      </c>
      <c r="O851">
        <f>VLOOKUP($D851,'[2]product Table data'!$A$2:$G$12,O$1,FALSE)</f>
        <v>350</v>
      </c>
      <c r="P851">
        <f>VLOOKUP($D851,'[2]product Table data'!$A$2:$G$12,P$1,FALSE)</f>
        <v>450</v>
      </c>
      <c r="Q851">
        <f t="shared" si="65"/>
        <v>100</v>
      </c>
      <c r="R851" t="str">
        <f t="shared" si="66"/>
        <v>-</v>
      </c>
      <c r="S851" t="str">
        <f t="shared" si="67"/>
        <v>-</v>
      </c>
      <c r="T851" t="str">
        <f t="shared" si="68"/>
        <v>-</v>
      </c>
      <c r="U851" t="str">
        <f t="shared" si="69"/>
        <v>High Value</v>
      </c>
    </row>
    <row r="852" spans="1:21" x14ac:dyDescent="0.2">
      <c r="A852" s="2">
        <v>651</v>
      </c>
      <c r="B852" s="2" t="s">
        <v>9</v>
      </c>
      <c r="C852" s="2" t="s">
        <v>1221</v>
      </c>
      <c r="D852" s="2" t="s">
        <v>45</v>
      </c>
      <c r="E852" s="2">
        <v>10022</v>
      </c>
      <c r="F852" s="2" t="s">
        <v>42</v>
      </c>
      <c r="G852" s="2" t="s">
        <v>36</v>
      </c>
      <c r="H852" s="2">
        <v>1</v>
      </c>
      <c r="I852" s="2" t="s">
        <v>14</v>
      </c>
      <c r="J852" s="2" t="str">
        <f>VLOOKUP(E852,[1]LL_Hub!$A$1:$B$13,2,FALSE)</f>
        <v>New York</v>
      </c>
      <c r="K852" t="str">
        <f>VLOOKUP(D852,'[2]product Table data'!$A$2:$B$12,2,FALSE)</f>
        <v>Female</v>
      </c>
      <c r="L852" t="str">
        <f>VLOOKUP($D852,'[2]product Table data'!$A$2:$G$12,L$1,FALSE)</f>
        <v>Winter Warmth</v>
      </c>
      <c r="M852" t="str">
        <f>VLOOKUP($D852,'[2]product Table data'!$A$2:$G$12,M$1,FALSE)</f>
        <v>Romania</v>
      </c>
      <c r="N852" t="str">
        <f>VLOOKUP($D852,'[2]product Table data'!$A$2:$G$12,N$1,FALSE)</f>
        <v>Eastern Europe</v>
      </c>
      <c r="O852">
        <f>VLOOKUP($D852,'[2]product Table data'!$A$2:$G$12,O$1,FALSE)</f>
        <v>350</v>
      </c>
      <c r="P852">
        <f>VLOOKUP($D852,'[2]product Table data'!$A$2:$G$12,P$1,FALSE)</f>
        <v>450</v>
      </c>
      <c r="Q852">
        <f t="shared" si="65"/>
        <v>100</v>
      </c>
      <c r="R852" t="str">
        <f t="shared" si="66"/>
        <v>-</v>
      </c>
      <c r="S852" t="str">
        <f t="shared" si="67"/>
        <v>-</v>
      </c>
      <c r="T852" t="str">
        <f t="shared" si="68"/>
        <v>-</v>
      </c>
      <c r="U852" t="str">
        <f t="shared" si="69"/>
        <v>High Value</v>
      </c>
    </row>
    <row r="853" spans="1:21" x14ac:dyDescent="0.2">
      <c r="A853" s="2">
        <v>652</v>
      </c>
      <c r="B853" s="2" t="s">
        <v>9</v>
      </c>
      <c r="C853" s="2" t="s">
        <v>1222</v>
      </c>
      <c r="D853" s="2" t="s">
        <v>45</v>
      </c>
      <c r="E853" s="2">
        <v>10022</v>
      </c>
      <c r="F853" s="2" t="s">
        <v>42</v>
      </c>
      <c r="G853" s="2" t="s">
        <v>36</v>
      </c>
      <c r="H853" s="2">
        <v>1</v>
      </c>
      <c r="I853" s="2" t="s">
        <v>14</v>
      </c>
      <c r="J853" s="2" t="str">
        <f>VLOOKUP(E853,[1]LL_Hub!$A$1:$B$13,2,FALSE)</f>
        <v>New York</v>
      </c>
      <c r="K853" t="str">
        <f>VLOOKUP(D853,'[2]product Table data'!$A$2:$B$12,2,FALSE)</f>
        <v>Female</v>
      </c>
      <c r="L853" t="str">
        <f>VLOOKUP($D853,'[2]product Table data'!$A$2:$G$12,L$1,FALSE)</f>
        <v>Winter Warmth</v>
      </c>
      <c r="M853" t="str">
        <f>VLOOKUP($D853,'[2]product Table data'!$A$2:$G$12,M$1,FALSE)</f>
        <v>Romania</v>
      </c>
      <c r="N853" t="str">
        <f>VLOOKUP($D853,'[2]product Table data'!$A$2:$G$12,N$1,FALSE)</f>
        <v>Eastern Europe</v>
      </c>
      <c r="O853">
        <f>VLOOKUP($D853,'[2]product Table data'!$A$2:$G$12,O$1,FALSE)</f>
        <v>350</v>
      </c>
      <c r="P853">
        <f>VLOOKUP($D853,'[2]product Table data'!$A$2:$G$12,P$1,FALSE)</f>
        <v>450</v>
      </c>
      <c r="Q853">
        <f t="shared" si="65"/>
        <v>100</v>
      </c>
      <c r="R853" t="str">
        <f t="shared" si="66"/>
        <v>-</v>
      </c>
      <c r="S853" t="str">
        <f t="shared" si="67"/>
        <v>-</v>
      </c>
      <c r="T853" t="str">
        <f t="shared" si="68"/>
        <v>-</v>
      </c>
      <c r="U853" t="str">
        <f t="shared" si="69"/>
        <v>High Value</v>
      </c>
    </row>
    <row r="854" spans="1:21" x14ac:dyDescent="0.2">
      <c r="A854" s="2">
        <v>653</v>
      </c>
      <c r="B854" s="2" t="s">
        <v>9</v>
      </c>
      <c r="C854" s="2" t="s">
        <v>1223</v>
      </c>
      <c r="D854" s="2" t="s">
        <v>45</v>
      </c>
      <c r="E854" s="2">
        <v>10022</v>
      </c>
      <c r="F854" s="2" t="s">
        <v>42</v>
      </c>
      <c r="G854" s="2" t="s">
        <v>36</v>
      </c>
      <c r="H854" s="2">
        <v>1</v>
      </c>
      <c r="I854" s="2" t="s">
        <v>14</v>
      </c>
      <c r="J854" s="2" t="str">
        <f>VLOOKUP(E854,[1]LL_Hub!$A$1:$B$13,2,FALSE)</f>
        <v>New York</v>
      </c>
      <c r="K854" t="str">
        <f>VLOOKUP(D854,'[2]product Table data'!$A$2:$B$12,2,FALSE)</f>
        <v>Female</v>
      </c>
      <c r="L854" t="str">
        <f>VLOOKUP($D854,'[2]product Table data'!$A$2:$G$12,L$1,FALSE)</f>
        <v>Winter Warmth</v>
      </c>
      <c r="M854" t="str">
        <f>VLOOKUP($D854,'[2]product Table data'!$A$2:$G$12,M$1,FALSE)</f>
        <v>Romania</v>
      </c>
      <c r="N854" t="str">
        <f>VLOOKUP($D854,'[2]product Table data'!$A$2:$G$12,N$1,FALSE)</f>
        <v>Eastern Europe</v>
      </c>
      <c r="O854">
        <f>VLOOKUP($D854,'[2]product Table data'!$A$2:$G$12,O$1,FALSE)</f>
        <v>350</v>
      </c>
      <c r="P854">
        <f>VLOOKUP($D854,'[2]product Table data'!$A$2:$G$12,P$1,FALSE)</f>
        <v>450</v>
      </c>
      <c r="Q854">
        <f t="shared" si="65"/>
        <v>100</v>
      </c>
      <c r="R854" t="str">
        <f t="shared" si="66"/>
        <v>-</v>
      </c>
      <c r="S854" t="str">
        <f t="shared" si="67"/>
        <v>-</v>
      </c>
      <c r="T854" t="str">
        <f t="shared" si="68"/>
        <v>-</v>
      </c>
      <c r="U854" t="str">
        <f t="shared" si="69"/>
        <v>High Value</v>
      </c>
    </row>
    <row r="855" spans="1:21" x14ac:dyDescent="0.2">
      <c r="A855" s="2">
        <v>654</v>
      </c>
      <c r="B855" s="2" t="s">
        <v>9</v>
      </c>
      <c r="C855" s="2" t="s">
        <v>1224</v>
      </c>
      <c r="D855" s="2" t="s">
        <v>45</v>
      </c>
      <c r="E855" s="2">
        <v>10022</v>
      </c>
      <c r="F855" s="2" t="s">
        <v>42</v>
      </c>
      <c r="G855" s="2" t="s">
        <v>36</v>
      </c>
      <c r="H855" s="2">
        <v>1</v>
      </c>
      <c r="I855" s="2" t="s">
        <v>14</v>
      </c>
      <c r="J855" s="2" t="str">
        <f>VLOOKUP(E855,[1]LL_Hub!$A$1:$B$13,2,FALSE)</f>
        <v>New York</v>
      </c>
      <c r="K855" t="str">
        <f>VLOOKUP(D855,'[2]product Table data'!$A$2:$B$12,2,FALSE)</f>
        <v>Female</v>
      </c>
      <c r="L855" t="str">
        <f>VLOOKUP($D855,'[2]product Table data'!$A$2:$G$12,L$1,FALSE)</f>
        <v>Winter Warmth</v>
      </c>
      <c r="M855" t="str">
        <f>VLOOKUP($D855,'[2]product Table data'!$A$2:$G$12,M$1,FALSE)</f>
        <v>Romania</v>
      </c>
      <c r="N855" t="str">
        <f>VLOOKUP($D855,'[2]product Table data'!$A$2:$G$12,N$1,FALSE)</f>
        <v>Eastern Europe</v>
      </c>
      <c r="O855">
        <f>VLOOKUP($D855,'[2]product Table data'!$A$2:$G$12,O$1,FALSE)</f>
        <v>350</v>
      </c>
      <c r="P855">
        <f>VLOOKUP($D855,'[2]product Table data'!$A$2:$G$12,P$1,FALSE)</f>
        <v>450</v>
      </c>
      <c r="Q855">
        <f t="shared" si="65"/>
        <v>100</v>
      </c>
      <c r="R855" t="str">
        <f t="shared" si="66"/>
        <v>-</v>
      </c>
      <c r="S855" t="str">
        <f t="shared" si="67"/>
        <v>-</v>
      </c>
      <c r="T855" t="str">
        <f t="shared" si="68"/>
        <v>-</v>
      </c>
      <c r="U855" t="str">
        <f t="shared" si="69"/>
        <v>High Value</v>
      </c>
    </row>
    <row r="856" spans="1:21" x14ac:dyDescent="0.2">
      <c r="A856" s="2">
        <v>660</v>
      </c>
      <c r="B856" s="2" t="s">
        <v>9</v>
      </c>
      <c r="C856" s="2" t="s">
        <v>1225</v>
      </c>
      <c r="D856" s="2" t="s">
        <v>45</v>
      </c>
      <c r="E856" s="2">
        <v>10022</v>
      </c>
      <c r="F856" s="2" t="s">
        <v>42</v>
      </c>
      <c r="G856" s="2" t="s">
        <v>36</v>
      </c>
      <c r="H856" s="2">
        <v>1</v>
      </c>
      <c r="I856" s="2" t="s">
        <v>14</v>
      </c>
      <c r="J856" s="2" t="str">
        <f>VLOOKUP(E856,[1]LL_Hub!$A$1:$B$13,2,FALSE)</f>
        <v>New York</v>
      </c>
      <c r="K856" t="str">
        <f>VLOOKUP(D856,'[2]product Table data'!$A$2:$B$12,2,FALSE)</f>
        <v>Female</v>
      </c>
      <c r="L856" t="str">
        <f>VLOOKUP($D856,'[2]product Table data'!$A$2:$G$12,L$1,FALSE)</f>
        <v>Winter Warmth</v>
      </c>
      <c r="M856" t="str">
        <f>VLOOKUP($D856,'[2]product Table data'!$A$2:$G$12,M$1,FALSE)</f>
        <v>Romania</v>
      </c>
      <c r="N856" t="str">
        <f>VLOOKUP($D856,'[2]product Table data'!$A$2:$G$12,N$1,FALSE)</f>
        <v>Eastern Europe</v>
      </c>
      <c r="O856">
        <f>VLOOKUP($D856,'[2]product Table data'!$A$2:$G$12,O$1,FALSE)</f>
        <v>350</v>
      </c>
      <c r="P856">
        <f>VLOOKUP($D856,'[2]product Table data'!$A$2:$G$12,P$1,FALSE)</f>
        <v>450</v>
      </c>
      <c r="Q856">
        <f t="shared" si="65"/>
        <v>100</v>
      </c>
      <c r="R856" t="str">
        <f t="shared" si="66"/>
        <v>-</v>
      </c>
      <c r="S856" t="str">
        <f t="shared" si="67"/>
        <v>-</v>
      </c>
      <c r="T856" t="str">
        <f t="shared" si="68"/>
        <v>-</v>
      </c>
      <c r="U856" t="str">
        <f t="shared" si="69"/>
        <v>High Value</v>
      </c>
    </row>
    <row r="857" spans="1:21" x14ac:dyDescent="0.2">
      <c r="A857" s="2">
        <v>661</v>
      </c>
      <c r="B857" s="2" t="s">
        <v>9</v>
      </c>
      <c r="C857" s="2" t="s">
        <v>1226</v>
      </c>
      <c r="D857" s="2" t="s">
        <v>45</v>
      </c>
      <c r="E857" s="2">
        <v>10022</v>
      </c>
      <c r="F857" s="2" t="s">
        <v>42</v>
      </c>
      <c r="G857" s="2" t="s">
        <v>36</v>
      </c>
      <c r="H857" s="2">
        <v>1</v>
      </c>
      <c r="I857" s="2" t="s">
        <v>14</v>
      </c>
      <c r="J857" s="2" t="str">
        <f>VLOOKUP(E857,[1]LL_Hub!$A$1:$B$13,2,FALSE)</f>
        <v>New York</v>
      </c>
      <c r="K857" t="str">
        <f>VLOOKUP(D857,'[2]product Table data'!$A$2:$B$12,2,FALSE)</f>
        <v>Female</v>
      </c>
      <c r="L857" t="str">
        <f>VLOOKUP($D857,'[2]product Table data'!$A$2:$G$12,L$1,FALSE)</f>
        <v>Winter Warmth</v>
      </c>
      <c r="M857" t="str">
        <f>VLOOKUP($D857,'[2]product Table data'!$A$2:$G$12,M$1,FALSE)</f>
        <v>Romania</v>
      </c>
      <c r="N857" t="str">
        <f>VLOOKUP($D857,'[2]product Table data'!$A$2:$G$12,N$1,FALSE)</f>
        <v>Eastern Europe</v>
      </c>
      <c r="O857">
        <f>VLOOKUP($D857,'[2]product Table data'!$A$2:$G$12,O$1,FALSE)</f>
        <v>350</v>
      </c>
      <c r="P857">
        <f>VLOOKUP($D857,'[2]product Table data'!$A$2:$G$12,P$1,FALSE)</f>
        <v>450</v>
      </c>
      <c r="Q857">
        <f t="shared" si="65"/>
        <v>100</v>
      </c>
      <c r="R857" t="str">
        <f t="shared" si="66"/>
        <v>-</v>
      </c>
      <c r="S857" t="str">
        <f t="shared" si="67"/>
        <v>-</v>
      </c>
      <c r="T857" t="str">
        <f t="shared" si="68"/>
        <v>-</v>
      </c>
      <c r="U857" t="str">
        <f t="shared" si="69"/>
        <v>High Value</v>
      </c>
    </row>
    <row r="858" spans="1:21" x14ac:dyDescent="0.2">
      <c r="A858" s="2">
        <v>662</v>
      </c>
      <c r="B858" s="2" t="s">
        <v>9</v>
      </c>
      <c r="C858" s="2" t="s">
        <v>1227</v>
      </c>
      <c r="D858" s="2" t="s">
        <v>45</v>
      </c>
      <c r="E858" s="2">
        <v>10022</v>
      </c>
      <c r="F858" s="2" t="s">
        <v>42</v>
      </c>
      <c r="G858" s="2" t="s">
        <v>36</v>
      </c>
      <c r="H858" s="2">
        <v>1</v>
      </c>
      <c r="I858" s="2" t="s">
        <v>14</v>
      </c>
      <c r="J858" s="2" t="str">
        <f>VLOOKUP(E858,[1]LL_Hub!$A$1:$B$13,2,FALSE)</f>
        <v>New York</v>
      </c>
      <c r="K858" t="str">
        <f>VLOOKUP(D858,'[2]product Table data'!$A$2:$B$12,2,FALSE)</f>
        <v>Female</v>
      </c>
      <c r="L858" t="str">
        <f>VLOOKUP($D858,'[2]product Table data'!$A$2:$G$12,L$1,FALSE)</f>
        <v>Winter Warmth</v>
      </c>
      <c r="M858" t="str">
        <f>VLOOKUP($D858,'[2]product Table data'!$A$2:$G$12,M$1,FALSE)</f>
        <v>Romania</v>
      </c>
      <c r="N858" t="str">
        <f>VLOOKUP($D858,'[2]product Table data'!$A$2:$G$12,N$1,FALSE)</f>
        <v>Eastern Europe</v>
      </c>
      <c r="O858">
        <f>VLOOKUP($D858,'[2]product Table data'!$A$2:$G$12,O$1,FALSE)</f>
        <v>350</v>
      </c>
      <c r="P858">
        <f>VLOOKUP($D858,'[2]product Table data'!$A$2:$G$12,P$1,FALSE)</f>
        <v>450</v>
      </c>
      <c r="Q858">
        <f t="shared" si="65"/>
        <v>100</v>
      </c>
      <c r="R858" t="str">
        <f t="shared" si="66"/>
        <v>-</v>
      </c>
      <c r="S858" t="str">
        <f t="shared" si="67"/>
        <v>-</v>
      </c>
      <c r="T858" t="str">
        <f t="shared" si="68"/>
        <v>-</v>
      </c>
      <c r="U858" t="str">
        <f t="shared" si="69"/>
        <v>High Value</v>
      </c>
    </row>
    <row r="859" spans="1:21" x14ac:dyDescent="0.2">
      <c r="A859" s="2">
        <v>664</v>
      </c>
      <c r="B859" s="2" t="s">
        <v>9</v>
      </c>
      <c r="C859" s="2" t="s">
        <v>1228</v>
      </c>
      <c r="D859" s="2" t="s">
        <v>45</v>
      </c>
      <c r="E859" s="2">
        <v>10022</v>
      </c>
      <c r="F859" s="2" t="s">
        <v>42</v>
      </c>
      <c r="G859" s="2" t="s">
        <v>36</v>
      </c>
      <c r="H859" s="2">
        <v>1</v>
      </c>
      <c r="I859" s="2" t="s">
        <v>14</v>
      </c>
      <c r="J859" s="2" t="str">
        <f>VLOOKUP(E859,[1]LL_Hub!$A$1:$B$13,2,FALSE)</f>
        <v>New York</v>
      </c>
      <c r="K859" t="str">
        <f>VLOOKUP(D859,'[2]product Table data'!$A$2:$B$12,2,FALSE)</f>
        <v>Female</v>
      </c>
      <c r="L859" t="str">
        <f>VLOOKUP($D859,'[2]product Table data'!$A$2:$G$12,L$1,FALSE)</f>
        <v>Winter Warmth</v>
      </c>
      <c r="M859" t="str">
        <f>VLOOKUP($D859,'[2]product Table data'!$A$2:$G$12,M$1,FALSE)</f>
        <v>Romania</v>
      </c>
      <c r="N859" t="str">
        <f>VLOOKUP($D859,'[2]product Table data'!$A$2:$G$12,N$1,FALSE)</f>
        <v>Eastern Europe</v>
      </c>
      <c r="O859">
        <f>VLOOKUP($D859,'[2]product Table data'!$A$2:$G$12,O$1,FALSE)</f>
        <v>350</v>
      </c>
      <c r="P859">
        <f>VLOOKUP($D859,'[2]product Table data'!$A$2:$G$12,P$1,FALSE)</f>
        <v>450</v>
      </c>
      <c r="Q859">
        <f t="shared" si="65"/>
        <v>100</v>
      </c>
      <c r="R859" t="str">
        <f t="shared" si="66"/>
        <v>-</v>
      </c>
      <c r="S859" t="str">
        <f t="shared" si="67"/>
        <v>-</v>
      </c>
      <c r="T859" t="str">
        <f t="shared" si="68"/>
        <v>-</v>
      </c>
      <c r="U859" t="str">
        <f t="shared" si="69"/>
        <v>High Value</v>
      </c>
    </row>
    <row r="860" spans="1:21" x14ac:dyDescent="0.2">
      <c r="A860" s="2">
        <v>665</v>
      </c>
      <c r="B860" s="2" t="s">
        <v>9</v>
      </c>
      <c r="C860" s="2" t="s">
        <v>1229</v>
      </c>
      <c r="D860" s="2" t="s">
        <v>45</v>
      </c>
      <c r="E860" s="2">
        <v>10022</v>
      </c>
      <c r="F860" s="2" t="s">
        <v>42</v>
      </c>
      <c r="G860" s="2" t="s">
        <v>36</v>
      </c>
      <c r="H860" s="2">
        <v>1</v>
      </c>
      <c r="I860" s="2" t="s">
        <v>14</v>
      </c>
      <c r="J860" s="2" t="str">
        <f>VLOOKUP(E860,[1]LL_Hub!$A$1:$B$13,2,FALSE)</f>
        <v>New York</v>
      </c>
      <c r="K860" t="str">
        <f>VLOOKUP(D860,'[2]product Table data'!$A$2:$B$12,2,FALSE)</f>
        <v>Female</v>
      </c>
      <c r="L860" t="str">
        <f>VLOOKUP($D860,'[2]product Table data'!$A$2:$G$12,L$1,FALSE)</f>
        <v>Winter Warmth</v>
      </c>
      <c r="M860" t="str">
        <f>VLOOKUP($D860,'[2]product Table data'!$A$2:$G$12,M$1,FALSE)</f>
        <v>Romania</v>
      </c>
      <c r="N860" t="str">
        <f>VLOOKUP($D860,'[2]product Table data'!$A$2:$G$12,N$1,FALSE)</f>
        <v>Eastern Europe</v>
      </c>
      <c r="O860">
        <f>VLOOKUP($D860,'[2]product Table data'!$A$2:$G$12,O$1,FALSE)</f>
        <v>350</v>
      </c>
      <c r="P860">
        <f>VLOOKUP($D860,'[2]product Table data'!$A$2:$G$12,P$1,FALSE)</f>
        <v>450</v>
      </c>
      <c r="Q860">
        <f t="shared" si="65"/>
        <v>100</v>
      </c>
      <c r="R860" t="str">
        <f t="shared" si="66"/>
        <v>-</v>
      </c>
      <c r="S860" t="str">
        <f t="shared" si="67"/>
        <v>-</v>
      </c>
      <c r="T860" t="str">
        <f t="shared" si="68"/>
        <v>-</v>
      </c>
      <c r="U860" t="str">
        <f t="shared" si="69"/>
        <v>High Value</v>
      </c>
    </row>
    <row r="861" spans="1:21" x14ac:dyDescent="0.2">
      <c r="A861" s="2">
        <v>667</v>
      </c>
      <c r="B861" s="2" t="s">
        <v>9</v>
      </c>
      <c r="C861" s="2" t="s">
        <v>1230</v>
      </c>
      <c r="D861" s="2" t="s">
        <v>45</v>
      </c>
      <c r="E861" s="2">
        <v>10022</v>
      </c>
      <c r="F861" s="2" t="s">
        <v>42</v>
      </c>
      <c r="G861" s="2" t="s">
        <v>36</v>
      </c>
      <c r="H861" s="2">
        <v>1</v>
      </c>
      <c r="I861" s="2" t="s">
        <v>14</v>
      </c>
      <c r="J861" s="2" t="str">
        <f>VLOOKUP(E861,[1]LL_Hub!$A$1:$B$13,2,FALSE)</f>
        <v>New York</v>
      </c>
      <c r="K861" t="str">
        <f>VLOOKUP(D861,'[2]product Table data'!$A$2:$B$12,2,FALSE)</f>
        <v>Female</v>
      </c>
      <c r="L861" t="str">
        <f>VLOOKUP($D861,'[2]product Table data'!$A$2:$G$12,L$1,FALSE)</f>
        <v>Winter Warmth</v>
      </c>
      <c r="M861" t="str">
        <f>VLOOKUP($D861,'[2]product Table data'!$A$2:$G$12,M$1,FALSE)</f>
        <v>Romania</v>
      </c>
      <c r="N861" t="str">
        <f>VLOOKUP($D861,'[2]product Table data'!$A$2:$G$12,N$1,FALSE)</f>
        <v>Eastern Europe</v>
      </c>
      <c r="O861">
        <f>VLOOKUP($D861,'[2]product Table data'!$A$2:$G$12,O$1,FALSE)</f>
        <v>350</v>
      </c>
      <c r="P861">
        <f>VLOOKUP($D861,'[2]product Table data'!$A$2:$G$12,P$1,FALSE)</f>
        <v>450</v>
      </c>
      <c r="Q861">
        <f t="shared" si="65"/>
        <v>100</v>
      </c>
      <c r="R861" t="str">
        <f t="shared" si="66"/>
        <v>-</v>
      </c>
      <c r="S861" t="str">
        <f t="shared" si="67"/>
        <v>-</v>
      </c>
      <c r="T861" t="str">
        <f t="shared" si="68"/>
        <v>-</v>
      </c>
      <c r="U861" t="str">
        <f t="shared" si="69"/>
        <v>High Value</v>
      </c>
    </row>
    <row r="862" spans="1:21" x14ac:dyDescent="0.2">
      <c r="A862" s="2">
        <v>669</v>
      </c>
      <c r="B862" s="2" t="s">
        <v>9</v>
      </c>
      <c r="C862" s="2" t="s">
        <v>1231</v>
      </c>
      <c r="D862" s="2" t="s">
        <v>45</v>
      </c>
      <c r="E862" s="2">
        <v>10022</v>
      </c>
      <c r="F862" s="2" t="s">
        <v>42</v>
      </c>
      <c r="G862" s="2" t="s">
        <v>36</v>
      </c>
      <c r="H862" s="2">
        <v>1</v>
      </c>
      <c r="I862" s="2" t="s">
        <v>14</v>
      </c>
      <c r="J862" s="2" t="str">
        <f>VLOOKUP(E862,[1]LL_Hub!$A$1:$B$13,2,FALSE)</f>
        <v>New York</v>
      </c>
      <c r="K862" t="str">
        <f>VLOOKUP(D862,'[2]product Table data'!$A$2:$B$12,2,FALSE)</f>
        <v>Female</v>
      </c>
      <c r="L862" t="str">
        <f>VLOOKUP($D862,'[2]product Table data'!$A$2:$G$12,L$1,FALSE)</f>
        <v>Winter Warmth</v>
      </c>
      <c r="M862" t="str">
        <f>VLOOKUP($D862,'[2]product Table data'!$A$2:$G$12,M$1,FALSE)</f>
        <v>Romania</v>
      </c>
      <c r="N862" t="str">
        <f>VLOOKUP($D862,'[2]product Table data'!$A$2:$G$12,N$1,FALSE)</f>
        <v>Eastern Europe</v>
      </c>
      <c r="O862">
        <f>VLOOKUP($D862,'[2]product Table data'!$A$2:$G$12,O$1,FALSE)</f>
        <v>350</v>
      </c>
      <c r="P862">
        <f>VLOOKUP($D862,'[2]product Table data'!$A$2:$G$12,P$1,FALSE)</f>
        <v>450</v>
      </c>
      <c r="Q862">
        <f t="shared" si="65"/>
        <v>100</v>
      </c>
      <c r="R862" t="str">
        <f t="shared" si="66"/>
        <v>-</v>
      </c>
      <c r="S862" t="str">
        <f t="shared" si="67"/>
        <v>-</v>
      </c>
      <c r="T862" t="str">
        <f t="shared" si="68"/>
        <v>-</v>
      </c>
      <c r="U862" t="str">
        <f t="shared" si="69"/>
        <v>High Value</v>
      </c>
    </row>
    <row r="863" spans="1:21" x14ac:dyDescent="0.2">
      <c r="A863" s="2">
        <v>671</v>
      </c>
      <c r="B863" s="2" t="s">
        <v>9</v>
      </c>
      <c r="C863" s="2" t="s">
        <v>1232</v>
      </c>
      <c r="D863" s="2" t="s">
        <v>45</v>
      </c>
      <c r="E863" s="2">
        <v>10022</v>
      </c>
      <c r="F863" s="2" t="s">
        <v>42</v>
      </c>
      <c r="G863" s="2" t="s">
        <v>36</v>
      </c>
      <c r="H863" s="2">
        <v>1</v>
      </c>
      <c r="I863" s="2" t="s">
        <v>14</v>
      </c>
      <c r="J863" s="2" t="str">
        <f>VLOOKUP(E863,[1]LL_Hub!$A$1:$B$13,2,FALSE)</f>
        <v>New York</v>
      </c>
      <c r="K863" t="str">
        <f>VLOOKUP(D863,'[2]product Table data'!$A$2:$B$12,2,FALSE)</f>
        <v>Female</v>
      </c>
      <c r="L863" t="str">
        <f>VLOOKUP($D863,'[2]product Table data'!$A$2:$G$12,L$1,FALSE)</f>
        <v>Winter Warmth</v>
      </c>
      <c r="M863" t="str">
        <f>VLOOKUP($D863,'[2]product Table data'!$A$2:$G$12,M$1,FALSE)</f>
        <v>Romania</v>
      </c>
      <c r="N863" t="str">
        <f>VLOOKUP($D863,'[2]product Table data'!$A$2:$G$12,N$1,FALSE)</f>
        <v>Eastern Europe</v>
      </c>
      <c r="O863">
        <f>VLOOKUP($D863,'[2]product Table data'!$A$2:$G$12,O$1,FALSE)</f>
        <v>350</v>
      </c>
      <c r="P863">
        <f>VLOOKUP($D863,'[2]product Table data'!$A$2:$G$12,P$1,FALSE)</f>
        <v>450</v>
      </c>
      <c r="Q863">
        <f t="shared" si="65"/>
        <v>100</v>
      </c>
      <c r="R863" t="str">
        <f t="shared" si="66"/>
        <v>-</v>
      </c>
      <c r="S863" t="str">
        <f t="shared" si="67"/>
        <v>-</v>
      </c>
      <c r="T863" t="str">
        <f t="shared" si="68"/>
        <v>-</v>
      </c>
      <c r="U863" t="str">
        <f t="shared" si="69"/>
        <v>High Value</v>
      </c>
    </row>
    <row r="864" spans="1:21" x14ac:dyDescent="0.2">
      <c r="A864" s="2">
        <v>673</v>
      </c>
      <c r="B864" s="2" t="s">
        <v>9</v>
      </c>
      <c r="C864" s="2" t="s">
        <v>1233</v>
      </c>
      <c r="D864" s="2" t="s">
        <v>45</v>
      </c>
      <c r="E864" s="2">
        <v>10022</v>
      </c>
      <c r="F864" s="2" t="s">
        <v>42</v>
      </c>
      <c r="G864" s="2" t="s">
        <v>36</v>
      </c>
      <c r="H864" s="2">
        <v>1</v>
      </c>
      <c r="I864" s="2" t="s">
        <v>14</v>
      </c>
      <c r="J864" s="2" t="str">
        <f>VLOOKUP(E864,[1]LL_Hub!$A$1:$B$13,2,FALSE)</f>
        <v>New York</v>
      </c>
      <c r="K864" t="str">
        <f>VLOOKUP(D864,'[2]product Table data'!$A$2:$B$12,2,FALSE)</f>
        <v>Female</v>
      </c>
      <c r="L864" t="str">
        <f>VLOOKUP($D864,'[2]product Table data'!$A$2:$G$12,L$1,FALSE)</f>
        <v>Winter Warmth</v>
      </c>
      <c r="M864" t="str">
        <f>VLOOKUP($D864,'[2]product Table data'!$A$2:$G$12,M$1,FALSE)</f>
        <v>Romania</v>
      </c>
      <c r="N864" t="str">
        <f>VLOOKUP($D864,'[2]product Table data'!$A$2:$G$12,N$1,FALSE)</f>
        <v>Eastern Europe</v>
      </c>
      <c r="O864">
        <f>VLOOKUP($D864,'[2]product Table data'!$A$2:$G$12,O$1,FALSE)</f>
        <v>350</v>
      </c>
      <c r="P864">
        <f>VLOOKUP($D864,'[2]product Table data'!$A$2:$G$12,P$1,FALSE)</f>
        <v>450</v>
      </c>
      <c r="Q864">
        <f t="shared" si="65"/>
        <v>100</v>
      </c>
      <c r="R864" t="str">
        <f t="shared" si="66"/>
        <v>-</v>
      </c>
      <c r="S864" t="str">
        <f t="shared" si="67"/>
        <v>-</v>
      </c>
      <c r="T864" t="str">
        <f t="shared" si="68"/>
        <v>-</v>
      </c>
      <c r="U864" t="str">
        <f t="shared" si="69"/>
        <v>High Value</v>
      </c>
    </row>
    <row r="865" spans="1:21" x14ac:dyDescent="0.2">
      <c r="A865" s="2">
        <v>677</v>
      </c>
      <c r="B865" s="2" t="s">
        <v>9</v>
      </c>
      <c r="C865" s="2" t="s">
        <v>1234</v>
      </c>
      <c r="D865" s="2" t="s">
        <v>45</v>
      </c>
      <c r="E865" s="2">
        <v>10022</v>
      </c>
      <c r="F865" s="2" t="s">
        <v>42</v>
      </c>
      <c r="G865" s="2" t="s">
        <v>36</v>
      </c>
      <c r="H865" s="2">
        <v>1</v>
      </c>
      <c r="I865" s="2" t="s">
        <v>14</v>
      </c>
      <c r="J865" s="2" t="str">
        <f>VLOOKUP(E865,[1]LL_Hub!$A$1:$B$13,2,FALSE)</f>
        <v>New York</v>
      </c>
      <c r="K865" t="str">
        <f>VLOOKUP(D865,'[2]product Table data'!$A$2:$B$12,2,FALSE)</f>
        <v>Female</v>
      </c>
      <c r="L865" t="str">
        <f>VLOOKUP($D865,'[2]product Table data'!$A$2:$G$12,L$1,FALSE)</f>
        <v>Winter Warmth</v>
      </c>
      <c r="M865" t="str">
        <f>VLOOKUP($D865,'[2]product Table data'!$A$2:$G$12,M$1,FALSE)</f>
        <v>Romania</v>
      </c>
      <c r="N865" t="str">
        <f>VLOOKUP($D865,'[2]product Table data'!$A$2:$G$12,N$1,FALSE)</f>
        <v>Eastern Europe</v>
      </c>
      <c r="O865">
        <f>VLOOKUP($D865,'[2]product Table data'!$A$2:$G$12,O$1,FALSE)</f>
        <v>350</v>
      </c>
      <c r="P865">
        <f>VLOOKUP($D865,'[2]product Table data'!$A$2:$G$12,P$1,FALSE)</f>
        <v>450</v>
      </c>
      <c r="Q865">
        <f t="shared" si="65"/>
        <v>100</v>
      </c>
      <c r="R865" t="str">
        <f t="shared" si="66"/>
        <v>-</v>
      </c>
      <c r="S865" t="str">
        <f t="shared" si="67"/>
        <v>-</v>
      </c>
      <c r="T865" t="str">
        <f t="shared" si="68"/>
        <v>-</v>
      </c>
      <c r="U865" t="str">
        <f t="shared" si="69"/>
        <v>High Value</v>
      </c>
    </row>
    <row r="866" spans="1:21" x14ac:dyDescent="0.2">
      <c r="A866" s="2">
        <v>678</v>
      </c>
      <c r="B866" s="2" t="s">
        <v>9</v>
      </c>
      <c r="C866" s="2" t="s">
        <v>1235</v>
      </c>
      <c r="D866" s="2" t="s">
        <v>45</v>
      </c>
      <c r="E866" s="2">
        <v>10022</v>
      </c>
      <c r="F866" s="2" t="s">
        <v>42</v>
      </c>
      <c r="G866" s="2" t="s">
        <v>36</v>
      </c>
      <c r="H866" s="2">
        <v>1</v>
      </c>
      <c r="I866" s="2" t="s">
        <v>14</v>
      </c>
      <c r="J866" s="2" t="str">
        <f>VLOOKUP(E866,[1]LL_Hub!$A$1:$B$13,2,FALSE)</f>
        <v>New York</v>
      </c>
      <c r="K866" t="str">
        <f>VLOOKUP(D866,'[2]product Table data'!$A$2:$B$12,2,FALSE)</f>
        <v>Female</v>
      </c>
      <c r="L866" t="str">
        <f>VLOOKUP($D866,'[2]product Table data'!$A$2:$G$12,L$1,FALSE)</f>
        <v>Winter Warmth</v>
      </c>
      <c r="M866" t="str">
        <f>VLOOKUP($D866,'[2]product Table data'!$A$2:$G$12,M$1,FALSE)</f>
        <v>Romania</v>
      </c>
      <c r="N866" t="str">
        <f>VLOOKUP($D866,'[2]product Table data'!$A$2:$G$12,N$1,FALSE)</f>
        <v>Eastern Europe</v>
      </c>
      <c r="O866">
        <f>VLOOKUP($D866,'[2]product Table data'!$A$2:$G$12,O$1,FALSE)</f>
        <v>350</v>
      </c>
      <c r="P866">
        <f>VLOOKUP($D866,'[2]product Table data'!$A$2:$G$12,P$1,FALSE)</f>
        <v>450</v>
      </c>
      <c r="Q866">
        <f t="shared" si="65"/>
        <v>100</v>
      </c>
      <c r="R866" t="str">
        <f t="shared" si="66"/>
        <v>-</v>
      </c>
      <c r="S866" t="str">
        <f t="shared" si="67"/>
        <v>-</v>
      </c>
      <c r="T866" t="str">
        <f t="shared" si="68"/>
        <v>-</v>
      </c>
      <c r="U866" t="str">
        <f t="shared" si="69"/>
        <v>High Value</v>
      </c>
    </row>
    <row r="867" spans="1:21" hidden="1" x14ac:dyDescent="0.2">
      <c r="A867" s="2">
        <v>694</v>
      </c>
      <c r="B867" s="2" t="s">
        <v>9</v>
      </c>
      <c r="C867" s="2" t="s">
        <v>1245</v>
      </c>
      <c r="D867" s="2" t="s">
        <v>505</v>
      </c>
      <c r="E867" s="2">
        <v>90005</v>
      </c>
      <c r="F867" s="2" t="s">
        <v>1246</v>
      </c>
      <c r="G867" s="2" t="s">
        <v>13</v>
      </c>
      <c r="H867" s="2">
        <v>1</v>
      </c>
      <c r="I867" s="2" t="s">
        <v>17</v>
      </c>
      <c r="J867" s="2" t="str">
        <f>VLOOKUP(E867,[1]LL_Hub!$A$1:$B$13,2,FALSE)</f>
        <v>Los Angeles</v>
      </c>
      <c r="K867" t="str">
        <f>VLOOKUP(D867,'[2]product Table data'!$A$2:$B$12,2,FALSE)</f>
        <v>Female</v>
      </c>
      <c r="L867" t="str">
        <f>VLOOKUP($D867,'[2]product Table data'!$A$2:$G$12,L$1,FALSE)</f>
        <v>Casual n Light</v>
      </c>
      <c r="M867" t="str">
        <f>VLOOKUP($D867,'[2]product Table data'!$A$2:$G$12,M$1,FALSE)</f>
        <v>Honduras</v>
      </c>
      <c r="N867" t="str">
        <f>VLOOKUP($D867,'[2]product Table data'!$A$2:$G$12,N$1,FALSE)</f>
        <v>Central America</v>
      </c>
      <c r="O867">
        <f>VLOOKUP($D867,'[2]product Table data'!$A$2:$G$12,O$1,FALSE)</f>
        <v>30</v>
      </c>
      <c r="P867">
        <f>VLOOKUP($D867,'[2]product Table data'!$A$2:$G$12,P$1,FALSE)</f>
        <v>45</v>
      </c>
      <c r="Q867">
        <f t="shared" si="65"/>
        <v>15</v>
      </c>
      <c r="R867" t="str">
        <f t="shared" si="66"/>
        <v>Hub Risk</v>
      </c>
      <c r="S867" t="str">
        <f t="shared" si="67"/>
        <v>Style Risk</v>
      </c>
      <c r="T867" t="str">
        <f t="shared" si="68"/>
        <v>Risk</v>
      </c>
      <c r="U867" t="str">
        <f t="shared" si="69"/>
        <v>High Value</v>
      </c>
    </row>
    <row r="868" spans="1:21" x14ac:dyDescent="0.2">
      <c r="A868" s="2">
        <v>685</v>
      </c>
      <c r="B868" s="2" t="s">
        <v>9</v>
      </c>
      <c r="C868" s="2" t="s">
        <v>1236</v>
      </c>
      <c r="D868" s="2" t="s">
        <v>45</v>
      </c>
      <c r="E868" s="2">
        <v>10022</v>
      </c>
      <c r="F868" s="2" t="s">
        <v>42</v>
      </c>
      <c r="G868" s="2" t="s">
        <v>36</v>
      </c>
      <c r="H868" s="2">
        <v>1</v>
      </c>
      <c r="I868" s="2" t="s">
        <v>14</v>
      </c>
      <c r="J868" s="2" t="str">
        <f>VLOOKUP(E868,[1]LL_Hub!$A$1:$B$13,2,FALSE)</f>
        <v>New York</v>
      </c>
      <c r="K868" t="str">
        <f>VLOOKUP(D868,'[2]product Table data'!$A$2:$B$12,2,FALSE)</f>
        <v>Female</v>
      </c>
      <c r="L868" t="str">
        <f>VLOOKUP($D868,'[2]product Table data'!$A$2:$G$12,L$1,FALSE)</f>
        <v>Winter Warmth</v>
      </c>
      <c r="M868" t="str">
        <f>VLOOKUP($D868,'[2]product Table data'!$A$2:$G$12,M$1,FALSE)</f>
        <v>Romania</v>
      </c>
      <c r="N868" t="str">
        <f>VLOOKUP($D868,'[2]product Table data'!$A$2:$G$12,N$1,FALSE)</f>
        <v>Eastern Europe</v>
      </c>
      <c r="O868">
        <f>VLOOKUP($D868,'[2]product Table data'!$A$2:$G$12,O$1,FALSE)</f>
        <v>350</v>
      </c>
      <c r="P868">
        <f>VLOOKUP($D868,'[2]product Table data'!$A$2:$G$12,P$1,FALSE)</f>
        <v>450</v>
      </c>
      <c r="Q868">
        <f t="shared" si="65"/>
        <v>100</v>
      </c>
      <c r="R868" t="str">
        <f t="shared" si="66"/>
        <v>-</v>
      </c>
      <c r="S868" t="str">
        <f t="shared" si="67"/>
        <v>-</v>
      </c>
      <c r="T868" t="str">
        <f t="shared" si="68"/>
        <v>-</v>
      </c>
      <c r="U868" t="str">
        <f t="shared" si="69"/>
        <v>High Value</v>
      </c>
    </row>
    <row r="869" spans="1:21" hidden="1" x14ac:dyDescent="0.2">
      <c r="A869" s="2">
        <v>706</v>
      </c>
      <c r="B869" s="2" t="s">
        <v>9</v>
      </c>
      <c r="C869" s="2" t="s">
        <v>1249</v>
      </c>
      <c r="D869" s="2" t="s">
        <v>505</v>
      </c>
      <c r="E869" s="2">
        <v>10022</v>
      </c>
      <c r="F869" s="2" t="s">
        <v>35</v>
      </c>
      <c r="G869" s="2" t="s">
        <v>36</v>
      </c>
      <c r="H869" s="2">
        <v>1</v>
      </c>
      <c r="I869" s="2" t="s">
        <v>17</v>
      </c>
      <c r="J869" s="2" t="str">
        <f>VLOOKUP(E869,[1]LL_Hub!$A$1:$B$13,2,FALSE)</f>
        <v>New York</v>
      </c>
      <c r="K869" t="str">
        <f>VLOOKUP(D869,'[2]product Table data'!$A$2:$B$12,2,FALSE)</f>
        <v>Female</v>
      </c>
      <c r="L869" t="str">
        <f>VLOOKUP($D869,'[2]product Table data'!$A$2:$G$12,L$1,FALSE)</f>
        <v>Casual n Light</v>
      </c>
      <c r="M869" t="str">
        <f>VLOOKUP($D869,'[2]product Table data'!$A$2:$G$12,M$1,FALSE)</f>
        <v>Honduras</v>
      </c>
      <c r="N869" t="str">
        <f>VLOOKUP($D869,'[2]product Table data'!$A$2:$G$12,N$1,FALSE)</f>
        <v>Central America</v>
      </c>
      <c r="O869">
        <f>VLOOKUP($D869,'[2]product Table data'!$A$2:$G$12,O$1,FALSE)</f>
        <v>30</v>
      </c>
      <c r="P869">
        <f>VLOOKUP($D869,'[2]product Table data'!$A$2:$G$12,P$1,FALSE)</f>
        <v>45</v>
      </c>
      <c r="Q869">
        <f t="shared" si="65"/>
        <v>15</v>
      </c>
      <c r="R869" t="str">
        <f t="shared" si="66"/>
        <v>-</v>
      </c>
      <c r="S869" t="str">
        <f t="shared" si="67"/>
        <v>Style Risk</v>
      </c>
      <c r="T869" t="str">
        <f t="shared" si="68"/>
        <v>-</v>
      </c>
      <c r="U869" t="str">
        <f t="shared" si="69"/>
        <v>High Value</v>
      </c>
    </row>
    <row r="870" spans="1:21" hidden="1" x14ac:dyDescent="0.2">
      <c r="A870" s="2">
        <v>708</v>
      </c>
      <c r="B870" s="2" t="s">
        <v>9</v>
      </c>
      <c r="C870" s="2" t="s">
        <v>1250</v>
      </c>
      <c r="D870" s="2" t="s">
        <v>505</v>
      </c>
      <c r="E870" s="2">
        <v>10022</v>
      </c>
      <c r="F870" s="2" t="s">
        <v>35</v>
      </c>
      <c r="G870" s="2" t="s">
        <v>36</v>
      </c>
      <c r="H870" s="2">
        <v>1</v>
      </c>
      <c r="I870" s="2" t="s">
        <v>17</v>
      </c>
      <c r="J870" s="2" t="str">
        <f>VLOOKUP(E870,[1]LL_Hub!$A$1:$B$13,2,FALSE)</f>
        <v>New York</v>
      </c>
      <c r="K870" t="str">
        <f>VLOOKUP(D870,'[2]product Table data'!$A$2:$B$12,2,FALSE)</f>
        <v>Female</v>
      </c>
      <c r="L870" t="str">
        <f>VLOOKUP($D870,'[2]product Table data'!$A$2:$G$12,L$1,FALSE)</f>
        <v>Casual n Light</v>
      </c>
      <c r="M870" t="str">
        <f>VLOOKUP($D870,'[2]product Table data'!$A$2:$G$12,M$1,FALSE)</f>
        <v>Honduras</v>
      </c>
      <c r="N870" t="str">
        <f>VLOOKUP($D870,'[2]product Table data'!$A$2:$G$12,N$1,FALSE)</f>
        <v>Central America</v>
      </c>
      <c r="O870">
        <f>VLOOKUP($D870,'[2]product Table data'!$A$2:$G$12,O$1,FALSE)</f>
        <v>30</v>
      </c>
      <c r="P870">
        <f>VLOOKUP($D870,'[2]product Table data'!$A$2:$G$12,P$1,FALSE)</f>
        <v>45</v>
      </c>
      <c r="Q870">
        <f t="shared" si="65"/>
        <v>15</v>
      </c>
      <c r="R870" t="str">
        <f t="shared" si="66"/>
        <v>-</v>
      </c>
      <c r="S870" t="str">
        <f t="shared" si="67"/>
        <v>Style Risk</v>
      </c>
      <c r="T870" t="str">
        <f t="shared" si="68"/>
        <v>-</v>
      </c>
      <c r="U870" t="str">
        <f t="shared" si="69"/>
        <v>High Value</v>
      </c>
    </row>
    <row r="871" spans="1:21" hidden="1" x14ac:dyDescent="0.2">
      <c r="A871" s="2">
        <v>719</v>
      </c>
      <c r="B871" s="2" t="s">
        <v>9</v>
      </c>
      <c r="C871" s="2" t="s">
        <v>1251</v>
      </c>
      <c r="D871" s="2" t="s">
        <v>505</v>
      </c>
      <c r="E871" s="2">
        <v>10022</v>
      </c>
      <c r="F871" s="2" t="s">
        <v>1252</v>
      </c>
      <c r="G871" s="2" t="s">
        <v>13</v>
      </c>
      <c r="H871" s="2">
        <v>1</v>
      </c>
      <c r="I871" s="2" t="s">
        <v>17</v>
      </c>
      <c r="J871" s="2" t="str">
        <f>VLOOKUP(E871,[1]LL_Hub!$A$1:$B$13,2,FALSE)</f>
        <v>New York</v>
      </c>
      <c r="K871" t="str">
        <f>VLOOKUP(D871,'[2]product Table data'!$A$2:$B$12,2,FALSE)</f>
        <v>Female</v>
      </c>
      <c r="L871" t="str">
        <f>VLOOKUP($D871,'[2]product Table data'!$A$2:$G$12,L$1,FALSE)</f>
        <v>Casual n Light</v>
      </c>
      <c r="M871" t="str">
        <f>VLOOKUP($D871,'[2]product Table data'!$A$2:$G$12,M$1,FALSE)</f>
        <v>Honduras</v>
      </c>
      <c r="N871" t="str">
        <f>VLOOKUP($D871,'[2]product Table data'!$A$2:$G$12,N$1,FALSE)</f>
        <v>Central America</v>
      </c>
      <c r="O871">
        <f>VLOOKUP($D871,'[2]product Table data'!$A$2:$G$12,O$1,FALSE)</f>
        <v>30</v>
      </c>
      <c r="P871">
        <f>VLOOKUP($D871,'[2]product Table data'!$A$2:$G$12,P$1,FALSE)</f>
        <v>45</v>
      </c>
      <c r="Q871">
        <f t="shared" si="65"/>
        <v>15</v>
      </c>
      <c r="R871" t="str">
        <f t="shared" si="66"/>
        <v>-</v>
      </c>
      <c r="S871" t="str">
        <f t="shared" si="67"/>
        <v>Style Risk</v>
      </c>
      <c r="T871" t="str">
        <f t="shared" si="68"/>
        <v>-</v>
      </c>
      <c r="U871" t="str">
        <f t="shared" si="69"/>
        <v>High Value</v>
      </c>
    </row>
    <row r="872" spans="1:21" hidden="1" x14ac:dyDescent="0.2">
      <c r="A872" s="2">
        <v>720</v>
      </c>
      <c r="B872" s="2" t="s">
        <v>9</v>
      </c>
      <c r="C872" s="2" t="s">
        <v>1253</v>
      </c>
      <c r="D872" s="2" t="s">
        <v>505</v>
      </c>
      <c r="E872" s="2">
        <v>10022</v>
      </c>
      <c r="F872" s="2" t="s">
        <v>1254</v>
      </c>
      <c r="G872" s="2" t="s">
        <v>13</v>
      </c>
      <c r="H872" s="2">
        <v>1</v>
      </c>
      <c r="I872" s="2" t="s">
        <v>17</v>
      </c>
      <c r="J872" s="2" t="str">
        <f>VLOOKUP(E872,[1]LL_Hub!$A$1:$B$13,2,FALSE)</f>
        <v>New York</v>
      </c>
      <c r="K872" t="str">
        <f>VLOOKUP(D872,'[2]product Table data'!$A$2:$B$12,2,FALSE)</f>
        <v>Female</v>
      </c>
      <c r="L872" t="str">
        <f>VLOOKUP($D872,'[2]product Table data'!$A$2:$G$12,L$1,FALSE)</f>
        <v>Casual n Light</v>
      </c>
      <c r="M872" t="str">
        <f>VLOOKUP($D872,'[2]product Table data'!$A$2:$G$12,M$1,FALSE)</f>
        <v>Honduras</v>
      </c>
      <c r="N872" t="str">
        <f>VLOOKUP($D872,'[2]product Table data'!$A$2:$G$12,N$1,FALSE)</f>
        <v>Central America</v>
      </c>
      <c r="O872">
        <f>VLOOKUP($D872,'[2]product Table data'!$A$2:$G$12,O$1,FALSE)</f>
        <v>30</v>
      </c>
      <c r="P872">
        <f>VLOOKUP($D872,'[2]product Table data'!$A$2:$G$12,P$1,FALSE)</f>
        <v>45</v>
      </c>
      <c r="Q872">
        <f t="shared" si="65"/>
        <v>15</v>
      </c>
      <c r="R872" t="str">
        <f t="shared" si="66"/>
        <v>-</v>
      </c>
      <c r="S872" t="str">
        <f t="shared" si="67"/>
        <v>Style Risk</v>
      </c>
      <c r="T872" t="str">
        <f t="shared" si="68"/>
        <v>-</v>
      </c>
      <c r="U872" t="str">
        <f t="shared" si="69"/>
        <v>High Value</v>
      </c>
    </row>
    <row r="873" spans="1:21" hidden="1" x14ac:dyDescent="0.2">
      <c r="A873" s="2">
        <v>722</v>
      </c>
      <c r="B873" s="2" t="s">
        <v>9</v>
      </c>
      <c r="C873" s="2" t="s">
        <v>1255</v>
      </c>
      <c r="D873" s="2" t="s">
        <v>505</v>
      </c>
      <c r="E873" s="2">
        <v>10022</v>
      </c>
      <c r="F873" s="2" t="s">
        <v>1256</v>
      </c>
      <c r="G873" s="2" t="s">
        <v>13</v>
      </c>
      <c r="H873" s="2">
        <v>1</v>
      </c>
      <c r="I873" s="2" t="s">
        <v>17</v>
      </c>
      <c r="J873" s="2" t="str">
        <f>VLOOKUP(E873,[1]LL_Hub!$A$1:$B$13,2,FALSE)</f>
        <v>New York</v>
      </c>
      <c r="K873" t="str">
        <f>VLOOKUP(D873,'[2]product Table data'!$A$2:$B$12,2,FALSE)</f>
        <v>Female</v>
      </c>
      <c r="L873" t="str">
        <f>VLOOKUP($D873,'[2]product Table data'!$A$2:$G$12,L$1,FALSE)</f>
        <v>Casual n Light</v>
      </c>
      <c r="M873" t="str">
        <f>VLOOKUP($D873,'[2]product Table data'!$A$2:$G$12,M$1,FALSE)</f>
        <v>Honduras</v>
      </c>
      <c r="N873" t="str">
        <f>VLOOKUP($D873,'[2]product Table data'!$A$2:$G$12,N$1,FALSE)</f>
        <v>Central America</v>
      </c>
      <c r="O873">
        <f>VLOOKUP($D873,'[2]product Table data'!$A$2:$G$12,O$1,FALSE)</f>
        <v>30</v>
      </c>
      <c r="P873">
        <f>VLOOKUP($D873,'[2]product Table data'!$A$2:$G$12,P$1,FALSE)</f>
        <v>45</v>
      </c>
      <c r="Q873">
        <f t="shared" si="65"/>
        <v>15</v>
      </c>
      <c r="R873" t="str">
        <f t="shared" si="66"/>
        <v>-</v>
      </c>
      <c r="S873" t="str">
        <f t="shared" si="67"/>
        <v>Style Risk</v>
      </c>
      <c r="T873" t="str">
        <f t="shared" si="68"/>
        <v>-</v>
      </c>
      <c r="U873" t="str">
        <f t="shared" si="69"/>
        <v>High Value</v>
      </c>
    </row>
    <row r="874" spans="1:21" hidden="1" x14ac:dyDescent="0.2">
      <c r="A874" s="2">
        <v>723</v>
      </c>
      <c r="B874" s="2" t="s">
        <v>9</v>
      </c>
      <c r="C874" s="2" t="s">
        <v>1257</v>
      </c>
      <c r="D874" s="2" t="s">
        <v>505</v>
      </c>
      <c r="E874" s="2">
        <v>10022</v>
      </c>
      <c r="F874" s="2" t="s">
        <v>1258</v>
      </c>
      <c r="G874" s="2" t="s">
        <v>13</v>
      </c>
      <c r="H874" s="2">
        <v>1</v>
      </c>
      <c r="I874" s="2" t="s">
        <v>17</v>
      </c>
      <c r="J874" s="2" t="str">
        <f>VLOOKUP(E874,[1]LL_Hub!$A$1:$B$13,2,FALSE)</f>
        <v>New York</v>
      </c>
      <c r="K874" t="str">
        <f>VLOOKUP(D874,'[2]product Table data'!$A$2:$B$12,2,FALSE)</f>
        <v>Female</v>
      </c>
      <c r="L874" t="str">
        <f>VLOOKUP($D874,'[2]product Table data'!$A$2:$G$12,L$1,FALSE)</f>
        <v>Casual n Light</v>
      </c>
      <c r="M874" t="str">
        <f>VLOOKUP($D874,'[2]product Table data'!$A$2:$G$12,M$1,FALSE)</f>
        <v>Honduras</v>
      </c>
      <c r="N874" t="str">
        <f>VLOOKUP($D874,'[2]product Table data'!$A$2:$G$12,N$1,FALSE)</f>
        <v>Central America</v>
      </c>
      <c r="O874">
        <f>VLOOKUP($D874,'[2]product Table data'!$A$2:$G$12,O$1,FALSE)</f>
        <v>30</v>
      </c>
      <c r="P874">
        <f>VLOOKUP($D874,'[2]product Table data'!$A$2:$G$12,P$1,FALSE)</f>
        <v>45</v>
      </c>
      <c r="Q874">
        <f t="shared" si="65"/>
        <v>15</v>
      </c>
      <c r="R874" t="str">
        <f t="shared" si="66"/>
        <v>-</v>
      </c>
      <c r="S874" t="str">
        <f t="shared" si="67"/>
        <v>Style Risk</v>
      </c>
      <c r="T874" t="str">
        <f t="shared" si="68"/>
        <v>-</v>
      </c>
      <c r="U874" t="str">
        <f t="shared" si="69"/>
        <v>High Value</v>
      </c>
    </row>
    <row r="875" spans="1:21" hidden="1" x14ac:dyDescent="0.2">
      <c r="A875" s="2">
        <v>724</v>
      </c>
      <c r="B875" s="2" t="s">
        <v>9</v>
      </c>
      <c r="C875" s="2" t="s">
        <v>1259</v>
      </c>
      <c r="D875" s="2" t="s">
        <v>505</v>
      </c>
      <c r="E875" s="2">
        <v>10022</v>
      </c>
      <c r="F875" s="2" t="s">
        <v>1260</v>
      </c>
      <c r="G875" s="2" t="s">
        <v>36</v>
      </c>
      <c r="H875" s="2">
        <v>1</v>
      </c>
      <c r="I875" s="2" t="s">
        <v>17</v>
      </c>
      <c r="J875" s="2" t="str">
        <f>VLOOKUP(E875,[1]LL_Hub!$A$1:$B$13,2,FALSE)</f>
        <v>New York</v>
      </c>
      <c r="K875" t="str">
        <f>VLOOKUP(D875,'[2]product Table data'!$A$2:$B$12,2,FALSE)</f>
        <v>Female</v>
      </c>
      <c r="L875" t="str">
        <f>VLOOKUP($D875,'[2]product Table data'!$A$2:$G$12,L$1,FALSE)</f>
        <v>Casual n Light</v>
      </c>
      <c r="M875" t="str">
        <f>VLOOKUP($D875,'[2]product Table data'!$A$2:$G$12,M$1,FALSE)</f>
        <v>Honduras</v>
      </c>
      <c r="N875" t="str">
        <f>VLOOKUP($D875,'[2]product Table data'!$A$2:$G$12,N$1,FALSE)</f>
        <v>Central America</v>
      </c>
      <c r="O875">
        <f>VLOOKUP($D875,'[2]product Table data'!$A$2:$G$12,O$1,FALSE)</f>
        <v>30</v>
      </c>
      <c r="P875">
        <f>VLOOKUP($D875,'[2]product Table data'!$A$2:$G$12,P$1,FALSE)</f>
        <v>45</v>
      </c>
      <c r="Q875">
        <f t="shared" si="65"/>
        <v>15</v>
      </c>
      <c r="R875" t="str">
        <f t="shared" si="66"/>
        <v>-</v>
      </c>
      <c r="S875" t="str">
        <f t="shared" si="67"/>
        <v>Style Risk</v>
      </c>
      <c r="T875" t="str">
        <f t="shared" si="68"/>
        <v>-</v>
      </c>
      <c r="U875" t="str">
        <f t="shared" si="69"/>
        <v>High Value</v>
      </c>
    </row>
    <row r="876" spans="1:21" hidden="1" x14ac:dyDescent="0.2">
      <c r="A876" s="2">
        <v>725</v>
      </c>
      <c r="B876" s="2" t="s">
        <v>9</v>
      </c>
      <c r="C876" s="2" t="s">
        <v>1261</v>
      </c>
      <c r="D876" s="2" t="s">
        <v>505</v>
      </c>
      <c r="E876" s="2">
        <v>10022</v>
      </c>
      <c r="F876" s="2" t="s">
        <v>1260</v>
      </c>
      <c r="G876" s="2" t="s">
        <v>36</v>
      </c>
      <c r="H876" s="2">
        <v>1</v>
      </c>
      <c r="I876" s="2" t="s">
        <v>17</v>
      </c>
      <c r="J876" s="2" t="str">
        <f>VLOOKUP(E876,[1]LL_Hub!$A$1:$B$13,2,FALSE)</f>
        <v>New York</v>
      </c>
      <c r="K876" t="str">
        <f>VLOOKUP(D876,'[2]product Table data'!$A$2:$B$12,2,FALSE)</f>
        <v>Female</v>
      </c>
      <c r="L876" t="str">
        <f>VLOOKUP($D876,'[2]product Table data'!$A$2:$G$12,L$1,FALSE)</f>
        <v>Casual n Light</v>
      </c>
      <c r="M876" t="str">
        <f>VLOOKUP($D876,'[2]product Table data'!$A$2:$G$12,M$1,FALSE)</f>
        <v>Honduras</v>
      </c>
      <c r="N876" t="str">
        <f>VLOOKUP($D876,'[2]product Table data'!$A$2:$G$12,N$1,FALSE)</f>
        <v>Central America</v>
      </c>
      <c r="O876">
        <f>VLOOKUP($D876,'[2]product Table data'!$A$2:$G$12,O$1,FALSE)</f>
        <v>30</v>
      </c>
      <c r="P876">
        <f>VLOOKUP($D876,'[2]product Table data'!$A$2:$G$12,P$1,FALSE)</f>
        <v>45</v>
      </c>
      <c r="Q876">
        <f t="shared" si="65"/>
        <v>15</v>
      </c>
      <c r="R876" t="str">
        <f t="shared" si="66"/>
        <v>-</v>
      </c>
      <c r="S876" t="str">
        <f t="shared" si="67"/>
        <v>Style Risk</v>
      </c>
      <c r="T876" t="str">
        <f t="shared" si="68"/>
        <v>-</v>
      </c>
      <c r="U876" t="str">
        <f t="shared" si="69"/>
        <v>High Value</v>
      </c>
    </row>
    <row r="877" spans="1:21" hidden="1" x14ac:dyDescent="0.2">
      <c r="A877" s="2">
        <v>732</v>
      </c>
      <c r="B877" s="2" t="s">
        <v>9</v>
      </c>
      <c r="C877" s="2" t="s">
        <v>1262</v>
      </c>
      <c r="D877" s="2" t="s">
        <v>505</v>
      </c>
      <c r="E877" s="2">
        <v>10022</v>
      </c>
      <c r="F877" s="2" t="s">
        <v>1260</v>
      </c>
      <c r="G877" s="2" t="s">
        <v>36</v>
      </c>
      <c r="H877" s="2">
        <v>1</v>
      </c>
      <c r="I877" s="2" t="s">
        <v>17</v>
      </c>
      <c r="J877" s="2" t="str">
        <f>VLOOKUP(E877,[1]LL_Hub!$A$1:$B$13,2,FALSE)</f>
        <v>New York</v>
      </c>
      <c r="K877" t="str">
        <f>VLOOKUP(D877,'[2]product Table data'!$A$2:$B$12,2,FALSE)</f>
        <v>Female</v>
      </c>
      <c r="L877" t="str">
        <f>VLOOKUP($D877,'[2]product Table data'!$A$2:$G$12,L$1,FALSE)</f>
        <v>Casual n Light</v>
      </c>
      <c r="M877" t="str">
        <f>VLOOKUP($D877,'[2]product Table data'!$A$2:$G$12,M$1,FALSE)</f>
        <v>Honduras</v>
      </c>
      <c r="N877" t="str">
        <f>VLOOKUP($D877,'[2]product Table data'!$A$2:$G$12,N$1,FALSE)</f>
        <v>Central America</v>
      </c>
      <c r="O877">
        <f>VLOOKUP($D877,'[2]product Table data'!$A$2:$G$12,O$1,FALSE)</f>
        <v>30</v>
      </c>
      <c r="P877">
        <f>VLOOKUP($D877,'[2]product Table data'!$A$2:$G$12,P$1,FALSE)</f>
        <v>45</v>
      </c>
      <c r="Q877">
        <f t="shared" si="65"/>
        <v>15</v>
      </c>
      <c r="R877" t="str">
        <f t="shared" si="66"/>
        <v>-</v>
      </c>
      <c r="S877" t="str">
        <f t="shared" si="67"/>
        <v>Style Risk</v>
      </c>
      <c r="T877" t="str">
        <f t="shared" si="68"/>
        <v>-</v>
      </c>
      <c r="U877" t="str">
        <f t="shared" si="69"/>
        <v>High Value</v>
      </c>
    </row>
    <row r="878" spans="1:21" hidden="1" x14ac:dyDescent="0.2">
      <c r="A878" s="2">
        <v>733</v>
      </c>
      <c r="B878" s="2" t="s">
        <v>9</v>
      </c>
      <c r="C878" s="2" t="s">
        <v>1263</v>
      </c>
      <c r="D878" s="2" t="s">
        <v>505</v>
      </c>
      <c r="E878" s="2">
        <v>10022</v>
      </c>
      <c r="F878" s="2" t="s">
        <v>1260</v>
      </c>
      <c r="G878" s="2" t="s">
        <v>36</v>
      </c>
      <c r="H878" s="2">
        <v>1</v>
      </c>
      <c r="I878" s="2" t="s">
        <v>17</v>
      </c>
      <c r="J878" s="2" t="str">
        <f>VLOOKUP(E878,[1]LL_Hub!$A$1:$B$13,2,FALSE)</f>
        <v>New York</v>
      </c>
      <c r="K878" t="str">
        <f>VLOOKUP(D878,'[2]product Table data'!$A$2:$B$12,2,FALSE)</f>
        <v>Female</v>
      </c>
      <c r="L878" t="str">
        <f>VLOOKUP($D878,'[2]product Table data'!$A$2:$G$12,L$1,FALSE)</f>
        <v>Casual n Light</v>
      </c>
      <c r="M878" t="str">
        <f>VLOOKUP($D878,'[2]product Table data'!$A$2:$G$12,M$1,FALSE)</f>
        <v>Honduras</v>
      </c>
      <c r="N878" t="str">
        <f>VLOOKUP($D878,'[2]product Table data'!$A$2:$G$12,N$1,FALSE)</f>
        <v>Central America</v>
      </c>
      <c r="O878">
        <f>VLOOKUP($D878,'[2]product Table data'!$A$2:$G$12,O$1,FALSE)</f>
        <v>30</v>
      </c>
      <c r="P878">
        <f>VLOOKUP($D878,'[2]product Table data'!$A$2:$G$12,P$1,FALSE)</f>
        <v>45</v>
      </c>
      <c r="Q878">
        <f t="shared" si="65"/>
        <v>15</v>
      </c>
      <c r="R878" t="str">
        <f t="shared" si="66"/>
        <v>-</v>
      </c>
      <c r="S878" t="str">
        <f t="shared" si="67"/>
        <v>Style Risk</v>
      </c>
      <c r="T878" t="str">
        <f t="shared" si="68"/>
        <v>-</v>
      </c>
      <c r="U878" t="str">
        <f t="shared" si="69"/>
        <v>High Value</v>
      </c>
    </row>
    <row r="879" spans="1:21" hidden="1" x14ac:dyDescent="0.2">
      <c r="A879" s="2">
        <v>734</v>
      </c>
      <c r="B879" s="2" t="s">
        <v>9</v>
      </c>
      <c r="C879" s="2" t="s">
        <v>1264</v>
      </c>
      <c r="D879" s="2" t="s">
        <v>505</v>
      </c>
      <c r="E879" s="2">
        <v>10022</v>
      </c>
      <c r="F879" s="2" t="s">
        <v>1260</v>
      </c>
      <c r="G879" s="2" t="s">
        <v>36</v>
      </c>
      <c r="H879" s="2">
        <v>1</v>
      </c>
      <c r="I879" s="2" t="s">
        <v>17</v>
      </c>
      <c r="J879" s="2" t="str">
        <f>VLOOKUP(E879,[1]LL_Hub!$A$1:$B$13,2,FALSE)</f>
        <v>New York</v>
      </c>
      <c r="K879" t="str">
        <f>VLOOKUP(D879,'[2]product Table data'!$A$2:$B$12,2,FALSE)</f>
        <v>Female</v>
      </c>
      <c r="L879" t="str">
        <f>VLOOKUP($D879,'[2]product Table data'!$A$2:$G$12,L$1,FALSE)</f>
        <v>Casual n Light</v>
      </c>
      <c r="M879" t="str">
        <f>VLOOKUP($D879,'[2]product Table data'!$A$2:$G$12,M$1,FALSE)</f>
        <v>Honduras</v>
      </c>
      <c r="N879" t="str">
        <f>VLOOKUP($D879,'[2]product Table data'!$A$2:$G$12,N$1,FALSE)</f>
        <v>Central America</v>
      </c>
      <c r="O879">
        <f>VLOOKUP($D879,'[2]product Table data'!$A$2:$G$12,O$1,FALSE)</f>
        <v>30</v>
      </c>
      <c r="P879">
        <f>VLOOKUP($D879,'[2]product Table data'!$A$2:$G$12,P$1,FALSE)</f>
        <v>45</v>
      </c>
      <c r="Q879">
        <f t="shared" si="65"/>
        <v>15</v>
      </c>
      <c r="R879" t="str">
        <f t="shared" si="66"/>
        <v>-</v>
      </c>
      <c r="S879" t="str">
        <f t="shared" si="67"/>
        <v>Style Risk</v>
      </c>
      <c r="T879" t="str">
        <f t="shared" si="68"/>
        <v>-</v>
      </c>
      <c r="U879" t="str">
        <f t="shared" si="69"/>
        <v>High Value</v>
      </c>
    </row>
    <row r="880" spans="1:21" hidden="1" x14ac:dyDescent="0.2">
      <c r="A880" s="2">
        <v>739</v>
      </c>
      <c r="B880" s="2" t="s">
        <v>9</v>
      </c>
      <c r="C880" s="2" t="s">
        <v>1265</v>
      </c>
      <c r="D880" s="2" t="s">
        <v>505</v>
      </c>
      <c r="E880" s="2">
        <v>10022</v>
      </c>
      <c r="F880" s="2" t="s">
        <v>1260</v>
      </c>
      <c r="G880" s="2" t="s">
        <v>36</v>
      </c>
      <c r="H880" s="2">
        <v>1</v>
      </c>
      <c r="I880" s="2" t="s">
        <v>17</v>
      </c>
      <c r="J880" s="2" t="str">
        <f>VLOOKUP(E880,[1]LL_Hub!$A$1:$B$13,2,FALSE)</f>
        <v>New York</v>
      </c>
      <c r="K880" t="str">
        <f>VLOOKUP(D880,'[2]product Table data'!$A$2:$B$12,2,FALSE)</f>
        <v>Female</v>
      </c>
      <c r="L880" t="str">
        <f>VLOOKUP($D880,'[2]product Table data'!$A$2:$G$12,L$1,FALSE)</f>
        <v>Casual n Light</v>
      </c>
      <c r="M880" t="str">
        <f>VLOOKUP($D880,'[2]product Table data'!$A$2:$G$12,M$1,FALSE)</f>
        <v>Honduras</v>
      </c>
      <c r="N880" t="str">
        <f>VLOOKUP($D880,'[2]product Table data'!$A$2:$G$12,N$1,FALSE)</f>
        <v>Central America</v>
      </c>
      <c r="O880">
        <f>VLOOKUP($D880,'[2]product Table data'!$A$2:$G$12,O$1,FALSE)</f>
        <v>30</v>
      </c>
      <c r="P880">
        <f>VLOOKUP($D880,'[2]product Table data'!$A$2:$G$12,P$1,FALSE)</f>
        <v>45</v>
      </c>
      <c r="Q880">
        <f t="shared" si="65"/>
        <v>15</v>
      </c>
      <c r="R880" t="str">
        <f t="shared" si="66"/>
        <v>-</v>
      </c>
      <c r="S880" t="str">
        <f t="shared" si="67"/>
        <v>Style Risk</v>
      </c>
      <c r="T880" t="str">
        <f t="shared" si="68"/>
        <v>-</v>
      </c>
      <c r="U880" t="str">
        <f t="shared" si="69"/>
        <v>High Value</v>
      </c>
    </row>
    <row r="881" spans="1:21" hidden="1" x14ac:dyDescent="0.2">
      <c r="A881" s="2">
        <v>740</v>
      </c>
      <c r="B881" s="2" t="s">
        <v>9</v>
      </c>
      <c r="C881" s="2" t="s">
        <v>1266</v>
      </c>
      <c r="D881" s="2" t="s">
        <v>505</v>
      </c>
      <c r="E881" s="2">
        <v>10022</v>
      </c>
      <c r="F881" s="2" t="s">
        <v>1260</v>
      </c>
      <c r="G881" s="2" t="s">
        <v>36</v>
      </c>
      <c r="H881" s="2">
        <v>1</v>
      </c>
      <c r="I881" s="2" t="s">
        <v>17</v>
      </c>
      <c r="J881" s="2" t="str">
        <f>VLOOKUP(E881,[1]LL_Hub!$A$1:$B$13,2,FALSE)</f>
        <v>New York</v>
      </c>
      <c r="K881" t="str">
        <f>VLOOKUP(D881,'[2]product Table data'!$A$2:$B$12,2,FALSE)</f>
        <v>Female</v>
      </c>
      <c r="L881" t="str">
        <f>VLOOKUP($D881,'[2]product Table data'!$A$2:$G$12,L$1,FALSE)</f>
        <v>Casual n Light</v>
      </c>
      <c r="M881" t="str">
        <f>VLOOKUP($D881,'[2]product Table data'!$A$2:$G$12,M$1,FALSE)</f>
        <v>Honduras</v>
      </c>
      <c r="N881" t="str">
        <f>VLOOKUP($D881,'[2]product Table data'!$A$2:$G$12,N$1,FALSE)</f>
        <v>Central America</v>
      </c>
      <c r="O881">
        <f>VLOOKUP($D881,'[2]product Table data'!$A$2:$G$12,O$1,FALSE)</f>
        <v>30</v>
      </c>
      <c r="P881">
        <f>VLOOKUP($D881,'[2]product Table data'!$A$2:$G$12,P$1,FALSE)</f>
        <v>45</v>
      </c>
      <c r="Q881">
        <f t="shared" si="65"/>
        <v>15</v>
      </c>
      <c r="R881" t="str">
        <f t="shared" si="66"/>
        <v>-</v>
      </c>
      <c r="S881" t="str">
        <f t="shared" si="67"/>
        <v>Style Risk</v>
      </c>
      <c r="T881" t="str">
        <f t="shared" si="68"/>
        <v>-</v>
      </c>
      <c r="U881" t="str">
        <f t="shared" si="69"/>
        <v>High Value</v>
      </c>
    </row>
    <row r="882" spans="1:21" hidden="1" x14ac:dyDescent="0.2">
      <c r="A882" s="2">
        <v>741</v>
      </c>
      <c r="B882" s="2" t="s">
        <v>9</v>
      </c>
      <c r="C882" s="2" t="s">
        <v>1267</v>
      </c>
      <c r="D882" s="2" t="s">
        <v>505</v>
      </c>
      <c r="E882" s="2">
        <v>10022</v>
      </c>
      <c r="F882" s="2" t="s">
        <v>1260</v>
      </c>
      <c r="G882" s="2" t="s">
        <v>36</v>
      </c>
      <c r="H882" s="2">
        <v>1</v>
      </c>
      <c r="I882" s="2" t="s">
        <v>17</v>
      </c>
      <c r="J882" s="2" t="str">
        <f>VLOOKUP(E882,[1]LL_Hub!$A$1:$B$13,2,FALSE)</f>
        <v>New York</v>
      </c>
      <c r="K882" t="str">
        <f>VLOOKUP(D882,'[2]product Table data'!$A$2:$B$12,2,FALSE)</f>
        <v>Female</v>
      </c>
      <c r="L882" t="str">
        <f>VLOOKUP($D882,'[2]product Table data'!$A$2:$G$12,L$1,FALSE)</f>
        <v>Casual n Light</v>
      </c>
      <c r="M882" t="str">
        <f>VLOOKUP($D882,'[2]product Table data'!$A$2:$G$12,M$1,FALSE)</f>
        <v>Honduras</v>
      </c>
      <c r="N882" t="str">
        <f>VLOOKUP($D882,'[2]product Table data'!$A$2:$G$12,N$1,FALSE)</f>
        <v>Central America</v>
      </c>
      <c r="O882">
        <f>VLOOKUP($D882,'[2]product Table data'!$A$2:$G$12,O$1,FALSE)</f>
        <v>30</v>
      </c>
      <c r="P882">
        <f>VLOOKUP($D882,'[2]product Table data'!$A$2:$G$12,P$1,FALSE)</f>
        <v>45</v>
      </c>
      <c r="Q882">
        <f t="shared" si="65"/>
        <v>15</v>
      </c>
      <c r="R882" t="str">
        <f t="shared" si="66"/>
        <v>-</v>
      </c>
      <c r="S882" t="str">
        <f t="shared" si="67"/>
        <v>Style Risk</v>
      </c>
      <c r="T882" t="str">
        <f t="shared" si="68"/>
        <v>-</v>
      </c>
      <c r="U882" t="str">
        <f t="shared" si="69"/>
        <v>High Value</v>
      </c>
    </row>
    <row r="883" spans="1:21" x14ac:dyDescent="0.2">
      <c r="A883" s="2">
        <v>686</v>
      </c>
      <c r="B883" s="2" t="s">
        <v>9</v>
      </c>
      <c r="C883" s="2" t="s">
        <v>1237</v>
      </c>
      <c r="D883" s="2" t="s">
        <v>45</v>
      </c>
      <c r="E883" s="2">
        <v>10022</v>
      </c>
      <c r="F883" s="2" t="s">
        <v>42</v>
      </c>
      <c r="G883" s="2" t="s">
        <v>36</v>
      </c>
      <c r="H883" s="2">
        <v>1</v>
      </c>
      <c r="I883" s="2" t="s">
        <v>14</v>
      </c>
      <c r="J883" s="2" t="str">
        <f>VLOOKUP(E883,[1]LL_Hub!$A$1:$B$13,2,FALSE)</f>
        <v>New York</v>
      </c>
      <c r="K883" t="str">
        <f>VLOOKUP(D883,'[2]product Table data'!$A$2:$B$12,2,FALSE)</f>
        <v>Female</v>
      </c>
      <c r="L883" t="str">
        <f>VLOOKUP($D883,'[2]product Table data'!$A$2:$G$12,L$1,FALSE)</f>
        <v>Winter Warmth</v>
      </c>
      <c r="M883" t="str">
        <f>VLOOKUP($D883,'[2]product Table data'!$A$2:$G$12,M$1,FALSE)</f>
        <v>Romania</v>
      </c>
      <c r="N883" t="str">
        <f>VLOOKUP($D883,'[2]product Table data'!$A$2:$G$12,N$1,FALSE)</f>
        <v>Eastern Europe</v>
      </c>
      <c r="O883">
        <f>VLOOKUP($D883,'[2]product Table data'!$A$2:$G$12,O$1,FALSE)</f>
        <v>350</v>
      </c>
      <c r="P883">
        <f>VLOOKUP($D883,'[2]product Table data'!$A$2:$G$12,P$1,FALSE)</f>
        <v>450</v>
      </c>
      <c r="Q883">
        <f t="shared" si="65"/>
        <v>100</v>
      </c>
      <c r="R883" t="str">
        <f t="shared" si="66"/>
        <v>-</v>
      </c>
      <c r="S883" t="str">
        <f t="shared" si="67"/>
        <v>-</v>
      </c>
      <c r="T883" t="str">
        <f t="shared" si="68"/>
        <v>-</v>
      </c>
      <c r="U883" t="str">
        <f t="shared" si="69"/>
        <v>High Value</v>
      </c>
    </row>
    <row r="884" spans="1:21" hidden="1" x14ac:dyDescent="0.2">
      <c r="A884" s="2">
        <v>744</v>
      </c>
      <c r="B884" s="2" t="s">
        <v>9</v>
      </c>
      <c r="C884" s="2" t="s">
        <v>1270</v>
      </c>
      <c r="D884" s="2" t="s">
        <v>604</v>
      </c>
      <c r="E884" s="2">
        <v>33101</v>
      </c>
      <c r="F884" s="2" t="s">
        <v>98</v>
      </c>
      <c r="G884" s="2" t="s">
        <v>36</v>
      </c>
      <c r="H884" s="2">
        <v>1</v>
      </c>
      <c r="I884" s="2" t="s">
        <v>17</v>
      </c>
      <c r="J884" s="2" t="str">
        <f>VLOOKUP(E884,[1]LL_Hub!$A$1:$B$13,2,FALSE)</f>
        <v>Miami</v>
      </c>
      <c r="K884" t="str">
        <f>VLOOKUP(D884,'[2]product Table data'!$A$2:$B$12,2,FALSE)</f>
        <v>Female</v>
      </c>
      <c r="L884" t="str">
        <f>VLOOKUP($D884,'[2]product Table data'!$A$2:$G$12,L$1,FALSE)</f>
        <v>Fancy Sheek</v>
      </c>
      <c r="M884" t="str">
        <f>VLOOKUP($D884,'[2]product Table data'!$A$2:$G$12,M$1,FALSE)</f>
        <v>Iran</v>
      </c>
      <c r="N884" t="str">
        <f>VLOOKUP($D884,'[2]product Table data'!$A$2:$G$12,N$1,FALSE)</f>
        <v>Middle East</v>
      </c>
      <c r="O884">
        <f>VLOOKUP($D884,'[2]product Table data'!$A$2:$G$12,O$1,FALSE)</f>
        <v>75</v>
      </c>
      <c r="P884">
        <f>VLOOKUP($D884,'[2]product Table data'!$A$2:$G$12,P$1,FALSE)</f>
        <v>125</v>
      </c>
      <c r="Q884">
        <f t="shared" si="65"/>
        <v>50</v>
      </c>
      <c r="R884" t="str">
        <f t="shared" si="66"/>
        <v>-</v>
      </c>
      <c r="S884" t="str">
        <f t="shared" si="67"/>
        <v>Style Risk</v>
      </c>
      <c r="T884" t="str">
        <f t="shared" si="68"/>
        <v>-</v>
      </c>
      <c r="U884" t="str">
        <f t="shared" si="69"/>
        <v>High Value</v>
      </c>
    </row>
    <row r="885" spans="1:21" x14ac:dyDescent="0.2">
      <c r="A885" s="2">
        <v>687</v>
      </c>
      <c r="B885" s="2" t="s">
        <v>9</v>
      </c>
      <c r="C885" s="2" t="s">
        <v>1238</v>
      </c>
      <c r="D885" s="2" t="s">
        <v>45</v>
      </c>
      <c r="E885" s="2">
        <v>10022</v>
      </c>
      <c r="F885" s="2" t="s">
        <v>42</v>
      </c>
      <c r="G885" s="2" t="s">
        <v>36</v>
      </c>
      <c r="H885" s="2">
        <v>1</v>
      </c>
      <c r="I885" s="2" t="s">
        <v>14</v>
      </c>
      <c r="J885" s="2" t="str">
        <f>VLOOKUP(E885,[1]LL_Hub!$A$1:$B$13,2,FALSE)</f>
        <v>New York</v>
      </c>
      <c r="K885" t="str">
        <f>VLOOKUP(D885,'[2]product Table data'!$A$2:$B$12,2,FALSE)</f>
        <v>Female</v>
      </c>
      <c r="L885" t="str">
        <f>VLOOKUP($D885,'[2]product Table data'!$A$2:$G$12,L$1,FALSE)</f>
        <v>Winter Warmth</v>
      </c>
      <c r="M885" t="str">
        <f>VLOOKUP($D885,'[2]product Table data'!$A$2:$G$12,M$1,FALSE)</f>
        <v>Romania</v>
      </c>
      <c r="N885" t="str">
        <f>VLOOKUP($D885,'[2]product Table data'!$A$2:$G$12,N$1,FALSE)</f>
        <v>Eastern Europe</v>
      </c>
      <c r="O885">
        <f>VLOOKUP($D885,'[2]product Table data'!$A$2:$G$12,O$1,FALSE)</f>
        <v>350</v>
      </c>
      <c r="P885">
        <f>VLOOKUP($D885,'[2]product Table data'!$A$2:$G$12,P$1,FALSE)</f>
        <v>450</v>
      </c>
      <c r="Q885">
        <f t="shared" si="65"/>
        <v>100</v>
      </c>
      <c r="R885" t="str">
        <f t="shared" si="66"/>
        <v>-</v>
      </c>
      <c r="S885" t="str">
        <f t="shared" si="67"/>
        <v>-</v>
      </c>
      <c r="T885" t="str">
        <f t="shared" si="68"/>
        <v>-</v>
      </c>
      <c r="U885" t="str">
        <f t="shared" si="69"/>
        <v>High Value</v>
      </c>
    </row>
    <row r="886" spans="1:21" hidden="1" x14ac:dyDescent="0.2">
      <c r="A886" s="2">
        <v>746</v>
      </c>
      <c r="B886" s="2" t="s">
        <v>9</v>
      </c>
      <c r="C886" s="2" t="s">
        <v>1273</v>
      </c>
      <c r="D886" s="2" t="s">
        <v>968</v>
      </c>
      <c r="E886" s="2">
        <v>33101</v>
      </c>
      <c r="F886" s="2" t="s">
        <v>98</v>
      </c>
      <c r="G886" s="2" t="s">
        <v>36</v>
      </c>
      <c r="H886" s="2">
        <v>1</v>
      </c>
      <c r="I886" s="2" t="s">
        <v>17</v>
      </c>
      <c r="J886" s="2" t="str">
        <f>VLOOKUP(E886,[1]LL_Hub!$A$1:$B$13,2,FALSE)</f>
        <v>Miami</v>
      </c>
      <c r="K886" t="str">
        <f>VLOOKUP(D886,'[2]product Table data'!$A$2:$B$12,2,FALSE)</f>
        <v>Female</v>
      </c>
      <c r="L886" t="str">
        <f>VLOOKUP($D886,'[2]product Table data'!$A$2:$G$12,L$1,FALSE)</f>
        <v>Fancy Sheek</v>
      </c>
      <c r="M886" t="str">
        <f>VLOOKUP($D886,'[2]product Table data'!$A$2:$G$12,M$1,FALSE)</f>
        <v>Azerbaijan</v>
      </c>
      <c r="N886" t="str">
        <f>VLOOKUP($D886,'[2]product Table data'!$A$2:$G$12,N$1,FALSE)</f>
        <v>Middle East</v>
      </c>
      <c r="O886">
        <f>VLOOKUP($D886,'[2]product Table data'!$A$2:$G$12,O$1,FALSE)</f>
        <v>1200</v>
      </c>
      <c r="P886">
        <f>VLOOKUP($D886,'[2]product Table data'!$A$2:$G$12,P$1,FALSE)</f>
        <v>2000</v>
      </c>
      <c r="Q886">
        <f t="shared" si="65"/>
        <v>800</v>
      </c>
      <c r="R886" t="str">
        <f t="shared" si="66"/>
        <v>-</v>
      </c>
      <c r="S886" t="str">
        <f t="shared" si="67"/>
        <v>Style Risk</v>
      </c>
      <c r="T886" t="str">
        <f t="shared" si="68"/>
        <v>-</v>
      </c>
      <c r="U886" t="str">
        <f t="shared" si="69"/>
        <v>High Value</v>
      </c>
    </row>
    <row r="887" spans="1:21" x14ac:dyDescent="0.2">
      <c r="A887" s="2">
        <v>803</v>
      </c>
      <c r="B887" s="2" t="s">
        <v>9</v>
      </c>
      <c r="C887" s="2" t="s">
        <v>1365</v>
      </c>
      <c r="D887" s="2" t="s">
        <v>45</v>
      </c>
      <c r="E887" s="2">
        <v>10013</v>
      </c>
      <c r="F887" s="2" t="s">
        <v>42</v>
      </c>
      <c r="G887" s="2" t="s">
        <v>36</v>
      </c>
      <c r="H887" s="2">
        <v>1</v>
      </c>
      <c r="I887" s="2" t="s">
        <v>14</v>
      </c>
      <c r="J887" s="2" t="str">
        <f>VLOOKUP(E887,[1]LL_Hub!$A$1:$B$13,2,FALSE)</f>
        <v>New York</v>
      </c>
      <c r="K887" t="str">
        <f>VLOOKUP(D887,'[2]product Table data'!$A$2:$B$12,2,FALSE)</f>
        <v>Female</v>
      </c>
      <c r="L887" t="str">
        <f>VLOOKUP($D887,'[2]product Table data'!$A$2:$G$12,L$1,FALSE)</f>
        <v>Winter Warmth</v>
      </c>
      <c r="M887" t="str">
        <f>VLOOKUP($D887,'[2]product Table data'!$A$2:$G$12,M$1,FALSE)</f>
        <v>Romania</v>
      </c>
      <c r="N887" t="str">
        <f>VLOOKUP($D887,'[2]product Table data'!$A$2:$G$12,N$1,FALSE)</f>
        <v>Eastern Europe</v>
      </c>
      <c r="O887">
        <f>VLOOKUP($D887,'[2]product Table data'!$A$2:$G$12,O$1,FALSE)</f>
        <v>350</v>
      </c>
      <c r="P887">
        <f>VLOOKUP($D887,'[2]product Table data'!$A$2:$G$12,P$1,FALSE)</f>
        <v>450</v>
      </c>
      <c r="Q887">
        <f t="shared" si="65"/>
        <v>100</v>
      </c>
      <c r="R887" t="str">
        <f t="shared" si="66"/>
        <v>-</v>
      </c>
      <c r="S887" t="str">
        <f t="shared" si="67"/>
        <v>-</v>
      </c>
      <c r="T887" t="str">
        <f t="shared" si="68"/>
        <v>-</v>
      </c>
      <c r="U887" t="str">
        <f t="shared" si="69"/>
        <v>High Value</v>
      </c>
    </row>
    <row r="888" spans="1:21" hidden="1" x14ac:dyDescent="0.2">
      <c r="A888" s="2">
        <v>748</v>
      </c>
      <c r="B888" s="2" t="s">
        <v>9</v>
      </c>
      <c r="C888" s="2" t="s">
        <v>1276</v>
      </c>
      <c r="D888" s="2" t="s">
        <v>604</v>
      </c>
      <c r="E888" s="2">
        <v>33101</v>
      </c>
      <c r="F888" s="2" t="s">
        <v>98</v>
      </c>
      <c r="G888" s="2" t="s">
        <v>36</v>
      </c>
      <c r="H888" s="2">
        <v>1</v>
      </c>
      <c r="I888" s="2" t="s">
        <v>17</v>
      </c>
      <c r="J888" s="2" t="str">
        <f>VLOOKUP(E888,[1]LL_Hub!$A$1:$B$13,2,FALSE)</f>
        <v>Miami</v>
      </c>
      <c r="K888" t="str">
        <f>VLOOKUP(D888,'[2]product Table data'!$A$2:$B$12,2,FALSE)</f>
        <v>Female</v>
      </c>
      <c r="L888" t="str">
        <f>VLOOKUP($D888,'[2]product Table data'!$A$2:$G$12,L$1,FALSE)</f>
        <v>Fancy Sheek</v>
      </c>
      <c r="M888" t="str">
        <f>VLOOKUP($D888,'[2]product Table data'!$A$2:$G$12,M$1,FALSE)</f>
        <v>Iran</v>
      </c>
      <c r="N888" t="str">
        <f>VLOOKUP($D888,'[2]product Table data'!$A$2:$G$12,N$1,FALSE)</f>
        <v>Middle East</v>
      </c>
      <c r="O888">
        <f>VLOOKUP($D888,'[2]product Table data'!$A$2:$G$12,O$1,FALSE)</f>
        <v>75</v>
      </c>
      <c r="P888">
        <f>VLOOKUP($D888,'[2]product Table data'!$A$2:$G$12,P$1,FALSE)</f>
        <v>125</v>
      </c>
      <c r="Q888">
        <f t="shared" si="65"/>
        <v>50</v>
      </c>
      <c r="R888" t="str">
        <f t="shared" si="66"/>
        <v>-</v>
      </c>
      <c r="S888" t="str">
        <f t="shared" si="67"/>
        <v>Style Risk</v>
      </c>
      <c r="T888" t="str">
        <f t="shared" si="68"/>
        <v>-</v>
      </c>
      <c r="U888" t="str">
        <f t="shared" si="69"/>
        <v>High Value</v>
      </c>
    </row>
    <row r="889" spans="1:21" hidden="1" x14ac:dyDescent="0.2">
      <c r="A889" s="2">
        <v>749</v>
      </c>
      <c r="B889" s="2" t="s">
        <v>9</v>
      </c>
      <c r="C889" s="2" t="s">
        <v>1277</v>
      </c>
      <c r="D889" s="2" t="s">
        <v>604</v>
      </c>
      <c r="E889" s="2">
        <v>33101</v>
      </c>
      <c r="F889" s="2" t="s">
        <v>98</v>
      </c>
      <c r="G889" s="2" t="s">
        <v>36</v>
      </c>
      <c r="H889" s="2">
        <v>1</v>
      </c>
      <c r="I889" s="2" t="s">
        <v>17</v>
      </c>
      <c r="J889" s="2" t="str">
        <f>VLOOKUP(E889,[1]LL_Hub!$A$1:$B$13,2,FALSE)</f>
        <v>Miami</v>
      </c>
      <c r="K889" t="str">
        <f>VLOOKUP(D889,'[2]product Table data'!$A$2:$B$12,2,FALSE)</f>
        <v>Female</v>
      </c>
      <c r="L889" t="str">
        <f>VLOOKUP($D889,'[2]product Table data'!$A$2:$G$12,L$1,FALSE)</f>
        <v>Fancy Sheek</v>
      </c>
      <c r="M889" t="str">
        <f>VLOOKUP($D889,'[2]product Table data'!$A$2:$G$12,M$1,FALSE)</f>
        <v>Iran</v>
      </c>
      <c r="N889" t="str">
        <f>VLOOKUP($D889,'[2]product Table data'!$A$2:$G$12,N$1,FALSE)</f>
        <v>Middle East</v>
      </c>
      <c r="O889">
        <f>VLOOKUP($D889,'[2]product Table data'!$A$2:$G$12,O$1,FALSE)</f>
        <v>75</v>
      </c>
      <c r="P889">
        <f>VLOOKUP($D889,'[2]product Table data'!$A$2:$G$12,P$1,FALSE)</f>
        <v>125</v>
      </c>
      <c r="Q889">
        <f t="shared" si="65"/>
        <v>50</v>
      </c>
      <c r="R889" t="str">
        <f t="shared" si="66"/>
        <v>-</v>
      </c>
      <c r="S889" t="str">
        <f t="shared" si="67"/>
        <v>Style Risk</v>
      </c>
      <c r="T889" t="str">
        <f t="shared" si="68"/>
        <v>-</v>
      </c>
      <c r="U889" t="str">
        <f t="shared" si="69"/>
        <v>High Value</v>
      </c>
    </row>
    <row r="890" spans="1:21" hidden="1" x14ac:dyDescent="0.2">
      <c r="A890" s="2">
        <v>750</v>
      </c>
      <c r="B890" s="2" t="s">
        <v>9</v>
      </c>
      <c r="C890" s="2" t="s">
        <v>1278</v>
      </c>
      <c r="D890" s="2" t="s">
        <v>604</v>
      </c>
      <c r="E890" s="2">
        <v>33101</v>
      </c>
      <c r="F890" s="2" t="s">
        <v>1279</v>
      </c>
      <c r="G890" s="2" t="s">
        <v>13</v>
      </c>
      <c r="H890" s="2">
        <v>1</v>
      </c>
      <c r="I890" s="2" t="s">
        <v>17</v>
      </c>
      <c r="J890" s="2" t="str">
        <f>VLOOKUP(E890,[1]LL_Hub!$A$1:$B$13,2,FALSE)</f>
        <v>Miami</v>
      </c>
      <c r="K890" t="str">
        <f>VLOOKUP(D890,'[2]product Table data'!$A$2:$B$12,2,FALSE)</f>
        <v>Female</v>
      </c>
      <c r="L890" t="str">
        <f>VLOOKUP($D890,'[2]product Table data'!$A$2:$G$12,L$1,FALSE)</f>
        <v>Fancy Sheek</v>
      </c>
      <c r="M890" t="str">
        <f>VLOOKUP($D890,'[2]product Table data'!$A$2:$G$12,M$1,FALSE)</f>
        <v>Iran</v>
      </c>
      <c r="N890" t="str">
        <f>VLOOKUP($D890,'[2]product Table data'!$A$2:$G$12,N$1,FALSE)</f>
        <v>Middle East</v>
      </c>
      <c r="O890">
        <f>VLOOKUP($D890,'[2]product Table data'!$A$2:$G$12,O$1,FALSE)</f>
        <v>75</v>
      </c>
      <c r="P890">
        <f>VLOOKUP($D890,'[2]product Table data'!$A$2:$G$12,P$1,FALSE)</f>
        <v>125</v>
      </c>
      <c r="Q890">
        <f t="shared" si="65"/>
        <v>50</v>
      </c>
      <c r="R890" t="str">
        <f t="shared" si="66"/>
        <v>-</v>
      </c>
      <c r="S890" t="str">
        <f t="shared" si="67"/>
        <v>Style Risk</v>
      </c>
      <c r="T890" t="str">
        <f t="shared" si="68"/>
        <v>-</v>
      </c>
      <c r="U890" t="str">
        <f t="shared" si="69"/>
        <v>High Value</v>
      </c>
    </row>
    <row r="891" spans="1:21" hidden="1" x14ac:dyDescent="0.2">
      <c r="A891" s="2">
        <v>751</v>
      </c>
      <c r="B891" s="2" t="s">
        <v>9</v>
      </c>
      <c r="C891" s="2" t="s">
        <v>1280</v>
      </c>
      <c r="D891" s="2" t="s">
        <v>604</v>
      </c>
      <c r="E891" s="2">
        <v>33101</v>
      </c>
      <c r="F891" s="2" t="s">
        <v>1281</v>
      </c>
      <c r="G891" s="2" t="s">
        <v>13</v>
      </c>
      <c r="H891" s="2">
        <v>1</v>
      </c>
      <c r="I891" s="2" t="s">
        <v>17</v>
      </c>
      <c r="J891" s="2" t="str">
        <f>VLOOKUP(E891,[1]LL_Hub!$A$1:$B$13,2,FALSE)</f>
        <v>Miami</v>
      </c>
      <c r="K891" t="str">
        <f>VLOOKUP(D891,'[2]product Table data'!$A$2:$B$12,2,FALSE)</f>
        <v>Female</v>
      </c>
      <c r="L891" t="str">
        <f>VLOOKUP($D891,'[2]product Table data'!$A$2:$G$12,L$1,FALSE)</f>
        <v>Fancy Sheek</v>
      </c>
      <c r="M891" t="str">
        <f>VLOOKUP($D891,'[2]product Table data'!$A$2:$G$12,M$1,FALSE)</f>
        <v>Iran</v>
      </c>
      <c r="N891" t="str">
        <f>VLOOKUP($D891,'[2]product Table data'!$A$2:$G$12,N$1,FALSE)</f>
        <v>Middle East</v>
      </c>
      <c r="O891">
        <f>VLOOKUP($D891,'[2]product Table data'!$A$2:$G$12,O$1,FALSE)</f>
        <v>75</v>
      </c>
      <c r="P891">
        <f>VLOOKUP($D891,'[2]product Table data'!$A$2:$G$12,P$1,FALSE)</f>
        <v>125</v>
      </c>
      <c r="Q891">
        <f t="shared" si="65"/>
        <v>50</v>
      </c>
      <c r="R891" t="str">
        <f t="shared" si="66"/>
        <v>-</v>
      </c>
      <c r="S891" t="str">
        <f t="shared" si="67"/>
        <v>Style Risk</v>
      </c>
      <c r="T891" t="str">
        <f t="shared" si="68"/>
        <v>-</v>
      </c>
      <c r="U891" t="str">
        <f t="shared" si="69"/>
        <v>High Value</v>
      </c>
    </row>
    <row r="892" spans="1:21" hidden="1" x14ac:dyDescent="0.2">
      <c r="A892" s="2">
        <v>752</v>
      </c>
      <c r="B892" s="2" t="s">
        <v>9</v>
      </c>
      <c r="C892" s="2" t="s">
        <v>1282</v>
      </c>
      <c r="D892" s="2" t="s">
        <v>604</v>
      </c>
      <c r="E892" s="2">
        <v>33101</v>
      </c>
      <c r="F892" s="2" t="s">
        <v>1283</v>
      </c>
      <c r="G892" s="2" t="s">
        <v>13</v>
      </c>
      <c r="H892" s="2">
        <v>1</v>
      </c>
      <c r="I892" s="2" t="s">
        <v>17</v>
      </c>
      <c r="J892" s="2" t="str">
        <f>VLOOKUP(E892,[1]LL_Hub!$A$1:$B$13,2,FALSE)</f>
        <v>Miami</v>
      </c>
      <c r="K892" t="str">
        <f>VLOOKUP(D892,'[2]product Table data'!$A$2:$B$12,2,FALSE)</f>
        <v>Female</v>
      </c>
      <c r="L892" t="str">
        <f>VLOOKUP($D892,'[2]product Table data'!$A$2:$G$12,L$1,FALSE)</f>
        <v>Fancy Sheek</v>
      </c>
      <c r="M892" t="str">
        <f>VLOOKUP($D892,'[2]product Table data'!$A$2:$G$12,M$1,FALSE)</f>
        <v>Iran</v>
      </c>
      <c r="N892" t="str">
        <f>VLOOKUP($D892,'[2]product Table data'!$A$2:$G$12,N$1,FALSE)</f>
        <v>Middle East</v>
      </c>
      <c r="O892">
        <f>VLOOKUP($D892,'[2]product Table data'!$A$2:$G$12,O$1,FALSE)</f>
        <v>75</v>
      </c>
      <c r="P892">
        <f>VLOOKUP($D892,'[2]product Table data'!$A$2:$G$12,P$1,FALSE)</f>
        <v>125</v>
      </c>
      <c r="Q892">
        <f t="shared" si="65"/>
        <v>50</v>
      </c>
      <c r="R892" t="str">
        <f t="shared" si="66"/>
        <v>-</v>
      </c>
      <c r="S892" t="str">
        <f t="shared" si="67"/>
        <v>Style Risk</v>
      </c>
      <c r="T892" t="str">
        <f t="shared" si="68"/>
        <v>-</v>
      </c>
      <c r="U892" t="str">
        <f t="shared" si="69"/>
        <v>High Value</v>
      </c>
    </row>
    <row r="893" spans="1:21" hidden="1" x14ac:dyDescent="0.2">
      <c r="A893" s="2">
        <v>753</v>
      </c>
      <c r="B893" s="2" t="s">
        <v>9</v>
      </c>
      <c r="C893" s="2" t="s">
        <v>1284</v>
      </c>
      <c r="D893" s="2" t="s">
        <v>604</v>
      </c>
      <c r="E893" s="2">
        <v>33101</v>
      </c>
      <c r="F893" s="2" t="s">
        <v>1285</v>
      </c>
      <c r="G893" s="2" t="s">
        <v>13</v>
      </c>
      <c r="H893" s="2">
        <v>1</v>
      </c>
      <c r="I893" s="2" t="s">
        <v>17</v>
      </c>
      <c r="J893" s="2" t="str">
        <f>VLOOKUP(E893,[1]LL_Hub!$A$1:$B$13,2,FALSE)</f>
        <v>Miami</v>
      </c>
      <c r="K893" t="str">
        <f>VLOOKUP(D893,'[2]product Table data'!$A$2:$B$12,2,FALSE)</f>
        <v>Female</v>
      </c>
      <c r="L893" t="str">
        <f>VLOOKUP($D893,'[2]product Table data'!$A$2:$G$12,L$1,FALSE)</f>
        <v>Fancy Sheek</v>
      </c>
      <c r="M893" t="str">
        <f>VLOOKUP($D893,'[2]product Table data'!$A$2:$G$12,M$1,FALSE)</f>
        <v>Iran</v>
      </c>
      <c r="N893" t="str">
        <f>VLOOKUP($D893,'[2]product Table data'!$A$2:$G$12,N$1,FALSE)</f>
        <v>Middle East</v>
      </c>
      <c r="O893">
        <f>VLOOKUP($D893,'[2]product Table data'!$A$2:$G$12,O$1,FALSE)</f>
        <v>75</v>
      </c>
      <c r="P893">
        <f>VLOOKUP($D893,'[2]product Table data'!$A$2:$G$12,P$1,FALSE)</f>
        <v>125</v>
      </c>
      <c r="Q893">
        <f t="shared" si="65"/>
        <v>50</v>
      </c>
      <c r="R893" t="str">
        <f t="shared" si="66"/>
        <v>-</v>
      </c>
      <c r="S893" t="str">
        <f t="shared" si="67"/>
        <v>Style Risk</v>
      </c>
      <c r="T893" t="str">
        <f t="shared" si="68"/>
        <v>-</v>
      </c>
      <c r="U893" t="str">
        <f t="shared" si="69"/>
        <v>High Value</v>
      </c>
    </row>
    <row r="894" spans="1:21" hidden="1" x14ac:dyDescent="0.2">
      <c r="A894" s="2">
        <v>754</v>
      </c>
      <c r="B894" s="2" t="s">
        <v>9</v>
      </c>
      <c r="C894" s="2" t="s">
        <v>1286</v>
      </c>
      <c r="D894" s="2" t="s">
        <v>604</v>
      </c>
      <c r="E894" s="2">
        <v>33101</v>
      </c>
      <c r="F894" s="2" t="s">
        <v>1287</v>
      </c>
      <c r="G894" s="2" t="s">
        <v>13</v>
      </c>
      <c r="H894" s="2">
        <v>1</v>
      </c>
      <c r="I894" s="2" t="s">
        <v>17</v>
      </c>
      <c r="J894" s="2" t="str">
        <f>VLOOKUP(E894,[1]LL_Hub!$A$1:$B$13,2,FALSE)</f>
        <v>Miami</v>
      </c>
      <c r="K894" t="str">
        <f>VLOOKUP(D894,'[2]product Table data'!$A$2:$B$12,2,FALSE)</f>
        <v>Female</v>
      </c>
      <c r="L894" t="str">
        <f>VLOOKUP($D894,'[2]product Table data'!$A$2:$G$12,L$1,FALSE)</f>
        <v>Fancy Sheek</v>
      </c>
      <c r="M894" t="str">
        <f>VLOOKUP($D894,'[2]product Table data'!$A$2:$G$12,M$1,FALSE)</f>
        <v>Iran</v>
      </c>
      <c r="N894" t="str">
        <f>VLOOKUP($D894,'[2]product Table data'!$A$2:$G$12,N$1,FALSE)</f>
        <v>Middle East</v>
      </c>
      <c r="O894">
        <f>VLOOKUP($D894,'[2]product Table data'!$A$2:$G$12,O$1,FALSE)</f>
        <v>75</v>
      </c>
      <c r="P894">
        <f>VLOOKUP($D894,'[2]product Table data'!$A$2:$G$12,P$1,FALSE)</f>
        <v>125</v>
      </c>
      <c r="Q894">
        <f t="shared" si="65"/>
        <v>50</v>
      </c>
      <c r="R894" t="str">
        <f t="shared" si="66"/>
        <v>-</v>
      </c>
      <c r="S894" t="str">
        <f t="shared" si="67"/>
        <v>Style Risk</v>
      </c>
      <c r="T894" t="str">
        <f t="shared" si="68"/>
        <v>-</v>
      </c>
      <c r="U894" t="str">
        <f t="shared" si="69"/>
        <v>High Value</v>
      </c>
    </row>
    <row r="895" spans="1:21" hidden="1" x14ac:dyDescent="0.2">
      <c r="A895" s="2">
        <v>755</v>
      </c>
      <c r="B895" s="2" t="s">
        <v>9</v>
      </c>
      <c r="C895" s="2" t="s">
        <v>1288</v>
      </c>
      <c r="D895" s="2" t="s">
        <v>604</v>
      </c>
      <c r="E895" s="2">
        <v>33101</v>
      </c>
      <c r="F895" s="2" t="s">
        <v>1289</v>
      </c>
      <c r="G895" s="2" t="s">
        <v>13</v>
      </c>
      <c r="H895" s="2">
        <v>1</v>
      </c>
      <c r="I895" s="2" t="s">
        <v>17</v>
      </c>
      <c r="J895" s="2" t="str">
        <f>VLOOKUP(E895,[1]LL_Hub!$A$1:$B$13,2,FALSE)</f>
        <v>Miami</v>
      </c>
      <c r="K895" t="str">
        <f>VLOOKUP(D895,'[2]product Table data'!$A$2:$B$12,2,FALSE)</f>
        <v>Female</v>
      </c>
      <c r="L895" t="str">
        <f>VLOOKUP($D895,'[2]product Table data'!$A$2:$G$12,L$1,FALSE)</f>
        <v>Fancy Sheek</v>
      </c>
      <c r="M895" t="str">
        <f>VLOOKUP($D895,'[2]product Table data'!$A$2:$G$12,M$1,FALSE)</f>
        <v>Iran</v>
      </c>
      <c r="N895" t="str">
        <f>VLOOKUP($D895,'[2]product Table data'!$A$2:$G$12,N$1,FALSE)</f>
        <v>Middle East</v>
      </c>
      <c r="O895">
        <f>VLOOKUP($D895,'[2]product Table data'!$A$2:$G$12,O$1,FALSE)</f>
        <v>75</v>
      </c>
      <c r="P895">
        <f>VLOOKUP($D895,'[2]product Table data'!$A$2:$G$12,P$1,FALSE)</f>
        <v>125</v>
      </c>
      <c r="Q895">
        <f t="shared" si="65"/>
        <v>50</v>
      </c>
      <c r="R895" t="str">
        <f t="shared" si="66"/>
        <v>-</v>
      </c>
      <c r="S895" t="str">
        <f t="shared" si="67"/>
        <v>Style Risk</v>
      </c>
      <c r="T895" t="str">
        <f t="shared" si="68"/>
        <v>-</v>
      </c>
      <c r="U895" t="str">
        <f t="shared" si="69"/>
        <v>High Value</v>
      </c>
    </row>
    <row r="896" spans="1:21" hidden="1" x14ac:dyDescent="0.2">
      <c r="A896" s="2">
        <v>756</v>
      </c>
      <c r="B896" s="2" t="s">
        <v>9</v>
      </c>
      <c r="C896" s="2" t="s">
        <v>1290</v>
      </c>
      <c r="D896" s="2" t="s">
        <v>604</v>
      </c>
      <c r="E896" s="2">
        <v>33101</v>
      </c>
      <c r="F896" s="2" t="s">
        <v>1291</v>
      </c>
      <c r="G896" s="2" t="s">
        <v>13</v>
      </c>
      <c r="H896" s="2">
        <v>1</v>
      </c>
      <c r="I896" s="2" t="s">
        <v>17</v>
      </c>
      <c r="J896" s="2" t="str">
        <f>VLOOKUP(E896,[1]LL_Hub!$A$1:$B$13,2,FALSE)</f>
        <v>Miami</v>
      </c>
      <c r="K896" t="str">
        <f>VLOOKUP(D896,'[2]product Table data'!$A$2:$B$12,2,FALSE)</f>
        <v>Female</v>
      </c>
      <c r="L896" t="str">
        <f>VLOOKUP($D896,'[2]product Table data'!$A$2:$G$12,L$1,FALSE)</f>
        <v>Fancy Sheek</v>
      </c>
      <c r="M896" t="str">
        <f>VLOOKUP($D896,'[2]product Table data'!$A$2:$G$12,M$1,FALSE)</f>
        <v>Iran</v>
      </c>
      <c r="N896" t="str">
        <f>VLOOKUP($D896,'[2]product Table data'!$A$2:$G$12,N$1,FALSE)</f>
        <v>Middle East</v>
      </c>
      <c r="O896">
        <f>VLOOKUP($D896,'[2]product Table data'!$A$2:$G$12,O$1,FALSE)</f>
        <v>75</v>
      </c>
      <c r="P896">
        <f>VLOOKUP($D896,'[2]product Table data'!$A$2:$G$12,P$1,FALSE)</f>
        <v>125</v>
      </c>
      <c r="Q896">
        <f t="shared" si="65"/>
        <v>50</v>
      </c>
      <c r="R896" t="str">
        <f t="shared" si="66"/>
        <v>-</v>
      </c>
      <c r="S896" t="str">
        <f t="shared" si="67"/>
        <v>Style Risk</v>
      </c>
      <c r="T896" t="str">
        <f t="shared" si="68"/>
        <v>-</v>
      </c>
      <c r="U896" t="str">
        <f t="shared" si="69"/>
        <v>High Value</v>
      </c>
    </row>
    <row r="897" spans="1:21" hidden="1" x14ac:dyDescent="0.2">
      <c r="A897" s="2">
        <v>757</v>
      </c>
      <c r="B897" s="2" t="s">
        <v>9</v>
      </c>
      <c r="C897" s="2" t="s">
        <v>1292</v>
      </c>
      <c r="D897" s="2" t="s">
        <v>604</v>
      </c>
      <c r="E897" s="2">
        <v>33101</v>
      </c>
      <c r="F897" s="2" t="s">
        <v>1293</v>
      </c>
      <c r="G897" s="2" t="s">
        <v>13</v>
      </c>
      <c r="H897" s="2">
        <v>1</v>
      </c>
      <c r="I897" s="2" t="s">
        <v>17</v>
      </c>
      <c r="J897" s="2" t="str">
        <f>VLOOKUP(E897,[1]LL_Hub!$A$1:$B$13,2,FALSE)</f>
        <v>Miami</v>
      </c>
      <c r="K897" t="str">
        <f>VLOOKUP(D897,'[2]product Table data'!$A$2:$B$12,2,FALSE)</f>
        <v>Female</v>
      </c>
      <c r="L897" t="str">
        <f>VLOOKUP($D897,'[2]product Table data'!$A$2:$G$12,L$1,FALSE)</f>
        <v>Fancy Sheek</v>
      </c>
      <c r="M897" t="str">
        <f>VLOOKUP($D897,'[2]product Table data'!$A$2:$G$12,M$1,FALSE)</f>
        <v>Iran</v>
      </c>
      <c r="N897" t="str">
        <f>VLOOKUP($D897,'[2]product Table data'!$A$2:$G$12,N$1,FALSE)</f>
        <v>Middle East</v>
      </c>
      <c r="O897">
        <f>VLOOKUP($D897,'[2]product Table data'!$A$2:$G$12,O$1,FALSE)</f>
        <v>75</v>
      </c>
      <c r="P897">
        <f>VLOOKUP($D897,'[2]product Table data'!$A$2:$G$12,P$1,FALSE)</f>
        <v>125</v>
      </c>
      <c r="Q897">
        <f t="shared" si="65"/>
        <v>50</v>
      </c>
      <c r="R897" t="str">
        <f t="shared" si="66"/>
        <v>-</v>
      </c>
      <c r="S897" t="str">
        <f t="shared" si="67"/>
        <v>Style Risk</v>
      </c>
      <c r="T897" t="str">
        <f t="shared" si="68"/>
        <v>-</v>
      </c>
      <c r="U897" t="str">
        <f t="shared" si="69"/>
        <v>High Value</v>
      </c>
    </row>
    <row r="898" spans="1:21" hidden="1" x14ac:dyDescent="0.2">
      <c r="A898" s="2">
        <v>758</v>
      </c>
      <c r="B898" s="2" t="s">
        <v>9</v>
      </c>
      <c r="C898" s="2" t="s">
        <v>1294</v>
      </c>
      <c r="D898" s="2" t="s">
        <v>604</v>
      </c>
      <c r="E898" s="2">
        <v>33101</v>
      </c>
      <c r="F898" s="2" t="s">
        <v>1295</v>
      </c>
      <c r="G898" s="2" t="s">
        <v>13</v>
      </c>
      <c r="H898" s="2">
        <v>1</v>
      </c>
      <c r="I898" s="2" t="s">
        <v>17</v>
      </c>
      <c r="J898" s="2" t="str">
        <f>VLOOKUP(E898,[1]LL_Hub!$A$1:$B$13,2,FALSE)</f>
        <v>Miami</v>
      </c>
      <c r="K898" t="str">
        <f>VLOOKUP(D898,'[2]product Table data'!$A$2:$B$12,2,FALSE)</f>
        <v>Female</v>
      </c>
      <c r="L898" t="str">
        <f>VLOOKUP($D898,'[2]product Table data'!$A$2:$G$12,L$1,FALSE)</f>
        <v>Fancy Sheek</v>
      </c>
      <c r="M898" t="str">
        <f>VLOOKUP($D898,'[2]product Table data'!$A$2:$G$12,M$1,FALSE)</f>
        <v>Iran</v>
      </c>
      <c r="N898" t="str">
        <f>VLOOKUP($D898,'[2]product Table data'!$A$2:$G$12,N$1,FALSE)</f>
        <v>Middle East</v>
      </c>
      <c r="O898">
        <f>VLOOKUP($D898,'[2]product Table data'!$A$2:$G$12,O$1,FALSE)</f>
        <v>75</v>
      </c>
      <c r="P898">
        <f>VLOOKUP($D898,'[2]product Table data'!$A$2:$G$12,P$1,FALSE)</f>
        <v>125</v>
      </c>
      <c r="Q898">
        <f t="shared" si="65"/>
        <v>50</v>
      </c>
      <c r="R898" t="str">
        <f t="shared" si="66"/>
        <v>-</v>
      </c>
      <c r="S898" t="str">
        <f t="shared" si="67"/>
        <v>Style Risk</v>
      </c>
      <c r="T898" t="str">
        <f t="shared" si="68"/>
        <v>-</v>
      </c>
      <c r="U898" t="str">
        <f t="shared" si="69"/>
        <v>High Value</v>
      </c>
    </row>
    <row r="899" spans="1:21" hidden="1" x14ac:dyDescent="0.2">
      <c r="A899" s="2">
        <v>759</v>
      </c>
      <c r="B899" s="2" t="s">
        <v>9</v>
      </c>
      <c r="C899" s="2" t="s">
        <v>1296</v>
      </c>
      <c r="D899" s="2" t="s">
        <v>604</v>
      </c>
      <c r="E899" s="2">
        <v>33101</v>
      </c>
      <c r="F899" s="2" t="s">
        <v>1297</v>
      </c>
      <c r="G899" s="2" t="s">
        <v>13</v>
      </c>
      <c r="H899" s="2">
        <v>1</v>
      </c>
      <c r="I899" s="2" t="s">
        <v>17</v>
      </c>
      <c r="J899" s="2" t="str">
        <f>VLOOKUP(E899,[1]LL_Hub!$A$1:$B$13,2,FALSE)</f>
        <v>Miami</v>
      </c>
      <c r="K899" t="str">
        <f>VLOOKUP(D899,'[2]product Table data'!$A$2:$B$12,2,FALSE)</f>
        <v>Female</v>
      </c>
      <c r="L899" t="str">
        <f>VLOOKUP($D899,'[2]product Table data'!$A$2:$G$12,L$1,FALSE)</f>
        <v>Fancy Sheek</v>
      </c>
      <c r="M899" t="str">
        <f>VLOOKUP($D899,'[2]product Table data'!$A$2:$G$12,M$1,FALSE)</f>
        <v>Iran</v>
      </c>
      <c r="N899" t="str">
        <f>VLOOKUP($D899,'[2]product Table data'!$A$2:$G$12,N$1,FALSE)</f>
        <v>Middle East</v>
      </c>
      <c r="O899">
        <f>VLOOKUP($D899,'[2]product Table data'!$A$2:$G$12,O$1,FALSE)</f>
        <v>75</v>
      </c>
      <c r="P899">
        <f>VLOOKUP($D899,'[2]product Table data'!$A$2:$G$12,P$1,FALSE)</f>
        <v>125</v>
      </c>
      <c r="Q899">
        <f t="shared" ref="Q899:Q962" si="70">P899-O899</f>
        <v>50</v>
      </c>
      <c r="R899" t="str">
        <f t="shared" ref="R899:R962" si="71">IF(OR(J899="Los Angeles",J899="Denver"),"Hub Risk","-")</f>
        <v>-</v>
      </c>
      <c r="S899" t="str">
        <f t="shared" ref="S899:S962" si="72">IF(OR(L899="Casual n Light",L899="Fancy Sheek"),"Style Risk","-")</f>
        <v>Style Risk</v>
      </c>
      <c r="T899" t="str">
        <f t="shared" ref="T899:T962" si="73">IF(AND(R899="Hub Risk", S899="Style Risk"), "Risk", "-")</f>
        <v>-</v>
      </c>
      <c r="U899" t="str">
        <f t="shared" ref="U899:U962" si="74">IF(Q899&lt;=5, "Low Value", "High Value")</f>
        <v>High Value</v>
      </c>
    </row>
    <row r="900" spans="1:21" hidden="1" x14ac:dyDescent="0.2">
      <c r="A900" s="2">
        <v>760</v>
      </c>
      <c r="B900" s="2" t="s">
        <v>9</v>
      </c>
      <c r="C900" s="2" t="s">
        <v>1298</v>
      </c>
      <c r="D900" s="2" t="s">
        <v>604</v>
      </c>
      <c r="E900" s="2">
        <v>33101</v>
      </c>
      <c r="F900" s="2" t="s">
        <v>1299</v>
      </c>
      <c r="G900" s="2" t="s">
        <v>13</v>
      </c>
      <c r="H900" s="2">
        <v>1</v>
      </c>
      <c r="I900" s="2" t="s">
        <v>17</v>
      </c>
      <c r="J900" s="2" t="str">
        <f>VLOOKUP(E900,[1]LL_Hub!$A$1:$B$13,2,FALSE)</f>
        <v>Miami</v>
      </c>
      <c r="K900" t="str">
        <f>VLOOKUP(D900,'[2]product Table data'!$A$2:$B$12,2,FALSE)</f>
        <v>Female</v>
      </c>
      <c r="L900" t="str">
        <f>VLOOKUP($D900,'[2]product Table data'!$A$2:$G$12,L$1,FALSE)</f>
        <v>Fancy Sheek</v>
      </c>
      <c r="M900" t="str">
        <f>VLOOKUP($D900,'[2]product Table data'!$A$2:$G$12,M$1,FALSE)</f>
        <v>Iran</v>
      </c>
      <c r="N900" t="str">
        <f>VLOOKUP($D900,'[2]product Table data'!$A$2:$G$12,N$1,FALSE)</f>
        <v>Middle East</v>
      </c>
      <c r="O900">
        <f>VLOOKUP($D900,'[2]product Table data'!$A$2:$G$12,O$1,FALSE)</f>
        <v>75</v>
      </c>
      <c r="P900">
        <f>VLOOKUP($D900,'[2]product Table data'!$A$2:$G$12,P$1,FALSE)</f>
        <v>125</v>
      </c>
      <c r="Q900">
        <f t="shared" si="70"/>
        <v>50</v>
      </c>
      <c r="R900" t="str">
        <f t="shared" si="71"/>
        <v>-</v>
      </c>
      <c r="S900" t="str">
        <f t="shared" si="72"/>
        <v>Style Risk</v>
      </c>
      <c r="T900" t="str">
        <f t="shared" si="73"/>
        <v>-</v>
      </c>
      <c r="U900" t="str">
        <f t="shared" si="74"/>
        <v>High Value</v>
      </c>
    </row>
    <row r="901" spans="1:21" hidden="1" x14ac:dyDescent="0.2">
      <c r="A901" s="2">
        <v>761</v>
      </c>
      <c r="B901" s="2" t="s">
        <v>9</v>
      </c>
      <c r="C901" s="2" t="s">
        <v>1300</v>
      </c>
      <c r="D901" s="2" t="s">
        <v>604</v>
      </c>
      <c r="E901" s="2">
        <v>33101</v>
      </c>
      <c r="F901" s="2" t="s">
        <v>1301</v>
      </c>
      <c r="G901" s="2" t="s">
        <v>13</v>
      </c>
      <c r="H901" s="2">
        <v>1</v>
      </c>
      <c r="I901" s="2" t="s">
        <v>17</v>
      </c>
      <c r="J901" s="2" t="str">
        <f>VLOOKUP(E901,[1]LL_Hub!$A$1:$B$13,2,FALSE)</f>
        <v>Miami</v>
      </c>
      <c r="K901" t="str">
        <f>VLOOKUP(D901,'[2]product Table data'!$A$2:$B$12,2,FALSE)</f>
        <v>Female</v>
      </c>
      <c r="L901" t="str">
        <f>VLOOKUP($D901,'[2]product Table data'!$A$2:$G$12,L$1,FALSE)</f>
        <v>Fancy Sheek</v>
      </c>
      <c r="M901" t="str">
        <f>VLOOKUP($D901,'[2]product Table data'!$A$2:$G$12,M$1,FALSE)</f>
        <v>Iran</v>
      </c>
      <c r="N901" t="str">
        <f>VLOOKUP($D901,'[2]product Table data'!$A$2:$G$12,N$1,FALSE)</f>
        <v>Middle East</v>
      </c>
      <c r="O901">
        <f>VLOOKUP($D901,'[2]product Table data'!$A$2:$G$12,O$1,FALSE)</f>
        <v>75</v>
      </c>
      <c r="P901">
        <f>VLOOKUP($D901,'[2]product Table data'!$A$2:$G$12,P$1,FALSE)</f>
        <v>125</v>
      </c>
      <c r="Q901">
        <f t="shared" si="70"/>
        <v>50</v>
      </c>
      <c r="R901" t="str">
        <f t="shared" si="71"/>
        <v>-</v>
      </c>
      <c r="S901" t="str">
        <f t="shared" si="72"/>
        <v>Style Risk</v>
      </c>
      <c r="T901" t="str">
        <f t="shared" si="73"/>
        <v>-</v>
      </c>
      <c r="U901" t="str">
        <f t="shared" si="74"/>
        <v>High Value</v>
      </c>
    </row>
    <row r="902" spans="1:21" hidden="1" x14ac:dyDescent="0.2">
      <c r="A902" s="2">
        <v>762</v>
      </c>
      <c r="B902" s="2" t="s">
        <v>9</v>
      </c>
      <c r="C902" s="2" t="s">
        <v>1302</v>
      </c>
      <c r="D902" s="2" t="s">
        <v>604</v>
      </c>
      <c r="E902" s="2">
        <v>33101</v>
      </c>
      <c r="F902" s="2" t="s">
        <v>1303</v>
      </c>
      <c r="G902" s="2" t="s">
        <v>13</v>
      </c>
      <c r="H902" s="2">
        <v>1</v>
      </c>
      <c r="I902" s="2" t="s">
        <v>17</v>
      </c>
      <c r="J902" s="2" t="str">
        <f>VLOOKUP(E902,[1]LL_Hub!$A$1:$B$13,2,FALSE)</f>
        <v>Miami</v>
      </c>
      <c r="K902" t="str">
        <f>VLOOKUP(D902,'[2]product Table data'!$A$2:$B$12,2,FALSE)</f>
        <v>Female</v>
      </c>
      <c r="L902" t="str">
        <f>VLOOKUP($D902,'[2]product Table data'!$A$2:$G$12,L$1,FALSE)</f>
        <v>Fancy Sheek</v>
      </c>
      <c r="M902" t="str">
        <f>VLOOKUP($D902,'[2]product Table data'!$A$2:$G$12,M$1,FALSE)</f>
        <v>Iran</v>
      </c>
      <c r="N902" t="str">
        <f>VLOOKUP($D902,'[2]product Table data'!$A$2:$G$12,N$1,FALSE)</f>
        <v>Middle East</v>
      </c>
      <c r="O902">
        <f>VLOOKUP($D902,'[2]product Table data'!$A$2:$G$12,O$1,FALSE)</f>
        <v>75</v>
      </c>
      <c r="P902">
        <f>VLOOKUP($D902,'[2]product Table data'!$A$2:$G$12,P$1,FALSE)</f>
        <v>125</v>
      </c>
      <c r="Q902">
        <f t="shared" si="70"/>
        <v>50</v>
      </c>
      <c r="R902" t="str">
        <f t="shared" si="71"/>
        <v>-</v>
      </c>
      <c r="S902" t="str">
        <f t="shared" si="72"/>
        <v>Style Risk</v>
      </c>
      <c r="T902" t="str">
        <f t="shared" si="73"/>
        <v>-</v>
      </c>
      <c r="U902" t="str">
        <f t="shared" si="74"/>
        <v>High Value</v>
      </c>
    </row>
    <row r="903" spans="1:21" hidden="1" x14ac:dyDescent="0.2">
      <c r="A903" s="2">
        <v>763</v>
      </c>
      <c r="B903" s="2" t="s">
        <v>9</v>
      </c>
      <c r="C903" s="2" t="s">
        <v>1304</v>
      </c>
      <c r="D903" s="2" t="s">
        <v>604</v>
      </c>
      <c r="E903" s="2">
        <v>33101</v>
      </c>
      <c r="F903" s="2" t="s">
        <v>1305</v>
      </c>
      <c r="G903" s="2" t="s">
        <v>13</v>
      </c>
      <c r="H903" s="2">
        <v>1</v>
      </c>
      <c r="I903" s="2" t="s">
        <v>17</v>
      </c>
      <c r="J903" s="2" t="str">
        <f>VLOOKUP(E903,[1]LL_Hub!$A$1:$B$13,2,FALSE)</f>
        <v>Miami</v>
      </c>
      <c r="K903" t="str">
        <f>VLOOKUP(D903,'[2]product Table data'!$A$2:$B$12,2,FALSE)</f>
        <v>Female</v>
      </c>
      <c r="L903" t="str">
        <f>VLOOKUP($D903,'[2]product Table data'!$A$2:$G$12,L$1,FALSE)</f>
        <v>Fancy Sheek</v>
      </c>
      <c r="M903" t="str">
        <f>VLOOKUP($D903,'[2]product Table data'!$A$2:$G$12,M$1,FALSE)</f>
        <v>Iran</v>
      </c>
      <c r="N903" t="str">
        <f>VLOOKUP($D903,'[2]product Table data'!$A$2:$G$12,N$1,FALSE)</f>
        <v>Middle East</v>
      </c>
      <c r="O903">
        <f>VLOOKUP($D903,'[2]product Table data'!$A$2:$G$12,O$1,FALSE)</f>
        <v>75</v>
      </c>
      <c r="P903">
        <f>VLOOKUP($D903,'[2]product Table data'!$A$2:$G$12,P$1,FALSE)</f>
        <v>125</v>
      </c>
      <c r="Q903">
        <f t="shared" si="70"/>
        <v>50</v>
      </c>
      <c r="R903" t="str">
        <f t="shared" si="71"/>
        <v>-</v>
      </c>
      <c r="S903" t="str">
        <f t="shared" si="72"/>
        <v>Style Risk</v>
      </c>
      <c r="T903" t="str">
        <f t="shared" si="73"/>
        <v>-</v>
      </c>
      <c r="U903" t="str">
        <f t="shared" si="74"/>
        <v>High Value</v>
      </c>
    </row>
    <row r="904" spans="1:21" hidden="1" x14ac:dyDescent="0.2">
      <c r="A904" s="2">
        <v>764</v>
      </c>
      <c r="B904" s="2" t="s">
        <v>9</v>
      </c>
      <c r="C904" s="2" t="s">
        <v>1306</v>
      </c>
      <c r="D904" s="2" t="s">
        <v>604</v>
      </c>
      <c r="E904" s="2">
        <v>33101</v>
      </c>
      <c r="F904" s="2" t="s">
        <v>1307</v>
      </c>
      <c r="G904" s="2" t="s">
        <v>13</v>
      </c>
      <c r="H904" s="2">
        <v>1</v>
      </c>
      <c r="I904" s="2" t="s">
        <v>17</v>
      </c>
      <c r="J904" s="2" t="str">
        <f>VLOOKUP(E904,[1]LL_Hub!$A$1:$B$13,2,FALSE)</f>
        <v>Miami</v>
      </c>
      <c r="K904" t="str">
        <f>VLOOKUP(D904,'[2]product Table data'!$A$2:$B$12,2,FALSE)</f>
        <v>Female</v>
      </c>
      <c r="L904" t="str">
        <f>VLOOKUP($D904,'[2]product Table data'!$A$2:$G$12,L$1,FALSE)</f>
        <v>Fancy Sheek</v>
      </c>
      <c r="M904" t="str">
        <f>VLOOKUP($D904,'[2]product Table data'!$A$2:$G$12,M$1,FALSE)</f>
        <v>Iran</v>
      </c>
      <c r="N904" t="str">
        <f>VLOOKUP($D904,'[2]product Table data'!$A$2:$G$12,N$1,FALSE)</f>
        <v>Middle East</v>
      </c>
      <c r="O904">
        <f>VLOOKUP($D904,'[2]product Table data'!$A$2:$G$12,O$1,FALSE)</f>
        <v>75</v>
      </c>
      <c r="P904">
        <f>VLOOKUP($D904,'[2]product Table data'!$A$2:$G$12,P$1,FALSE)</f>
        <v>125</v>
      </c>
      <c r="Q904">
        <f t="shared" si="70"/>
        <v>50</v>
      </c>
      <c r="R904" t="str">
        <f t="shared" si="71"/>
        <v>-</v>
      </c>
      <c r="S904" t="str">
        <f t="shared" si="72"/>
        <v>Style Risk</v>
      </c>
      <c r="T904" t="str">
        <f t="shared" si="73"/>
        <v>-</v>
      </c>
      <c r="U904" t="str">
        <f t="shared" si="74"/>
        <v>High Value</v>
      </c>
    </row>
    <row r="905" spans="1:21" hidden="1" x14ac:dyDescent="0.2">
      <c r="A905" s="2">
        <v>765</v>
      </c>
      <c r="B905" s="2" t="s">
        <v>9</v>
      </c>
      <c r="C905" s="2" t="s">
        <v>1308</v>
      </c>
      <c r="D905" s="2" t="s">
        <v>604</v>
      </c>
      <c r="E905" s="2">
        <v>33101</v>
      </c>
      <c r="F905" s="2" t="s">
        <v>1309</v>
      </c>
      <c r="G905" s="2" t="s">
        <v>13</v>
      </c>
      <c r="H905" s="2">
        <v>1</v>
      </c>
      <c r="I905" s="2" t="s">
        <v>17</v>
      </c>
      <c r="J905" s="2" t="str">
        <f>VLOOKUP(E905,[1]LL_Hub!$A$1:$B$13,2,FALSE)</f>
        <v>Miami</v>
      </c>
      <c r="K905" t="str">
        <f>VLOOKUP(D905,'[2]product Table data'!$A$2:$B$12,2,FALSE)</f>
        <v>Female</v>
      </c>
      <c r="L905" t="str">
        <f>VLOOKUP($D905,'[2]product Table data'!$A$2:$G$12,L$1,FALSE)</f>
        <v>Fancy Sheek</v>
      </c>
      <c r="M905" t="str">
        <f>VLOOKUP($D905,'[2]product Table data'!$A$2:$G$12,M$1,FALSE)</f>
        <v>Iran</v>
      </c>
      <c r="N905" t="str">
        <f>VLOOKUP($D905,'[2]product Table data'!$A$2:$G$12,N$1,FALSE)</f>
        <v>Middle East</v>
      </c>
      <c r="O905">
        <f>VLOOKUP($D905,'[2]product Table data'!$A$2:$G$12,O$1,FALSE)</f>
        <v>75</v>
      </c>
      <c r="P905">
        <f>VLOOKUP($D905,'[2]product Table data'!$A$2:$G$12,P$1,FALSE)</f>
        <v>125</v>
      </c>
      <c r="Q905">
        <f t="shared" si="70"/>
        <v>50</v>
      </c>
      <c r="R905" t="str">
        <f t="shared" si="71"/>
        <v>-</v>
      </c>
      <c r="S905" t="str">
        <f t="shared" si="72"/>
        <v>Style Risk</v>
      </c>
      <c r="T905" t="str">
        <f t="shared" si="73"/>
        <v>-</v>
      </c>
      <c r="U905" t="str">
        <f t="shared" si="74"/>
        <v>High Value</v>
      </c>
    </row>
    <row r="906" spans="1:21" hidden="1" x14ac:dyDescent="0.2">
      <c r="A906" s="2">
        <v>766</v>
      </c>
      <c r="B906" s="2" t="s">
        <v>9</v>
      </c>
      <c r="C906" s="2" t="s">
        <v>1310</v>
      </c>
      <c r="D906" s="2" t="s">
        <v>604</v>
      </c>
      <c r="E906" s="2">
        <v>33101</v>
      </c>
      <c r="F906" s="2" t="s">
        <v>1311</v>
      </c>
      <c r="G906" s="2" t="s">
        <v>13</v>
      </c>
      <c r="H906" s="2">
        <v>1</v>
      </c>
      <c r="I906" s="2" t="s">
        <v>17</v>
      </c>
      <c r="J906" s="2" t="str">
        <f>VLOOKUP(E906,[1]LL_Hub!$A$1:$B$13,2,FALSE)</f>
        <v>Miami</v>
      </c>
      <c r="K906" t="str">
        <f>VLOOKUP(D906,'[2]product Table data'!$A$2:$B$12,2,FALSE)</f>
        <v>Female</v>
      </c>
      <c r="L906" t="str">
        <f>VLOOKUP($D906,'[2]product Table data'!$A$2:$G$12,L$1,FALSE)</f>
        <v>Fancy Sheek</v>
      </c>
      <c r="M906" t="str">
        <f>VLOOKUP($D906,'[2]product Table data'!$A$2:$G$12,M$1,FALSE)</f>
        <v>Iran</v>
      </c>
      <c r="N906" t="str">
        <f>VLOOKUP($D906,'[2]product Table data'!$A$2:$G$12,N$1,FALSE)</f>
        <v>Middle East</v>
      </c>
      <c r="O906">
        <f>VLOOKUP($D906,'[2]product Table data'!$A$2:$G$12,O$1,FALSE)</f>
        <v>75</v>
      </c>
      <c r="P906">
        <f>VLOOKUP($D906,'[2]product Table data'!$A$2:$G$12,P$1,FALSE)</f>
        <v>125</v>
      </c>
      <c r="Q906">
        <f t="shared" si="70"/>
        <v>50</v>
      </c>
      <c r="R906" t="str">
        <f t="shared" si="71"/>
        <v>-</v>
      </c>
      <c r="S906" t="str">
        <f t="shared" si="72"/>
        <v>Style Risk</v>
      </c>
      <c r="T906" t="str">
        <f t="shared" si="73"/>
        <v>-</v>
      </c>
      <c r="U906" t="str">
        <f t="shared" si="74"/>
        <v>High Value</v>
      </c>
    </row>
    <row r="907" spans="1:21" hidden="1" x14ac:dyDescent="0.2">
      <c r="A907" s="2">
        <v>767</v>
      </c>
      <c r="B907" s="2" t="s">
        <v>9</v>
      </c>
      <c r="C907" s="2" t="s">
        <v>1312</v>
      </c>
      <c r="D907" s="2" t="s">
        <v>604</v>
      </c>
      <c r="E907" s="2">
        <v>33101</v>
      </c>
      <c r="F907" s="2" t="s">
        <v>1313</v>
      </c>
      <c r="G907" s="2" t="s">
        <v>13</v>
      </c>
      <c r="H907" s="2">
        <v>1</v>
      </c>
      <c r="I907" s="2" t="s">
        <v>17</v>
      </c>
      <c r="J907" s="2" t="str">
        <f>VLOOKUP(E907,[1]LL_Hub!$A$1:$B$13,2,FALSE)</f>
        <v>Miami</v>
      </c>
      <c r="K907" t="str">
        <f>VLOOKUP(D907,'[2]product Table data'!$A$2:$B$12,2,FALSE)</f>
        <v>Female</v>
      </c>
      <c r="L907" t="str">
        <f>VLOOKUP($D907,'[2]product Table data'!$A$2:$G$12,L$1,FALSE)</f>
        <v>Fancy Sheek</v>
      </c>
      <c r="M907" t="str">
        <f>VLOOKUP($D907,'[2]product Table data'!$A$2:$G$12,M$1,FALSE)</f>
        <v>Iran</v>
      </c>
      <c r="N907" t="str">
        <f>VLOOKUP($D907,'[2]product Table data'!$A$2:$G$12,N$1,FALSE)</f>
        <v>Middle East</v>
      </c>
      <c r="O907">
        <f>VLOOKUP($D907,'[2]product Table data'!$A$2:$G$12,O$1,FALSE)</f>
        <v>75</v>
      </c>
      <c r="P907">
        <f>VLOOKUP($D907,'[2]product Table data'!$A$2:$G$12,P$1,FALSE)</f>
        <v>125</v>
      </c>
      <c r="Q907">
        <f t="shared" si="70"/>
        <v>50</v>
      </c>
      <c r="R907" t="str">
        <f t="shared" si="71"/>
        <v>-</v>
      </c>
      <c r="S907" t="str">
        <f t="shared" si="72"/>
        <v>Style Risk</v>
      </c>
      <c r="T907" t="str">
        <f t="shared" si="73"/>
        <v>-</v>
      </c>
      <c r="U907" t="str">
        <f t="shared" si="74"/>
        <v>High Value</v>
      </c>
    </row>
    <row r="908" spans="1:21" hidden="1" x14ac:dyDescent="0.2">
      <c r="A908" s="2">
        <v>768</v>
      </c>
      <c r="B908" s="2" t="s">
        <v>9</v>
      </c>
      <c r="C908" s="2" t="s">
        <v>1314</v>
      </c>
      <c r="D908" s="2" t="s">
        <v>604</v>
      </c>
      <c r="E908" s="2">
        <v>33101</v>
      </c>
      <c r="F908" s="2" t="s">
        <v>1315</v>
      </c>
      <c r="G908" s="2" t="s">
        <v>13</v>
      </c>
      <c r="H908" s="2">
        <v>1</v>
      </c>
      <c r="I908" s="2" t="s">
        <v>17</v>
      </c>
      <c r="J908" s="2" t="str">
        <f>VLOOKUP(E908,[1]LL_Hub!$A$1:$B$13,2,FALSE)</f>
        <v>Miami</v>
      </c>
      <c r="K908" t="str">
        <f>VLOOKUP(D908,'[2]product Table data'!$A$2:$B$12,2,FALSE)</f>
        <v>Female</v>
      </c>
      <c r="L908" t="str">
        <f>VLOOKUP($D908,'[2]product Table data'!$A$2:$G$12,L$1,FALSE)</f>
        <v>Fancy Sheek</v>
      </c>
      <c r="M908" t="str">
        <f>VLOOKUP($D908,'[2]product Table data'!$A$2:$G$12,M$1,FALSE)</f>
        <v>Iran</v>
      </c>
      <c r="N908" t="str">
        <f>VLOOKUP($D908,'[2]product Table data'!$A$2:$G$12,N$1,FALSE)</f>
        <v>Middle East</v>
      </c>
      <c r="O908">
        <f>VLOOKUP($D908,'[2]product Table data'!$A$2:$G$12,O$1,FALSE)</f>
        <v>75</v>
      </c>
      <c r="P908">
        <f>VLOOKUP($D908,'[2]product Table data'!$A$2:$G$12,P$1,FALSE)</f>
        <v>125</v>
      </c>
      <c r="Q908">
        <f t="shared" si="70"/>
        <v>50</v>
      </c>
      <c r="R908" t="str">
        <f t="shared" si="71"/>
        <v>-</v>
      </c>
      <c r="S908" t="str">
        <f t="shared" si="72"/>
        <v>Style Risk</v>
      </c>
      <c r="T908" t="str">
        <f t="shared" si="73"/>
        <v>-</v>
      </c>
      <c r="U908" t="str">
        <f t="shared" si="74"/>
        <v>High Value</v>
      </c>
    </row>
    <row r="909" spans="1:21" hidden="1" x14ac:dyDescent="0.2">
      <c r="A909" s="2">
        <v>769</v>
      </c>
      <c r="B909" s="2" t="s">
        <v>9</v>
      </c>
      <c r="C909" s="2" t="s">
        <v>1316</v>
      </c>
      <c r="D909" s="2" t="s">
        <v>604</v>
      </c>
      <c r="E909" s="2">
        <v>33101</v>
      </c>
      <c r="F909" s="2" t="s">
        <v>1317</v>
      </c>
      <c r="G909" s="2" t="s">
        <v>13</v>
      </c>
      <c r="H909" s="2">
        <v>1</v>
      </c>
      <c r="I909" s="2" t="s">
        <v>17</v>
      </c>
      <c r="J909" s="2" t="str">
        <f>VLOOKUP(E909,[1]LL_Hub!$A$1:$B$13,2,FALSE)</f>
        <v>Miami</v>
      </c>
      <c r="K909" t="str">
        <f>VLOOKUP(D909,'[2]product Table data'!$A$2:$B$12,2,FALSE)</f>
        <v>Female</v>
      </c>
      <c r="L909" t="str">
        <f>VLOOKUP($D909,'[2]product Table data'!$A$2:$G$12,L$1,FALSE)</f>
        <v>Fancy Sheek</v>
      </c>
      <c r="M909" t="str">
        <f>VLOOKUP($D909,'[2]product Table data'!$A$2:$G$12,M$1,FALSE)</f>
        <v>Iran</v>
      </c>
      <c r="N909" t="str">
        <f>VLOOKUP($D909,'[2]product Table data'!$A$2:$G$12,N$1,FALSE)</f>
        <v>Middle East</v>
      </c>
      <c r="O909">
        <f>VLOOKUP($D909,'[2]product Table data'!$A$2:$G$12,O$1,FALSE)</f>
        <v>75</v>
      </c>
      <c r="P909">
        <f>VLOOKUP($D909,'[2]product Table data'!$A$2:$G$12,P$1,FALSE)</f>
        <v>125</v>
      </c>
      <c r="Q909">
        <f t="shared" si="70"/>
        <v>50</v>
      </c>
      <c r="R909" t="str">
        <f t="shared" si="71"/>
        <v>-</v>
      </c>
      <c r="S909" t="str">
        <f t="shared" si="72"/>
        <v>Style Risk</v>
      </c>
      <c r="T909" t="str">
        <f t="shared" si="73"/>
        <v>-</v>
      </c>
      <c r="U909" t="str">
        <f t="shared" si="74"/>
        <v>High Value</v>
      </c>
    </row>
    <row r="910" spans="1:21" hidden="1" x14ac:dyDescent="0.2">
      <c r="A910" s="2">
        <v>770</v>
      </c>
      <c r="B910" s="2" t="s">
        <v>9</v>
      </c>
      <c r="C910" s="2" t="s">
        <v>1318</v>
      </c>
      <c r="D910" s="2" t="s">
        <v>604</v>
      </c>
      <c r="E910" s="2">
        <v>33101</v>
      </c>
      <c r="F910" s="2" t="s">
        <v>1319</v>
      </c>
      <c r="G910" s="2" t="s">
        <v>13</v>
      </c>
      <c r="H910" s="2">
        <v>1</v>
      </c>
      <c r="I910" s="2" t="s">
        <v>17</v>
      </c>
      <c r="J910" s="2" t="str">
        <f>VLOOKUP(E910,[1]LL_Hub!$A$1:$B$13,2,FALSE)</f>
        <v>Miami</v>
      </c>
      <c r="K910" t="str">
        <f>VLOOKUP(D910,'[2]product Table data'!$A$2:$B$12,2,FALSE)</f>
        <v>Female</v>
      </c>
      <c r="L910" t="str">
        <f>VLOOKUP($D910,'[2]product Table data'!$A$2:$G$12,L$1,FALSE)</f>
        <v>Fancy Sheek</v>
      </c>
      <c r="M910" t="str">
        <f>VLOOKUP($D910,'[2]product Table data'!$A$2:$G$12,M$1,FALSE)</f>
        <v>Iran</v>
      </c>
      <c r="N910" t="str">
        <f>VLOOKUP($D910,'[2]product Table data'!$A$2:$G$12,N$1,FALSE)</f>
        <v>Middle East</v>
      </c>
      <c r="O910">
        <f>VLOOKUP($D910,'[2]product Table data'!$A$2:$G$12,O$1,FALSE)</f>
        <v>75</v>
      </c>
      <c r="P910">
        <f>VLOOKUP($D910,'[2]product Table data'!$A$2:$G$12,P$1,FALSE)</f>
        <v>125</v>
      </c>
      <c r="Q910">
        <f t="shared" si="70"/>
        <v>50</v>
      </c>
      <c r="R910" t="str">
        <f t="shared" si="71"/>
        <v>-</v>
      </c>
      <c r="S910" t="str">
        <f t="shared" si="72"/>
        <v>Style Risk</v>
      </c>
      <c r="T910" t="str">
        <f t="shared" si="73"/>
        <v>-</v>
      </c>
      <c r="U910" t="str">
        <f t="shared" si="74"/>
        <v>High Value</v>
      </c>
    </row>
    <row r="911" spans="1:21" hidden="1" x14ac:dyDescent="0.2">
      <c r="A911" s="2">
        <v>771</v>
      </c>
      <c r="B911" s="2" t="s">
        <v>9</v>
      </c>
      <c r="C911" s="2" t="s">
        <v>1320</v>
      </c>
      <c r="D911" s="2" t="s">
        <v>604</v>
      </c>
      <c r="E911" s="2">
        <v>33101</v>
      </c>
      <c r="F911" s="2" t="s">
        <v>1321</v>
      </c>
      <c r="G911" s="2" t="s">
        <v>13</v>
      </c>
      <c r="H911" s="2">
        <v>1</v>
      </c>
      <c r="I911" s="2" t="s">
        <v>17</v>
      </c>
      <c r="J911" s="2" t="str">
        <f>VLOOKUP(E911,[1]LL_Hub!$A$1:$B$13,2,FALSE)</f>
        <v>Miami</v>
      </c>
      <c r="K911" t="str">
        <f>VLOOKUP(D911,'[2]product Table data'!$A$2:$B$12,2,FALSE)</f>
        <v>Female</v>
      </c>
      <c r="L911" t="str">
        <f>VLOOKUP($D911,'[2]product Table data'!$A$2:$G$12,L$1,FALSE)</f>
        <v>Fancy Sheek</v>
      </c>
      <c r="M911" t="str">
        <f>VLOOKUP($D911,'[2]product Table data'!$A$2:$G$12,M$1,FALSE)</f>
        <v>Iran</v>
      </c>
      <c r="N911" t="str">
        <f>VLOOKUP($D911,'[2]product Table data'!$A$2:$G$12,N$1,FALSE)</f>
        <v>Middle East</v>
      </c>
      <c r="O911">
        <f>VLOOKUP($D911,'[2]product Table data'!$A$2:$G$12,O$1,FALSE)</f>
        <v>75</v>
      </c>
      <c r="P911">
        <f>VLOOKUP($D911,'[2]product Table data'!$A$2:$G$12,P$1,FALSE)</f>
        <v>125</v>
      </c>
      <c r="Q911">
        <f t="shared" si="70"/>
        <v>50</v>
      </c>
      <c r="R911" t="str">
        <f t="shared" si="71"/>
        <v>-</v>
      </c>
      <c r="S911" t="str">
        <f t="shared" si="72"/>
        <v>Style Risk</v>
      </c>
      <c r="T911" t="str">
        <f t="shared" si="73"/>
        <v>-</v>
      </c>
      <c r="U911" t="str">
        <f t="shared" si="74"/>
        <v>High Value</v>
      </c>
    </row>
    <row r="912" spans="1:21" hidden="1" x14ac:dyDescent="0.2">
      <c r="A912" s="2">
        <v>772</v>
      </c>
      <c r="B912" s="2" t="s">
        <v>9</v>
      </c>
      <c r="C912" s="2" t="s">
        <v>1322</v>
      </c>
      <c r="D912" s="2" t="s">
        <v>604</v>
      </c>
      <c r="E912" s="2">
        <v>33101</v>
      </c>
      <c r="F912" s="2" t="s">
        <v>1323</v>
      </c>
      <c r="G912" s="2" t="s">
        <v>13</v>
      </c>
      <c r="H912" s="2">
        <v>1</v>
      </c>
      <c r="I912" s="2" t="s">
        <v>17</v>
      </c>
      <c r="J912" s="2" t="str">
        <f>VLOOKUP(E912,[1]LL_Hub!$A$1:$B$13,2,FALSE)</f>
        <v>Miami</v>
      </c>
      <c r="K912" t="str">
        <f>VLOOKUP(D912,'[2]product Table data'!$A$2:$B$12,2,FALSE)</f>
        <v>Female</v>
      </c>
      <c r="L912" t="str">
        <f>VLOOKUP($D912,'[2]product Table data'!$A$2:$G$12,L$1,FALSE)</f>
        <v>Fancy Sheek</v>
      </c>
      <c r="M912" t="str">
        <f>VLOOKUP($D912,'[2]product Table data'!$A$2:$G$12,M$1,FALSE)</f>
        <v>Iran</v>
      </c>
      <c r="N912" t="str">
        <f>VLOOKUP($D912,'[2]product Table data'!$A$2:$G$12,N$1,FALSE)</f>
        <v>Middle East</v>
      </c>
      <c r="O912">
        <f>VLOOKUP($D912,'[2]product Table data'!$A$2:$G$12,O$1,FALSE)</f>
        <v>75</v>
      </c>
      <c r="P912">
        <f>VLOOKUP($D912,'[2]product Table data'!$A$2:$G$12,P$1,FALSE)</f>
        <v>125</v>
      </c>
      <c r="Q912">
        <f t="shared" si="70"/>
        <v>50</v>
      </c>
      <c r="R912" t="str">
        <f t="shared" si="71"/>
        <v>-</v>
      </c>
      <c r="S912" t="str">
        <f t="shared" si="72"/>
        <v>Style Risk</v>
      </c>
      <c r="T912" t="str">
        <f t="shared" si="73"/>
        <v>-</v>
      </c>
      <c r="U912" t="str">
        <f t="shared" si="74"/>
        <v>High Value</v>
      </c>
    </row>
    <row r="913" spans="1:21" hidden="1" x14ac:dyDescent="0.2">
      <c r="A913" s="2">
        <v>773</v>
      </c>
      <c r="B913" s="2" t="s">
        <v>9</v>
      </c>
      <c r="C913" s="2" t="s">
        <v>1324</v>
      </c>
      <c r="D913" s="2" t="s">
        <v>604</v>
      </c>
      <c r="E913" s="2">
        <v>33101</v>
      </c>
      <c r="F913" s="2" t="s">
        <v>1325</v>
      </c>
      <c r="G913" s="2" t="s">
        <v>13</v>
      </c>
      <c r="H913" s="2">
        <v>1</v>
      </c>
      <c r="I913" s="2" t="s">
        <v>17</v>
      </c>
      <c r="J913" s="2" t="str">
        <f>VLOOKUP(E913,[1]LL_Hub!$A$1:$B$13,2,FALSE)</f>
        <v>Miami</v>
      </c>
      <c r="K913" t="str">
        <f>VLOOKUP(D913,'[2]product Table data'!$A$2:$B$12,2,FALSE)</f>
        <v>Female</v>
      </c>
      <c r="L913" t="str">
        <f>VLOOKUP($D913,'[2]product Table data'!$A$2:$G$12,L$1,FALSE)</f>
        <v>Fancy Sheek</v>
      </c>
      <c r="M913" t="str">
        <f>VLOOKUP($D913,'[2]product Table data'!$A$2:$G$12,M$1,FALSE)</f>
        <v>Iran</v>
      </c>
      <c r="N913" t="str">
        <f>VLOOKUP($D913,'[2]product Table data'!$A$2:$G$12,N$1,FALSE)</f>
        <v>Middle East</v>
      </c>
      <c r="O913">
        <f>VLOOKUP($D913,'[2]product Table data'!$A$2:$G$12,O$1,FALSE)</f>
        <v>75</v>
      </c>
      <c r="P913">
        <f>VLOOKUP($D913,'[2]product Table data'!$A$2:$G$12,P$1,FALSE)</f>
        <v>125</v>
      </c>
      <c r="Q913">
        <f t="shared" si="70"/>
        <v>50</v>
      </c>
      <c r="R913" t="str">
        <f t="shared" si="71"/>
        <v>-</v>
      </c>
      <c r="S913" t="str">
        <f t="shared" si="72"/>
        <v>Style Risk</v>
      </c>
      <c r="T913" t="str">
        <f t="shared" si="73"/>
        <v>-</v>
      </c>
      <c r="U913" t="str">
        <f t="shared" si="74"/>
        <v>High Value</v>
      </c>
    </row>
    <row r="914" spans="1:21" hidden="1" x14ac:dyDescent="0.2">
      <c r="A914" s="2">
        <v>774</v>
      </c>
      <c r="B914" s="2" t="s">
        <v>9</v>
      </c>
      <c r="C914" s="2" t="s">
        <v>1326</v>
      </c>
      <c r="D914" s="2" t="s">
        <v>604</v>
      </c>
      <c r="E914" s="2">
        <v>33101</v>
      </c>
      <c r="F914" s="2" t="s">
        <v>1327</v>
      </c>
      <c r="G914" s="2" t="s">
        <v>13</v>
      </c>
      <c r="H914" s="2">
        <v>1</v>
      </c>
      <c r="I914" s="2" t="s">
        <v>17</v>
      </c>
      <c r="J914" s="2" t="str">
        <f>VLOOKUP(E914,[1]LL_Hub!$A$1:$B$13,2,FALSE)</f>
        <v>Miami</v>
      </c>
      <c r="K914" t="str">
        <f>VLOOKUP(D914,'[2]product Table data'!$A$2:$B$12,2,FALSE)</f>
        <v>Female</v>
      </c>
      <c r="L914" t="str">
        <f>VLOOKUP($D914,'[2]product Table data'!$A$2:$G$12,L$1,FALSE)</f>
        <v>Fancy Sheek</v>
      </c>
      <c r="M914" t="str">
        <f>VLOOKUP($D914,'[2]product Table data'!$A$2:$G$12,M$1,FALSE)</f>
        <v>Iran</v>
      </c>
      <c r="N914" t="str">
        <f>VLOOKUP($D914,'[2]product Table data'!$A$2:$G$12,N$1,FALSE)</f>
        <v>Middle East</v>
      </c>
      <c r="O914">
        <f>VLOOKUP($D914,'[2]product Table data'!$A$2:$G$12,O$1,FALSE)</f>
        <v>75</v>
      </c>
      <c r="P914">
        <f>VLOOKUP($D914,'[2]product Table data'!$A$2:$G$12,P$1,FALSE)</f>
        <v>125</v>
      </c>
      <c r="Q914">
        <f t="shared" si="70"/>
        <v>50</v>
      </c>
      <c r="R914" t="str">
        <f t="shared" si="71"/>
        <v>-</v>
      </c>
      <c r="S914" t="str">
        <f t="shared" si="72"/>
        <v>Style Risk</v>
      </c>
      <c r="T914" t="str">
        <f t="shared" si="73"/>
        <v>-</v>
      </c>
      <c r="U914" t="str">
        <f t="shared" si="74"/>
        <v>High Value</v>
      </c>
    </row>
    <row r="915" spans="1:21" hidden="1" x14ac:dyDescent="0.2">
      <c r="A915" s="2">
        <v>775</v>
      </c>
      <c r="B915" s="2" t="s">
        <v>9</v>
      </c>
      <c r="C915" s="2" t="s">
        <v>1328</v>
      </c>
      <c r="D915" s="2" t="s">
        <v>604</v>
      </c>
      <c r="E915" s="2">
        <v>33101</v>
      </c>
      <c r="F915" s="2" t="s">
        <v>1329</v>
      </c>
      <c r="G915" s="2" t="s">
        <v>13</v>
      </c>
      <c r="H915" s="2">
        <v>1</v>
      </c>
      <c r="I915" s="2" t="s">
        <v>17</v>
      </c>
      <c r="J915" s="2" t="str">
        <f>VLOOKUP(E915,[1]LL_Hub!$A$1:$B$13,2,FALSE)</f>
        <v>Miami</v>
      </c>
      <c r="K915" t="str">
        <f>VLOOKUP(D915,'[2]product Table data'!$A$2:$B$12,2,FALSE)</f>
        <v>Female</v>
      </c>
      <c r="L915" t="str">
        <f>VLOOKUP($D915,'[2]product Table data'!$A$2:$G$12,L$1,FALSE)</f>
        <v>Fancy Sheek</v>
      </c>
      <c r="M915" t="str">
        <f>VLOOKUP($D915,'[2]product Table data'!$A$2:$G$12,M$1,FALSE)</f>
        <v>Iran</v>
      </c>
      <c r="N915" t="str">
        <f>VLOOKUP($D915,'[2]product Table data'!$A$2:$G$12,N$1,FALSE)</f>
        <v>Middle East</v>
      </c>
      <c r="O915">
        <f>VLOOKUP($D915,'[2]product Table data'!$A$2:$G$12,O$1,FALSE)</f>
        <v>75</v>
      </c>
      <c r="P915">
        <f>VLOOKUP($D915,'[2]product Table data'!$A$2:$G$12,P$1,FALSE)</f>
        <v>125</v>
      </c>
      <c r="Q915">
        <f t="shared" si="70"/>
        <v>50</v>
      </c>
      <c r="R915" t="str">
        <f t="shared" si="71"/>
        <v>-</v>
      </c>
      <c r="S915" t="str">
        <f t="shared" si="72"/>
        <v>Style Risk</v>
      </c>
      <c r="T915" t="str">
        <f t="shared" si="73"/>
        <v>-</v>
      </c>
      <c r="U915" t="str">
        <f t="shared" si="74"/>
        <v>High Value</v>
      </c>
    </row>
    <row r="916" spans="1:21" hidden="1" x14ac:dyDescent="0.2">
      <c r="A916" s="2">
        <v>776</v>
      </c>
      <c r="B916" s="2" t="s">
        <v>9</v>
      </c>
      <c r="C916" s="2" t="s">
        <v>1330</v>
      </c>
      <c r="D916" s="2" t="s">
        <v>604</v>
      </c>
      <c r="E916" s="2">
        <v>33101</v>
      </c>
      <c r="F916" s="2" t="s">
        <v>1331</v>
      </c>
      <c r="G916" s="2" t="s">
        <v>13</v>
      </c>
      <c r="H916" s="2">
        <v>1</v>
      </c>
      <c r="I916" s="2" t="s">
        <v>17</v>
      </c>
      <c r="J916" s="2" t="str">
        <f>VLOOKUP(E916,[1]LL_Hub!$A$1:$B$13,2,FALSE)</f>
        <v>Miami</v>
      </c>
      <c r="K916" t="str">
        <f>VLOOKUP(D916,'[2]product Table data'!$A$2:$B$12,2,FALSE)</f>
        <v>Female</v>
      </c>
      <c r="L916" t="str">
        <f>VLOOKUP($D916,'[2]product Table data'!$A$2:$G$12,L$1,FALSE)</f>
        <v>Fancy Sheek</v>
      </c>
      <c r="M916" t="str">
        <f>VLOOKUP($D916,'[2]product Table data'!$A$2:$G$12,M$1,FALSE)</f>
        <v>Iran</v>
      </c>
      <c r="N916" t="str">
        <f>VLOOKUP($D916,'[2]product Table data'!$A$2:$G$12,N$1,FALSE)</f>
        <v>Middle East</v>
      </c>
      <c r="O916">
        <f>VLOOKUP($D916,'[2]product Table data'!$A$2:$G$12,O$1,FALSE)</f>
        <v>75</v>
      </c>
      <c r="P916">
        <f>VLOOKUP($D916,'[2]product Table data'!$A$2:$G$12,P$1,FALSE)</f>
        <v>125</v>
      </c>
      <c r="Q916">
        <f t="shared" si="70"/>
        <v>50</v>
      </c>
      <c r="R916" t="str">
        <f t="shared" si="71"/>
        <v>-</v>
      </c>
      <c r="S916" t="str">
        <f t="shared" si="72"/>
        <v>Style Risk</v>
      </c>
      <c r="T916" t="str">
        <f t="shared" si="73"/>
        <v>-</v>
      </c>
      <c r="U916" t="str">
        <f t="shared" si="74"/>
        <v>High Value</v>
      </c>
    </row>
    <row r="917" spans="1:21" hidden="1" x14ac:dyDescent="0.2">
      <c r="A917" s="2">
        <v>777</v>
      </c>
      <c r="B917" s="2" t="s">
        <v>9</v>
      </c>
      <c r="C917" s="2" t="s">
        <v>1332</v>
      </c>
      <c r="D917" s="2" t="s">
        <v>604</v>
      </c>
      <c r="E917" s="2">
        <v>33101</v>
      </c>
      <c r="F917" s="2" t="s">
        <v>1333</v>
      </c>
      <c r="G917" s="2" t="s">
        <v>13</v>
      </c>
      <c r="H917" s="2">
        <v>1</v>
      </c>
      <c r="I917" s="2" t="s">
        <v>17</v>
      </c>
      <c r="J917" s="2" t="str">
        <f>VLOOKUP(E917,[1]LL_Hub!$A$1:$B$13,2,FALSE)</f>
        <v>Miami</v>
      </c>
      <c r="K917" t="str">
        <f>VLOOKUP(D917,'[2]product Table data'!$A$2:$B$12,2,FALSE)</f>
        <v>Female</v>
      </c>
      <c r="L917" t="str">
        <f>VLOOKUP($D917,'[2]product Table data'!$A$2:$G$12,L$1,FALSE)</f>
        <v>Fancy Sheek</v>
      </c>
      <c r="M917" t="str">
        <f>VLOOKUP($D917,'[2]product Table data'!$A$2:$G$12,M$1,FALSE)</f>
        <v>Iran</v>
      </c>
      <c r="N917" t="str">
        <f>VLOOKUP($D917,'[2]product Table data'!$A$2:$G$12,N$1,FALSE)</f>
        <v>Middle East</v>
      </c>
      <c r="O917">
        <f>VLOOKUP($D917,'[2]product Table data'!$A$2:$G$12,O$1,FALSE)</f>
        <v>75</v>
      </c>
      <c r="P917">
        <f>VLOOKUP($D917,'[2]product Table data'!$A$2:$G$12,P$1,FALSE)</f>
        <v>125</v>
      </c>
      <c r="Q917">
        <f t="shared" si="70"/>
        <v>50</v>
      </c>
      <c r="R917" t="str">
        <f t="shared" si="71"/>
        <v>-</v>
      </c>
      <c r="S917" t="str">
        <f t="shared" si="72"/>
        <v>Style Risk</v>
      </c>
      <c r="T917" t="str">
        <f t="shared" si="73"/>
        <v>-</v>
      </c>
      <c r="U917" t="str">
        <f t="shared" si="74"/>
        <v>High Value</v>
      </c>
    </row>
    <row r="918" spans="1:21" hidden="1" x14ac:dyDescent="0.2">
      <c r="A918" s="2">
        <v>778</v>
      </c>
      <c r="B918" s="2" t="s">
        <v>9</v>
      </c>
      <c r="C918" s="2" t="s">
        <v>1334</v>
      </c>
      <c r="D918" s="2" t="s">
        <v>604</v>
      </c>
      <c r="E918" s="2">
        <v>33101</v>
      </c>
      <c r="F918" s="2" t="s">
        <v>1335</v>
      </c>
      <c r="G918" s="2" t="s">
        <v>13</v>
      </c>
      <c r="H918" s="2">
        <v>1</v>
      </c>
      <c r="I918" s="2" t="s">
        <v>17</v>
      </c>
      <c r="J918" s="2" t="str">
        <f>VLOOKUP(E918,[1]LL_Hub!$A$1:$B$13,2,FALSE)</f>
        <v>Miami</v>
      </c>
      <c r="K918" t="str">
        <f>VLOOKUP(D918,'[2]product Table data'!$A$2:$B$12,2,FALSE)</f>
        <v>Female</v>
      </c>
      <c r="L918" t="str">
        <f>VLOOKUP($D918,'[2]product Table data'!$A$2:$G$12,L$1,FALSE)</f>
        <v>Fancy Sheek</v>
      </c>
      <c r="M918" t="str">
        <f>VLOOKUP($D918,'[2]product Table data'!$A$2:$G$12,M$1,FALSE)</f>
        <v>Iran</v>
      </c>
      <c r="N918" t="str">
        <f>VLOOKUP($D918,'[2]product Table data'!$A$2:$G$12,N$1,FALSE)</f>
        <v>Middle East</v>
      </c>
      <c r="O918">
        <f>VLOOKUP($D918,'[2]product Table data'!$A$2:$G$12,O$1,FALSE)</f>
        <v>75</v>
      </c>
      <c r="P918">
        <f>VLOOKUP($D918,'[2]product Table data'!$A$2:$G$12,P$1,FALSE)</f>
        <v>125</v>
      </c>
      <c r="Q918">
        <f t="shared" si="70"/>
        <v>50</v>
      </c>
      <c r="R918" t="str">
        <f t="shared" si="71"/>
        <v>-</v>
      </c>
      <c r="S918" t="str">
        <f t="shared" si="72"/>
        <v>Style Risk</v>
      </c>
      <c r="T918" t="str">
        <f t="shared" si="73"/>
        <v>-</v>
      </c>
      <c r="U918" t="str">
        <f t="shared" si="74"/>
        <v>High Value</v>
      </c>
    </row>
    <row r="919" spans="1:21" hidden="1" x14ac:dyDescent="0.2">
      <c r="A919" s="2">
        <v>779</v>
      </c>
      <c r="B919" s="2" t="s">
        <v>9</v>
      </c>
      <c r="C919" s="2" t="s">
        <v>1336</v>
      </c>
      <c r="D919" s="2" t="s">
        <v>604</v>
      </c>
      <c r="E919" s="2">
        <v>33101</v>
      </c>
      <c r="F919" s="2" t="s">
        <v>1337</v>
      </c>
      <c r="G919" s="2" t="s">
        <v>13</v>
      </c>
      <c r="H919" s="2">
        <v>1</v>
      </c>
      <c r="I919" s="2" t="s">
        <v>17</v>
      </c>
      <c r="J919" s="2" t="str">
        <f>VLOOKUP(E919,[1]LL_Hub!$A$1:$B$13,2,FALSE)</f>
        <v>Miami</v>
      </c>
      <c r="K919" t="str">
        <f>VLOOKUP(D919,'[2]product Table data'!$A$2:$B$12,2,FALSE)</f>
        <v>Female</v>
      </c>
      <c r="L919" t="str">
        <f>VLOOKUP($D919,'[2]product Table data'!$A$2:$G$12,L$1,FALSE)</f>
        <v>Fancy Sheek</v>
      </c>
      <c r="M919" t="str">
        <f>VLOOKUP($D919,'[2]product Table data'!$A$2:$G$12,M$1,FALSE)</f>
        <v>Iran</v>
      </c>
      <c r="N919" t="str">
        <f>VLOOKUP($D919,'[2]product Table data'!$A$2:$G$12,N$1,FALSE)</f>
        <v>Middle East</v>
      </c>
      <c r="O919">
        <f>VLOOKUP($D919,'[2]product Table data'!$A$2:$G$12,O$1,FALSE)</f>
        <v>75</v>
      </c>
      <c r="P919">
        <f>VLOOKUP($D919,'[2]product Table data'!$A$2:$G$12,P$1,FALSE)</f>
        <v>125</v>
      </c>
      <c r="Q919">
        <f t="shared" si="70"/>
        <v>50</v>
      </c>
      <c r="R919" t="str">
        <f t="shared" si="71"/>
        <v>-</v>
      </c>
      <c r="S919" t="str">
        <f t="shared" si="72"/>
        <v>Style Risk</v>
      </c>
      <c r="T919" t="str">
        <f t="shared" si="73"/>
        <v>-</v>
      </c>
      <c r="U919" t="str">
        <f t="shared" si="74"/>
        <v>High Value</v>
      </c>
    </row>
    <row r="920" spans="1:21" hidden="1" x14ac:dyDescent="0.2">
      <c r="A920" s="2">
        <v>780</v>
      </c>
      <c r="B920" s="2" t="s">
        <v>9</v>
      </c>
      <c r="C920" s="2" t="s">
        <v>1338</v>
      </c>
      <c r="D920" s="2" t="s">
        <v>604</v>
      </c>
      <c r="E920" s="2">
        <v>33101</v>
      </c>
      <c r="F920" s="2" t="s">
        <v>98</v>
      </c>
      <c r="G920" s="2" t="s">
        <v>36</v>
      </c>
      <c r="H920" s="2">
        <v>1</v>
      </c>
      <c r="I920" s="2" t="s">
        <v>17</v>
      </c>
      <c r="J920" s="2" t="str">
        <f>VLOOKUP(E920,[1]LL_Hub!$A$1:$B$13,2,FALSE)</f>
        <v>Miami</v>
      </c>
      <c r="K920" t="str">
        <f>VLOOKUP(D920,'[2]product Table data'!$A$2:$B$12,2,FALSE)</f>
        <v>Female</v>
      </c>
      <c r="L920" t="str">
        <f>VLOOKUP($D920,'[2]product Table data'!$A$2:$G$12,L$1,FALSE)</f>
        <v>Fancy Sheek</v>
      </c>
      <c r="M920" t="str">
        <f>VLOOKUP($D920,'[2]product Table data'!$A$2:$G$12,M$1,FALSE)</f>
        <v>Iran</v>
      </c>
      <c r="N920" t="str">
        <f>VLOOKUP($D920,'[2]product Table data'!$A$2:$G$12,N$1,FALSE)</f>
        <v>Middle East</v>
      </c>
      <c r="O920">
        <f>VLOOKUP($D920,'[2]product Table data'!$A$2:$G$12,O$1,FALSE)</f>
        <v>75</v>
      </c>
      <c r="P920">
        <f>VLOOKUP($D920,'[2]product Table data'!$A$2:$G$12,P$1,FALSE)</f>
        <v>125</v>
      </c>
      <c r="Q920">
        <f t="shared" si="70"/>
        <v>50</v>
      </c>
      <c r="R920" t="str">
        <f t="shared" si="71"/>
        <v>-</v>
      </c>
      <c r="S920" t="str">
        <f t="shared" si="72"/>
        <v>Style Risk</v>
      </c>
      <c r="T920" t="str">
        <f t="shared" si="73"/>
        <v>-</v>
      </c>
      <c r="U920" t="str">
        <f t="shared" si="74"/>
        <v>High Value</v>
      </c>
    </row>
    <row r="921" spans="1:21" hidden="1" x14ac:dyDescent="0.2">
      <c r="A921" s="2">
        <v>782</v>
      </c>
      <c r="B921" s="2" t="s">
        <v>9</v>
      </c>
      <c r="C921" s="2" t="s">
        <v>1339</v>
      </c>
      <c r="D921" s="2" t="s">
        <v>604</v>
      </c>
      <c r="E921" s="2">
        <v>33101</v>
      </c>
      <c r="F921" s="2" t="s">
        <v>98</v>
      </c>
      <c r="G921" s="2" t="s">
        <v>36</v>
      </c>
      <c r="H921" s="2">
        <v>1</v>
      </c>
      <c r="I921" s="2" t="s">
        <v>17</v>
      </c>
      <c r="J921" s="2" t="str">
        <f>VLOOKUP(E921,[1]LL_Hub!$A$1:$B$13,2,FALSE)</f>
        <v>Miami</v>
      </c>
      <c r="K921" t="str">
        <f>VLOOKUP(D921,'[2]product Table data'!$A$2:$B$12,2,FALSE)</f>
        <v>Female</v>
      </c>
      <c r="L921" t="str">
        <f>VLOOKUP($D921,'[2]product Table data'!$A$2:$G$12,L$1,FALSE)</f>
        <v>Fancy Sheek</v>
      </c>
      <c r="M921" t="str">
        <f>VLOOKUP($D921,'[2]product Table data'!$A$2:$G$12,M$1,FALSE)</f>
        <v>Iran</v>
      </c>
      <c r="N921" t="str">
        <f>VLOOKUP($D921,'[2]product Table data'!$A$2:$G$12,N$1,FALSE)</f>
        <v>Middle East</v>
      </c>
      <c r="O921">
        <f>VLOOKUP($D921,'[2]product Table data'!$A$2:$G$12,O$1,FALSE)</f>
        <v>75</v>
      </c>
      <c r="P921">
        <f>VLOOKUP($D921,'[2]product Table data'!$A$2:$G$12,P$1,FALSE)</f>
        <v>125</v>
      </c>
      <c r="Q921">
        <f t="shared" si="70"/>
        <v>50</v>
      </c>
      <c r="R921" t="str">
        <f t="shared" si="71"/>
        <v>-</v>
      </c>
      <c r="S921" t="str">
        <f t="shared" si="72"/>
        <v>Style Risk</v>
      </c>
      <c r="T921" t="str">
        <f t="shared" si="73"/>
        <v>-</v>
      </c>
      <c r="U921" t="str">
        <f t="shared" si="74"/>
        <v>High Value</v>
      </c>
    </row>
    <row r="922" spans="1:21" hidden="1" x14ac:dyDescent="0.2">
      <c r="A922" s="2">
        <v>783</v>
      </c>
      <c r="B922" s="2" t="s">
        <v>9</v>
      </c>
      <c r="C922" s="2" t="s">
        <v>1340</v>
      </c>
      <c r="D922" s="2" t="s">
        <v>604</v>
      </c>
      <c r="E922" s="2">
        <v>33101</v>
      </c>
      <c r="F922" s="2" t="s">
        <v>98</v>
      </c>
      <c r="G922" s="2" t="s">
        <v>36</v>
      </c>
      <c r="H922" s="2">
        <v>1</v>
      </c>
      <c r="I922" s="2" t="s">
        <v>17</v>
      </c>
      <c r="J922" s="2" t="str">
        <f>VLOOKUP(E922,[1]LL_Hub!$A$1:$B$13,2,FALSE)</f>
        <v>Miami</v>
      </c>
      <c r="K922" t="str">
        <f>VLOOKUP(D922,'[2]product Table data'!$A$2:$B$12,2,FALSE)</f>
        <v>Female</v>
      </c>
      <c r="L922" t="str">
        <f>VLOOKUP($D922,'[2]product Table data'!$A$2:$G$12,L$1,FALSE)</f>
        <v>Fancy Sheek</v>
      </c>
      <c r="M922" t="str">
        <f>VLOOKUP($D922,'[2]product Table data'!$A$2:$G$12,M$1,FALSE)</f>
        <v>Iran</v>
      </c>
      <c r="N922" t="str">
        <f>VLOOKUP($D922,'[2]product Table data'!$A$2:$G$12,N$1,FALSE)</f>
        <v>Middle East</v>
      </c>
      <c r="O922">
        <f>VLOOKUP($D922,'[2]product Table data'!$A$2:$G$12,O$1,FALSE)</f>
        <v>75</v>
      </c>
      <c r="P922">
        <f>VLOOKUP($D922,'[2]product Table data'!$A$2:$G$12,P$1,FALSE)</f>
        <v>125</v>
      </c>
      <c r="Q922">
        <f t="shared" si="70"/>
        <v>50</v>
      </c>
      <c r="R922" t="str">
        <f t="shared" si="71"/>
        <v>-</v>
      </c>
      <c r="S922" t="str">
        <f t="shared" si="72"/>
        <v>Style Risk</v>
      </c>
      <c r="T922" t="str">
        <f t="shared" si="73"/>
        <v>-</v>
      </c>
      <c r="U922" t="str">
        <f t="shared" si="74"/>
        <v>High Value</v>
      </c>
    </row>
    <row r="923" spans="1:21" hidden="1" x14ac:dyDescent="0.2">
      <c r="A923" s="2">
        <v>784</v>
      </c>
      <c r="B923" s="2" t="s">
        <v>9</v>
      </c>
      <c r="C923" s="2" t="s">
        <v>1341</v>
      </c>
      <c r="D923" s="2" t="s">
        <v>604</v>
      </c>
      <c r="E923" s="2">
        <v>33101</v>
      </c>
      <c r="F923" s="2" t="s">
        <v>98</v>
      </c>
      <c r="G923" s="2" t="s">
        <v>36</v>
      </c>
      <c r="H923" s="2">
        <v>1</v>
      </c>
      <c r="I923" s="2" t="s">
        <v>17</v>
      </c>
      <c r="J923" s="2" t="str">
        <f>VLOOKUP(E923,[1]LL_Hub!$A$1:$B$13,2,FALSE)</f>
        <v>Miami</v>
      </c>
      <c r="K923" t="str">
        <f>VLOOKUP(D923,'[2]product Table data'!$A$2:$B$12,2,FALSE)</f>
        <v>Female</v>
      </c>
      <c r="L923" t="str">
        <f>VLOOKUP($D923,'[2]product Table data'!$A$2:$G$12,L$1,FALSE)</f>
        <v>Fancy Sheek</v>
      </c>
      <c r="M923" t="str">
        <f>VLOOKUP($D923,'[2]product Table data'!$A$2:$G$12,M$1,FALSE)</f>
        <v>Iran</v>
      </c>
      <c r="N923" t="str">
        <f>VLOOKUP($D923,'[2]product Table data'!$A$2:$G$12,N$1,FALSE)</f>
        <v>Middle East</v>
      </c>
      <c r="O923">
        <f>VLOOKUP($D923,'[2]product Table data'!$A$2:$G$12,O$1,FALSE)</f>
        <v>75</v>
      </c>
      <c r="P923">
        <f>VLOOKUP($D923,'[2]product Table data'!$A$2:$G$12,P$1,FALSE)</f>
        <v>125</v>
      </c>
      <c r="Q923">
        <f t="shared" si="70"/>
        <v>50</v>
      </c>
      <c r="R923" t="str">
        <f t="shared" si="71"/>
        <v>-</v>
      </c>
      <c r="S923" t="str">
        <f t="shared" si="72"/>
        <v>Style Risk</v>
      </c>
      <c r="T923" t="str">
        <f t="shared" si="73"/>
        <v>-</v>
      </c>
      <c r="U923" t="str">
        <f t="shared" si="74"/>
        <v>High Value</v>
      </c>
    </row>
    <row r="924" spans="1:21" hidden="1" x14ac:dyDescent="0.2">
      <c r="A924" s="2">
        <v>785</v>
      </c>
      <c r="B924" s="2" t="s">
        <v>9</v>
      </c>
      <c r="C924" s="2" t="s">
        <v>1342</v>
      </c>
      <c r="D924" s="2" t="s">
        <v>604</v>
      </c>
      <c r="E924" s="2">
        <v>33101</v>
      </c>
      <c r="F924" s="2" t="s">
        <v>98</v>
      </c>
      <c r="G924" s="2" t="s">
        <v>36</v>
      </c>
      <c r="H924" s="2">
        <v>1</v>
      </c>
      <c r="I924" s="2" t="s">
        <v>17</v>
      </c>
      <c r="J924" s="2" t="str">
        <f>VLOOKUP(E924,[1]LL_Hub!$A$1:$B$13,2,FALSE)</f>
        <v>Miami</v>
      </c>
      <c r="K924" t="str">
        <f>VLOOKUP(D924,'[2]product Table data'!$A$2:$B$12,2,FALSE)</f>
        <v>Female</v>
      </c>
      <c r="L924" t="str">
        <f>VLOOKUP($D924,'[2]product Table data'!$A$2:$G$12,L$1,FALSE)</f>
        <v>Fancy Sheek</v>
      </c>
      <c r="M924" t="str">
        <f>VLOOKUP($D924,'[2]product Table data'!$A$2:$G$12,M$1,FALSE)</f>
        <v>Iran</v>
      </c>
      <c r="N924" t="str">
        <f>VLOOKUP($D924,'[2]product Table data'!$A$2:$G$12,N$1,FALSE)</f>
        <v>Middle East</v>
      </c>
      <c r="O924">
        <f>VLOOKUP($D924,'[2]product Table data'!$A$2:$G$12,O$1,FALSE)</f>
        <v>75</v>
      </c>
      <c r="P924">
        <f>VLOOKUP($D924,'[2]product Table data'!$A$2:$G$12,P$1,FALSE)</f>
        <v>125</v>
      </c>
      <c r="Q924">
        <f t="shared" si="70"/>
        <v>50</v>
      </c>
      <c r="R924" t="str">
        <f t="shared" si="71"/>
        <v>-</v>
      </c>
      <c r="S924" t="str">
        <f t="shared" si="72"/>
        <v>Style Risk</v>
      </c>
      <c r="T924" t="str">
        <f t="shared" si="73"/>
        <v>-</v>
      </c>
      <c r="U924" t="str">
        <f t="shared" si="74"/>
        <v>High Value</v>
      </c>
    </row>
    <row r="925" spans="1:21" hidden="1" x14ac:dyDescent="0.2">
      <c r="A925" s="2">
        <v>786</v>
      </c>
      <c r="B925" s="2" t="s">
        <v>9</v>
      </c>
      <c r="C925" s="2" t="s">
        <v>1343</v>
      </c>
      <c r="D925" s="2" t="s">
        <v>566</v>
      </c>
      <c r="E925" s="2">
        <v>33101</v>
      </c>
      <c r="F925" s="2" t="s">
        <v>1344</v>
      </c>
      <c r="G925" s="2" t="s">
        <v>13</v>
      </c>
      <c r="H925" s="2">
        <v>1</v>
      </c>
      <c r="I925" s="2" t="s">
        <v>17</v>
      </c>
      <c r="J925" s="2" t="str">
        <f>VLOOKUP(E925,[1]LL_Hub!$A$1:$B$13,2,FALSE)</f>
        <v>Miami</v>
      </c>
      <c r="K925" t="str">
        <f>VLOOKUP(D925,'[2]product Table data'!$A$2:$B$12,2,FALSE)</f>
        <v>Female</v>
      </c>
      <c r="L925" t="str">
        <f>VLOOKUP($D925,'[2]product Table data'!$A$2:$G$12,L$1,FALSE)</f>
        <v>Casual n Light</v>
      </c>
      <c r="M925" t="str">
        <f>VLOOKUP($D925,'[2]product Table data'!$A$2:$G$12,M$1,FALSE)</f>
        <v>Guatemala</v>
      </c>
      <c r="N925" t="str">
        <f>VLOOKUP($D925,'[2]product Table data'!$A$2:$G$12,N$1,FALSE)</f>
        <v>Central America</v>
      </c>
      <c r="O925">
        <f>VLOOKUP($D925,'[2]product Table data'!$A$2:$G$12,O$1,FALSE)</f>
        <v>25</v>
      </c>
      <c r="P925">
        <f>VLOOKUP($D925,'[2]product Table data'!$A$2:$G$12,P$1,FALSE)</f>
        <v>30</v>
      </c>
      <c r="Q925">
        <f t="shared" si="70"/>
        <v>5</v>
      </c>
      <c r="R925" t="str">
        <f t="shared" si="71"/>
        <v>-</v>
      </c>
      <c r="S925" t="str">
        <f t="shared" si="72"/>
        <v>Style Risk</v>
      </c>
      <c r="T925" t="str">
        <f t="shared" si="73"/>
        <v>-</v>
      </c>
      <c r="U925" t="str">
        <f t="shared" si="74"/>
        <v>Low Value</v>
      </c>
    </row>
    <row r="926" spans="1:21" hidden="1" x14ac:dyDescent="0.2">
      <c r="A926" s="2">
        <v>787</v>
      </c>
      <c r="B926" s="2" t="s">
        <v>9</v>
      </c>
      <c r="C926" s="2" t="s">
        <v>1345</v>
      </c>
      <c r="D926" s="2" t="s">
        <v>604</v>
      </c>
      <c r="E926" s="2">
        <v>33101</v>
      </c>
      <c r="F926" s="2" t="s">
        <v>98</v>
      </c>
      <c r="G926" s="2" t="s">
        <v>36</v>
      </c>
      <c r="H926" s="2">
        <v>1</v>
      </c>
      <c r="I926" s="2" t="s">
        <v>17</v>
      </c>
      <c r="J926" s="2" t="str">
        <f>VLOOKUP(E926,[1]LL_Hub!$A$1:$B$13,2,FALSE)</f>
        <v>Miami</v>
      </c>
      <c r="K926" t="str">
        <f>VLOOKUP(D926,'[2]product Table data'!$A$2:$B$12,2,FALSE)</f>
        <v>Female</v>
      </c>
      <c r="L926" t="str">
        <f>VLOOKUP($D926,'[2]product Table data'!$A$2:$G$12,L$1,FALSE)</f>
        <v>Fancy Sheek</v>
      </c>
      <c r="M926" t="str">
        <f>VLOOKUP($D926,'[2]product Table data'!$A$2:$G$12,M$1,FALSE)</f>
        <v>Iran</v>
      </c>
      <c r="N926" t="str">
        <f>VLOOKUP($D926,'[2]product Table data'!$A$2:$G$12,N$1,FALSE)</f>
        <v>Middle East</v>
      </c>
      <c r="O926">
        <f>VLOOKUP($D926,'[2]product Table data'!$A$2:$G$12,O$1,FALSE)</f>
        <v>75</v>
      </c>
      <c r="P926">
        <f>VLOOKUP($D926,'[2]product Table data'!$A$2:$G$12,P$1,FALSE)</f>
        <v>125</v>
      </c>
      <c r="Q926">
        <f t="shared" si="70"/>
        <v>50</v>
      </c>
      <c r="R926" t="str">
        <f t="shared" si="71"/>
        <v>-</v>
      </c>
      <c r="S926" t="str">
        <f t="shared" si="72"/>
        <v>Style Risk</v>
      </c>
      <c r="T926" t="str">
        <f t="shared" si="73"/>
        <v>-</v>
      </c>
      <c r="U926" t="str">
        <f t="shared" si="74"/>
        <v>High Value</v>
      </c>
    </row>
    <row r="927" spans="1:21" hidden="1" x14ac:dyDescent="0.2">
      <c r="A927" s="2">
        <v>788</v>
      </c>
      <c r="B927" s="2" t="s">
        <v>9</v>
      </c>
      <c r="C927" s="2" t="s">
        <v>1346</v>
      </c>
      <c r="D927" s="2" t="s">
        <v>566</v>
      </c>
      <c r="E927" s="2">
        <v>33101</v>
      </c>
      <c r="F927" s="2" t="s">
        <v>1347</v>
      </c>
      <c r="G927" s="2" t="s">
        <v>13</v>
      </c>
      <c r="H927" s="2">
        <v>1</v>
      </c>
      <c r="I927" s="2" t="s">
        <v>17</v>
      </c>
      <c r="J927" s="2" t="str">
        <f>VLOOKUP(E927,[1]LL_Hub!$A$1:$B$13,2,FALSE)</f>
        <v>Miami</v>
      </c>
      <c r="K927" t="str">
        <f>VLOOKUP(D927,'[2]product Table data'!$A$2:$B$12,2,FALSE)</f>
        <v>Female</v>
      </c>
      <c r="L927" t="str">
        <f>VLOOKUP($D927,'[2]product Table data'!$A$2:$G$12,L$1,FALSE)</f>
        <v>Casual n Light</v>
      </c>
      <c r="M927" t="str">
        <f>VLOOKUP($D927,'[2]product Table data'!$A$2:$G$12,M$1,FALSE)</f>
        <v>Guatemala</v>
      </c>
      <c r="N927" t="str">
        <f>VLOOKUP($D927,'[2]product Table data'!$A$2:$G$12,N$1,FALSE)</f>
        <v>Central America</v>
      </c>
      <c r="O927">
        <f>VLOOKUP($D927,'[2]product Table data'!$A$2:$G$12,O$1,FALSE)</f>
        <v>25</v>
      </c>
      <c r="P927">
        <f>VLOOKUP($D927,'[2]product Table data'!$A$2:$G$12,P$1,FALSE)</f>
        <v>30</v>
      </c>
      <c r="Q927">
        <f t="shared" si="70"/>
        <v>5</v>
      </c>
      <c r="R927" t="str">
        <f t="shared" si="71"/>
        <v>-</v>
      </c>
      <c r="S927" t="str">
        <f t="shared" si="72"/>
        <v>Style Risk</v>
      </c>
      <c r="T927" t="str">
        <f t="shared" si="73"/>
        <v>-</v>
      </c>
      <c r="U927" t="str">
        <f t="shared" si="74"/>
        <v>Low Value</v>
      </c>
    </row>
    <row r="928" spans="1:21" hidden="1" x14ac:dyDescent="0.2">
      <c r="A928" s="2">
        <v>789</v>
      </c>
      <c r="B928" s="2" t="s">
        <v>9</v>
      </c>
      <c r="C928" s="2" t="s">
        <v>1348</v>
      </c>
      <c r="D928" s="2" t="s">
        <v>604</v>
      </c>
      <c r="E928" s="2">
        <v>33101</v>
      </c>
      <c r="F928" s="2" t="s">
        <v>98</v>
      </c>
      <c r="G928" s="2" t="s">
        <v>36</v>
      </c>
      <c r="H928" s="2">
        <v>1</v>
      </c>
      <c r="I928" s="2" t="s">
        <v>17</v>
      </c>
      <c r="J928" s="2" t="str">
        <f>VLOOKUP(E928,[1]LL_Hub!$A$1:$B$13,2,FALSE)</f>
        <v>Miami</v>
      </c>
      <c r="K928" t="str">
        <f>VLOOKUP(D928,'[2]product Table data'!$A$2:$B$12,2,FALSE)</f>
        <v>Female</v>
      </c>
      <c r="L928" t="str">
        <f>VLOOKUP($D928,'[2]product Table data'!$A$2:$G$12,L$1,FALSE)</f>
        <v>Fancy Sheek</v>
      </c>
      <c r="M928" t="str">
        <f>VLOOKUP($D928,'[2]product Table data'!$A$2:$G$12,M$1,FALSE)</f>
        <v>Iran</v>
      </c>
      <c r="N928" t="str">
        <f>VLOOKUP($D928,'[2]product Table data'!$A$2:$G$12,N$1,FALSE)</f>
        <v>Middle East</v>
      </c>
      <c r="O928">
        <f>VLOOKUP($D928,'[2]product Table data'!$A$2:$G$12,O$1,FALSE)</f>
        <v>75</v>
      </c>
      <c r="P928">
        <f>VLOOKUP($D928,'[2]product Table data'!$A$2:$G$12,P$1,FALSE)</f>
        <v>125</v>
      </c>
      <c r="Q928">
        <f t="shared" si="70"/>
        <v>50</v>
      </c>
      <c r="R928" t="str">
        <f t="shared" si="71"/>
        <v>-</v>
      </c>
      <c r="S928" t="str">
        <f t="shared" si="72"/>
        <v>Style Risk</v>
      </c>
      <c r="T928" t="str">
        <f t="shared" si="73"/>
        <v>-</v>
      </c>
      <c r="U928" t="str">
        <f t="shared" si="74"/>
        <v>High Value</v>
      </c>
    </row>
    <row r="929" spans="1:21" hidden="1" x14ac:dyDescent="0.2">
      <c r="A929" s="2">
        <v>790</v>
      </c>
      <c r="B929" s="2" t="s">
        <v>9</v>
      </c>
      <c r="C929" s="2" t="s">
        <v>1349</v>
      </c>
      <c r="D929" s="2" t="s">
        <v>604</v>
      </c>
      <c r="E929" s="2">
        <v>33101</v>
      </c>
      <c r="F929" s="2" t="s">
        <v>98</v>
      </c>
      <c r="G929" s="2" t="s">
        <v>36</v>
      </c>
      <c r="H929" s="2">
        <v>1</v>
      </c>
      <c r="I929" s="2" t="s">
        <v>17</v>
      </c>
      <c r="J929" s="2" t="str">
        <f>VLOOKUP(E929,[1]LL_Hub!$A$1:$B$13,2,FALSE)</f>
        <v>Miami</v>
      </c>
      <c r="K929" t="str">
        <f>VLOOKUP(D929,'[2]product Table data'!$A$2:$B$12,2,FALSE)</f>
        <v>Female</v>
      </c>
      <c r="L929" t="str">
        <f>VLOOKUP($D929,'[2]product Table data'!$A$2:$G$12,L$1,FALSE)</f>
        <v>Fancy Sheek</v>
      </c>
      <c r="M929" t="str">
        <f>VLOOKUP($D929,'[2]product Table data'!$A$2:$G$12,M$1,FALSE)</f>
        <v>Iran</v>
      </c>
      <c r="N929" t="str">
        <f>VLOOKUP($D929,'[2]product Table data'!$A$2:$G$12,N$1,FALSE)</f>
        <v>Middle East</v>
      </c>
      <c r="O929">
        <f>VLOOKUP($D929,'[2]product Table data'!$A$2:$G$12,O$1,FALSE)</f>
        <v>75</v>
      </c>
      <c r="P929">
        <f>VLOOKUP($D929,'[2]product Table data'!$A$2:$G$12,P$1,FALSE)</f>
        <v>125</v>
      </c>
      <c r="Q929">
        <f t="shared" si="70"/>
        <v>50</v>
      </c>
      <c r="R929" t="str">
        <f t="shared" si="71"/>
        <v>-</v>
      </c>
      <c r="S929" t="str">
        <f t="shared" si="72"/>
        <v>Style Risk</v>
      </c>
      <c r="T929" t="str">
        <f t="shared" si="73"/>
        <v>-</v>
      </c>
      <c r="U929" t="str">
        <f t="shared" si="74"/>
        <v>High Value</v>
      </c>
    </row>
    <row r="930" spans="1:21" hidden="1" x14ac:dyDescent="0.2">
      <c r="A930" s="2">
        <v>791</v>
      </c>
      <c r="B930" s="2" t="s">
        <v>9</v>
      </c>
      <c r="C930" s="2" t="s">
        <v>1350</v>
      </c>
      <c r="D930" s="2" t="s">
        <v>604</v>
      </c>
      <c r="E930" s="2">
        <v>33101</v>
      </c>
      <c r="F930" s="2" t="s">
        <v>98</v>
      </c>
      <c r="G930" s="2" t="s">
        <v>36</v>
      </c>
      <c r="H930" s="2">
        <v>1</v>
      </c>
      <c r="I930" s="2" t="s">
        <v>17</v>
      </c>
      <c r="J930" s="2" t="str">
        <f>VLOOKUP(E930,[1]LL_Hub!$A$1:$B$13,2,FALSE)</f>
        <v>Miami</v>
      </c>
      <c r="K930" t="str">
        <f>VLOOKUP(D930,'[2]product Table data'!$A$2:$B$12,2,FALSE)</f>
        <v>Female</v>
      </c>
      <c r="L930" t="str">
        <f>VLOOKUP($D930,'[2]product Table data'!$A$2:$G$12,L$1,FALSE)</f>
        <v>Fancy Sheek</v>
      </c>
      <c r="M930" t="str">
        <f>VLOOKUP($D930,'[2]product Table data'!$A$2:$G$12,M$1,FALSE)</f>
        <v>Iran</v>
      </c>
      <c r="N930" t="str">
        <f>VLOOKUP($D930,'[2]product Table data'!$A$2:$G$12,N$1,FALSE)</f>
        <v>Middle East</v>
      </c>
      <c r="O930">
        <f>VLOOKUP($D930,'[2]product Table data'!$A$2:$G$12,O$1,FALSE)</f>
        <v>75</v>
      </c>
      <c r="P930">
        <f>VLOOKUP($D930,'[2]product Table data'!$A$2:$G$12,P$1,FALSE)</f>
        <v>125</v>
      </c>
      <c r="Q930">
        <f t="shared" si="70"/>
        <v>50</v>
      </c>
      <c r="R930" t="str">
        <f t="shared" si="71"/>
        <v>-</v>
      </c>
      <c r="S930" t="str">
        <f t="shared" si="72"/>
        <v>Style Risk</v>
      </c>
      <c r="T930" t="str">
        <f t="shared" si="73"/>
        <v>-</v>
      </c>
      <c r="U930" t="str">
        <f t="shared" si="74"/>
        <v>High Value</v>
      </c>
    </row>
    <row r="931" spans="1:21" hidden="1" x14ac:dyDescent="0.2">
      <c r="A931" s="2">
        <v>792</v>
      </c>
      <c r="B931" s="2" t="s">
        <v>9</v>
      </c>
      <c r="C931" s="2" t="s">
        <v>1351</v>
      </c>
      <c r="D931" s="2" t="s">
        <v>604</v>
      </c>
      <c r="E931" s="2">
        <v>33101</v>
      </c>
      <c r="F931" s="2" t="s">
        <v>98</v>
      </c>
      <c r="G931" s="2" t="s">
        <v>36</v>
      </c>
      <c r="H931" s="2">
        <v>1</v>
      </c>
      <c r="I931" s="2" t="s">
        <v>17</v>
      </c>
      <c r="J931" s="2" t="str">
        <f>VLOOKUP(E931,[1]LL_Hub!$A$1:$B$13,2,FALSE)</f>
        <v>Miami</v>
      </c>
      <c r="K931" t="str">
        <f>VLOOKUP(D931,'[2]product Table data'!$A$2:$B$12,2,FALSE)</f>
        <v>Female</v>
      </c>
      <c r="L931" t="str">
        <f>VLOOKUP($D931,'[2]product Table data'!$A$2:$G$12,L$1,FALSE)</f>
        <v>Fancy Sheek</v>
      </c>
      <c r="M931" t="str">
        <f>VLOOKUP($D931,'[2]product Table data'!$A$2:$G$12,M$1,FALSE)</f>
        <v>Iran</v>
      </c>
      <c r="N931" t="str">
        <f>VLOOKUP($D931,'[2]product Table data'!$A$2:$G$12,N$1,FALSE)</f>
        <v>Middle East</v>
      </c>
      <c r="O931">
        <f>VLOOKUP($D931,'[2]product Table data'!$A$2:$G$12,O$1,FALSE)</f>
        <v>75</v>
      </c>
      <c r="P931">
        <f>VLOOKUP($D931,'[2]product Table data'!$A$2:$G$12,P$1,FALSE)</f>
        <v>125</v>
      </c>
      <c r="Q931">
        <f t="shared" si="70"/>
        <v>50</v>
      </c>
      <c r="R931" t="str">
        <f t="shared" si="71"/>
        <v>-</v>
      </c>
      <c r="S931" t="str">
        <f t="shared" si="72"/>
        <v>Style Risk</v>
      </c>
      <c r="T931" t="str">
        <f t="shared" si="73"/>
        <v>-</v>
      </c>
      <c r="U931" t="str">
        <f t="shared" si="74"/>
        <v>High Value</v>
      </c>
    </row>
    <row r="932" spans="1:21" hidden="1" x14ac:dyDescent="0.2">
      <c r="A932" s="2">
        <v>793</v>
      </c>
      <c r="B932" s="2" t="s">
        <v>9</v>
      </c>
      <c r="C932" s="2" t="s">
        <v>1352</v>
      </c>
      <c r="D932" s="2" t="s">
        <v>604</v>
      </c>
      <c r="E932" s="2">
        <v>33101</v>
      </c>
      <c r="F932" s="2" t="s">
        <v>98</v>
      </c>
      <c r="G932" s="2" t="s">
        <v>36</v>
      </c>
      <c r="H932" s="2">
        <v>1</v>
      </c>
      <c r="I932" s="2" t="s">
        <v>17</v>
      </c>
      <c r="J932" s="2" t="str">
        <f>VLOOKUP(E932,[1]LL_Hub!$A$1:$B$13,2,FALSE)</f>
        <v>Miami</v>
      </c>
      <c r="K932" t="str">
        <f>VLOOKUP(D932,'[2]product Table data'!$A$2:$B$12,2,FALSE)</f>
        <v>Female</v>
      </c>
      <c r="L932" t="str">
        <f>VLOOKUP($D932,'[2]product Table data'!$A$2:$G$12,L$1,FALSE)</f>
        <v>Fancy Sheek</v>
      </c>
      <c r="M932" t="str">
        <f>VLOOKUP($D932,'[2]product Table data'!$A$2:$G$12,M$1,FALSE)</f>
        <v>Iran</v>
      </c>
      <c r="N932" t="str">
        <f>VLOOKUP($D932,'[2]product Table data'!$A$2:$G$12,N$1,FALSE)</f>
        <v>Middle East</v>
      </c>
      <c r="O932">
        <f>VLOOKUP($D932,'[2]product Table data'!$A$2:$G$12,O$1,FALSE)</f>
        <v>75</v>
      </c>
      <c r="P932">
        <f>VLOOKUP($D932,'[2]product Table data'!$A$2:$G$12,P$1,FALSE)</f>
        <v>125</v>
      </c>
      <c r="Q932">
        <f t="shared" si="70"/>
        <v>50</v>
      </c>
      <c r="R932" t="str">
        <f t="shared" si="71"/>
        <v>-</v>
      </c>
      <c r="S932" t="str">
        <f t="shared" si="72"/>
        <v>Style Risk</v>
      </c>
      <c r="T932" t="str">
        <f t="shared" si="73"/>
        <v>-</v>
      </c>
      <c r="U932" t="str">
        <f t="shared" si="74"/>
        <v>High Value</v>
      </c>
    </row>
    <row r="933" spans="1:21" hidden="1" x14ac:dyDescent="0.2">
      <c r="A933" s="2">
        <v>794</v>
      </c>
      <c r="B933" s="2" t="s">
        <v>9</v>
      </c>
      <c r="C933" s="2" t="s">
        <v>1353</v>
      </c>
      <c r="D933" s="2" t="s">
        <v>604</v>
      </c>
      <c r="E933" s="2">
        <v>33101</v>
      </c>
      <c r="F933" s="2" t="s">
        <v>98</v>
      </c>
      <c r="G933" s="2" t="s">
        <v>36</v>
      </c>
      <c r="H933" s="2">
        <v>1</v>
      </c>
      <c r="I933" s="2" t="s">
        <v>17</v>
      </c>
      <c r="J933" s="2" t="str">
        <f>VLOOKUP(E933,[1]LL_Hub!$A$1:$B$13,2,FALSE)</f>
        <v>Miami</v>
      </c>
      <c r="K933" t="str">
        <f>VLOOKUP(D933,'[2]product Table data'!$A$2:$B$12,2,FALSE)</f>
        <v>Female</v>
      </c>
      <c r="L933" t="str">
        <f>VLOOKUP($D933,'[2]product Table data'!$A$2:$G$12,L$1,FALSE)</f>
        <v>Fancy Sheek</v>
      </c>
      <c r="M933" t="str">
        <f>VLOOKUP($D933,'[2]product Table data'!$A$2:$G$12,M$1,FALSE)</f>
        <v>Iran</v>
      </c>
      <c r="N933" t="str">
        <f>VLOOKUP($D933,'[2]product Table data'!$A$2:$G$12,N$1,FALSE)</f>
        <v>Middle East</v>
      </c>
      <c r="O933">
        <f>VLOOKUP($D933,'[2]product Table data'!$A$2:$G$12,O$1,FALSE)</f>
        <v>75</v>
      </c>
      <c r="P933">
        <f>VLOOKUP($D933,'[2]product Table data'!$A$2:$G$12,P$1,FALSE)</f>
        <v>125</v>
      </c>
      <c r="Q933">
        <f t="shared" si="70"/>
        <v>50</v>
      </c>
      <c r="R933" t="str">
        <f t="shared" si="71"/>
        <v>-</v>
      </c>
      <c r="S933" t="str">
        <f t="shared" si="72"/>
        <v>Style Risk</v>
      </c>
      <c r="T933" t="str">
        <f t="shared" si="73"/>
        <v>-</v>
      </c>
      <c r="U933" t="str">
        <f t="shared" si="74"/>
        <v>High Value</v>
      </c>
    </row>
    <row r="934" spans="1:21" hidden="1" x14ac:dyDescent="0.2">
      <c r="A934" s="2">
        <v>795</v>
      </c>
      <c r="B934" s="2" t="s">
        <v>9</v>
      </c>
      <c r="C934" s="2" t="s">
        <v>1354</v>
      </c>
      <c r="D934" s="2" t="s">
        <v>604</v>
      </c>
      <c r="E934" s="2">
        <v>33101</v>
      </c>
      <c r="F934" s="2" t="s">
        <v>98</v>
      </c>
      <c r="G934" s="2" t="s">
        <v>36</v>
      </c>
      <c r="H934" s="2">
        <v>1</v>
      </c>
      <c r="I934" s="2" t="s">
        <v>17</v>
      </c>
      <c r="J934" s="2" t="str">
        <f>VLOOKUP(E934,[1]LL_Hub!$A$1:$B$13,2,FALSE)</f>
        <v>Miami</v>
      </c>
      <c r="K934" t="str">
        <f>VLOOKUP(D934,'[2]product Table data'!$A$2:$B$12,2,FALSE)</f>
        <v>Female</v>
      </c>
      <c r="L934" t="str">
        <f>VLOOKUP($D934,'[2]product Table data'!$A$2:$G$12,L$1,FALSE)</f>
        <v>Fancy Sheek</v>
      </c>
      <c r="M934" t="str">
        <f>VLOOKUP($D934,'[2]product Table data'!$A$2:$G$12,M$1,FALSE)</f>
        <v>Iran</v>
      </c>
      <c r="N934" t="str">
        <f>VLOOKUP($D934,'[2]product Table data'!$A$2:$G$12,N$1,FALSE)</f>
        <v>Middle East</v>
      </c>
      <c r="O934">
        <f>VLOOKUP($D934,'[2]product Table data'!$A$2:$G$12,O$1,FALSE)</f>
        <v>75</v>
      </c>
      <c r="P934">
        <f>VLOOKUP($D934,'[2]product Table data'!$A$2:$G$12,P$1,FALSE)</f>
        <v>125</v>
      </c>
      <c r="Q934">
        <f t="shared" si="70"/>
        <v>50</v>
      </c>
      <c r="R934" t="str">
        <f t="shared" si="71"/>
        <v>-</v>
      </c>
      <c r="S934" t="str">
        <f t="shared" si="72"/>
        <v>Style Risk</v>
      </c>
      <c r="T934" t="str">
        <f t="shared" si="73"/>
        <v>-</v>
      </c>
      <c r="U934" t="str">
        <f t="shared" si="74"/>
        <v>High Value</v>
      </c>
    </row>
    <row r="935" spans="1:21" hidden="1" x14ac:dyDescent="0.2">
      <c r="A935" s="2">
        <v>796</v>
      </c>
      <c r="B935" s="2" t="s">
        <v>9</v>
      </c>
      <c r="C935" s="2" t="s">
        <v>1355</v>
      </c>
      <c r="D935" s="2" t="s">
        <v>604</v>
      </c>
      <c r="E935" s="2">
        <v>33101</v>
      </c>
      <c r="F935" s="2" t="s">
        <v>98</v>
      </c>
      <c r="G935" s="2" t="s">
        <v>36</v>
      </c>
      <c r="H935" s="2">
        <v>1</v>
      </c>
      <c r="I935" s="2" t="s">
        <v>17</v>
      </c>
      <c r="J935" s="2" t="str">
        <f>VLOOKUP(E935,[1]LL_Hub!$A$1:$B$13,2,FALSE)</f>
        <v>Miami</v>
      </c>
      <c r="K935" t="str">
        <f>VLOOKUP(D935,'[2]product Table data'!$A$2:$B$12,2,FALSE)</f>
        <v>Female</v>
      </c>
      <c r="L935" t="str">
        <f>VLOOKUP($D935,'[2]product Table data'!$A$2:$G$12,L$1,FALSE)</f>
        <v>Fancy Sheek</v>
      </c>
      <c r="M935" t="str">
        <f>VLOOKUP($D935,'[2]product Table data'!$A$2:$G$12,M$1,FALSE)</f>
        <v>Iran</v>
      </c>
      <c r="N935" t="str">
        <f>VLOOKUP($D935,'[2]product Table data'!$A$2:$G$12,N$1,FALSE)</f>
        <v>Middle East</v>
      </c>
      <c r="O935">
        <f>VLOOKUP($D935,'[2]product Table data'!$A$2:$G$12,O$1,FALSE)</f>
        <v>75</v>
      </c>
      <c r="P935">
        <f>VLOOKUP($D935,'[2]product Table data'!$A$2:$G$12,P$1,FALSE)</f>
        <v>125</v>
      </c>
      <c r="Q935">
        <f t="shared" si="70"/>
        <v>50</v>
      </c>
      <c r="R935" t="str">
        <f t="shared" si="71"/>
        <v>-</v>
      </c>
      <c r="S935" t="str">
        <f t="shared" si="72"/>
        <v>Style Risk</v>
      </c>
      <c r="T935" t="str">
        <f t="shared" si="73"/>
        <v>-</v>
      </c>
      <c r="U935" t="str">
        <f t="shared" si="74"/>
        <v>High Value</v>
      </c>
    </row>
    <row r="936" spans="1:21" hidden="1" x14ac:dyDescent="0.2">
      <c r="A936" s="2">
        <v>797</v>
      </c>
      <c r="B936" s="2" t="s">
        <v>9</v>
      </c>
      <c r="C936" s="2" t="s">
        <v>1356</v>
      </c>
      <c r="D936" s="2" t="s">
        <v>604</v>
      </c>
      <c r="E936" s="2">
        <v>33101</v>
      </c>
      <c r="F936" s="2" t="s">
        <v>98</v>
      </c>
      <c r="G936" s="2" t="s">
        <v>36</v>
      </c>
      <c r="H936" s="2">
        <v>1</v>
      </c>
      <c r="I936" s="2" t="s">
        <v>17</v>
      </c>
      <c r="J936" s="2" t="str">
        <f>VLOOKUP(E936,[1]LL_Hub!$A$1:$B$13,2,FALSE)</f>
        <v>Miami</v>
      </c>
      <c r="K936" t="str">
        <f>VLOOKUP(D936,'[2]product Table data'!$A$2:$B$12,2,FALSE)</f>
        <v>Female</v>
      </c>
      <c r="L936" t="str">
        <f>VLOOKUP($D936,'[2]product Table data'!$A$2:$G$12,L$1,FALSE)</f>
        <v>Fancy Sheek</v>
      </c>
      <c r="M936" t="str">
        <f>VLOOKUP($D936,'[2]product Table data'!$A$2:$G$12,M$1,FALSE)</f>
        <v>Iran</v>
      </c>
      <c r="N936" t="str">
        <f>VLOOKUP($D936,'[2]product Table data'!$A$2:$G$12,N$1,FALSE)</f>
        <v>Middle East</v>
      </c>
      <c r="O936">
        <f>VLOOKUP($D936,'[2]product Table data'!$A$2:$G$12,O$1,FALSE)</f>
        <v>75</v>
      </c>
      <c r="P936">
        <f>VLOOKUP($D936,'[2]product Table data'!$A$2:$G$12,P$1,FALSE)</f>
        <v>125</v>
      </c>
      <c r="Q936">
        <f t="shared" si="70"/>
        <v>50</v>
      </c>
      <c r="R936" t="str">
        <f t="shared" si="71"/>
        <v>-</v>
      </c>
      <c r="S936" t="str">
        <f t="shared" si="72"/>
        <v>Style Risk</v>
      </c>
      <c r="T936" t="str">
        <f t="shared" si="73"/>
        <v>-</v>
      </c>
      <c r="U936" t="str">
        <f t="shared" si="74"/>
        <v>High Value</v>
      </c>
    </row>
    <row r="937" spans="1:21" hidden="1" x14ac:dyDescent="0.2">
      <c r="A937" s="2">
        <v>798</v>
      </c>
      <c r="B937" s="2" t="s">
        <v>9</v>
      </c>
      <c r="C937" s="2" t="s">
        <v>1357</v>
      </c>
      <c r="D937" s="2" t="s">
        <v>604</v>
      </c>
      <c r="E937" s="2">
        <v>33101</v>
      </c>
      <c r="F937" s="2" t="s">
        <v>1358</v>
      </c>
      <c r="G937" s="2" t="s">
        <v>13</v>
      </c>
      <c r="H937" s="2">
        <v>1</v>
      </c>
      <c r="I937" s="2" t="s">
        <v>17</v>
      </c>
      <c r="J937" s="2" t="str">
        <f>VLOOKUP(E937,[1]LL_Hub!$A$1:$B$13,2,FALSE)</f>
        <v>Miami</v>
      </c>
      <c r="K937" t="str">
        <f>VLOOKUP(D937,'[2]product Table data'!$A$2:$B$12,2,FALSE)</f>
        <v>Female</v>
      </c>
      <c r="L937" t="str">
        <f>VLOOKUP($D937,'[2]product Table data'!$A$2:$G$12,L$1,FALSE)</f>
        <v>Fancy Sheek</v>
      </c>
      <c r="M937" t="str">
        <f>VLOOKUP($D937,'[2]product Table data'!$A$2:$G$12,M$1,FALSE)</f>
        <v>Iran</v>
      </c>
      <c r="N937" t="str">
        <f>VLOOKUP($D937,'[2]product Table data'!$A$2:$G$12,N$1,FALSE)</f>
        <v>Middle East</v>
      </c>
      <c r="O937">
        <f>VLOOKUP($D937,'[2]product Table data'!$A$2:$G$12,O$1,FALSE)</f>
        <v>75</v>
      </c>
      <c r="P937">
        <f>VLOOKUP($D937,'[2]product Table data'!$A$2:$G$12,P$1,FALSE)</f>
        <v>125</v>
      </c>
      <c r="Q937">
        <f t="shared" si="70"/>
        <v>50</v>
      </c>
      <c r="R937" t="str">
        <f t="shared" si="71"/>
        <v>-</v>
      </c>
      <c r="S937" t="str">
        <f t="shared" si="72"/>
        <v>Style Risk</v>
      </c>
      <c r="T937" t="str">
        <f t="shared" si="73"/>
        <v>-</v>
      </c>
      <c r="U937" t="str">
        <f t="shared" si="74"/>
        <v>High Value</v>
      </c>
    </row>
    <row r="938" spans="1:21" hidden="1" x14ac:dyDescent="0.2">
      <c r="A938" s="2">
        <v>799</v>
      </c>
      <c r="B938" s="2" t="s">
        <v>9</v>
      </c>
      <c r="C938" s="2" t="s">
        <v>1359</v>
      </c>
      <c r="D938" s="2" t="s">
        <v>604</v>
      </c>
      <c r="E938" s="2">
        <v>33101</v>
      </c>
      <c r="F938" s="2" t="s">
        <v>1360</v>
      </c>
      <c r="G938" s="2" t="s">
        <v>13</v>
      </c>
      <c r="H938" s="2">
        <v>1</v>
      </c>
      <c r="I938" s="2" t="s">
        <v>17</v>
      </c>
      <c r="J938" s="2" t="str">
        <f>VLOOKUP(E938,[1]LL_Hub!$A$1:$B$13,2,FALSE)</f>
        <v>Miami</v>
      </c>
      <c r="K938" t="str">
        <f>VLOOKUP(D938,'[2]product Table data'!$A$2:$B$12,2,FALSE)</f>
        <v>Female</v>
      </c>
      <c r="L938" t="str">
        <f>VLOOKUP($D938,'[2]product Table data'!$A$2:$G$12,L$1,FALSE)</f>
        <v>Fancy Sheek</v>
      </c>
      <c r="M938" t="str">
        <f>VLOOKUP($D938,'[2]product Table data'!$A$2:$G$12,M$1,FALSE)</f>
        <v>Iran</v>
      </c>
      <c r="N938" t="str">
        <f>VLOOKUP($D938,'[2]product Table data'!$A$2:$G$12,N$1,FALSE)</f>
        <v>Middle East</v>
      </c>
      <c r="O938">
        <f>VLOOKUP($D938,'[2]product Table data'!$A$2:$G$12,O$1,FALSE)</f>
        <v>75</v>
      </c>
      <c r="P938">
        <f>VLOOKUP($D938,'[2]product Table data'!$A$2:$G$12,P$1,FALSE)</f>
        <v>125</v>
      </c>
      <c r="Q938">
        <f t="shared" si="70"/>
        <v>50</v>
      </c>
      <c r="R938" t="str">
        <f t="shared" si="71"/>
        <v>-</v>
      </c>
      <c r="S938" t="str">
        <f t="shared" si="72"/>
        <v>Style Risk</v>
      </c>
      <c r="T938" t="str">
        <f t="shared" si="73"/>
        <v>-</v>
      </c>
      <c r="U938" t="str">
        <f t="shared" si="74"/>
        <v>High Value</v>
      </c>
    </row>
    <row r="939" spans="1:21" hidden="1" x14ac:dyDescent="0.2">
      <c r="A939" s="2">
        <v>800</v>
      </c>
      <c r="B939" s="2" t="s">
        <v>9</v>
      </c>
      <c r="C939" s="2" t="s">
        <v>1361</v>
      </c>
      <c r="D939" s="2" t="s">
        <v>604</v>
      </c>
      <c r="E939" s="2">
        <v>33101</v>
      </c>
      <c r="F939" s="2" t="s">
        <v>1362</v>
      </c>
      <c r="G939" s="2" t="s">
        <v>36</v>
      </c>
      <c r="H939" s="2">
        <v>1</v>
      </c>
      <c r="I939" s="2" t="s">
        <v>17</v>
      </c>
      <c r="J939" s="2" t="str">
        <f>VLOOKUP(E939,[1]LL_Hub!$A$1:$B$13,2,FALSE)</f>
        <v>Miami</v>
      </c>
      <c r="K939" t="str">
        <f>VLOOKUP(D939,'[2]product Table data'!$A$2:$B$12,2,FALSE)</f>
        <v>Female</v>
      </c>
      <c r="L939" t="str">
        <f>VLOOKUP($D939,'[2]product Table data'!$A$2:$G$12,L$1,FALSE)</f>
        <v>Fancy Sheek</v>
      </c>
      <c r="M939" t="str">
        <f>VLOOKUP($D939,'[2]product Table data'!$A$2:$G$12,M$1,FALSE)</f>
        <v>Iran</v>
      </c>
      <c r="N939" t="str">
        <f>VLOOKUP($D939,'[2]product Table data'!$A$2:$G$12,N$1,FALSE)</f>
        <v>Middle East</v>
      </c>
      <c r="O939">
        <f>VLOOKUP($D939,'[2]product Table data'!$A$2:$G$12,O$1,FALSE)</f>
        <v>75</v>
      </c>
      <c r="P939">
        <f>VLOOKUP($D939,'[2]product Table data'!$A$2:$G$12,P$1,FALSE)</f>
        <v>125</v>
      </c>
      <c r="Q939">
        <f t="shared" si="70"/>
        <v>50</v>
      </c>
      <c r="R939" t="str">
        <f t="shared" si="71"/>
        <v>-</v>
      </c>
      <c r="S939" t="str">
        <f t="shared" si="72"/>
        <v>Style Risk</v>
      </c>
      <c r="T939" t="str">
        <f t="shared" si="73"/>
        <v>-</v>
      </c>
      <c r="U939" t="str">
        <f t="shared" si="74"/>
        <v>High Value</v>
      </c>
    </row>
    <row r="940" spans="1:21" hidden="1" x14ac:dyDescent="0.2">
      <c r="A940" s="2">
        <v>801</v>
      </c>
      <c r="B940" s="2" t="s">
        <v>9</v>
      </c>
      <c r="C940" s="2" t="s">
        <v>1363</v>
      </c>
      <c r="D940" s="2" t="s">
        <v>604</v>
      </c>
      <c r="E940" s="2">
        <v>33101</v>
      </c>
      <c r="F940" s="2" t="s">
        <v>1362</v>
      </c>
      <c r="G940" s="2" t="s">
        <v>36</v>
      </c>
      <c r="H940" s="2">
        <v>1</v>
      </c>
      <c r="I940" s="2" t="s">
        <v>17</v>
      </c>
      <c r="J940" s="2" t="str">
        <f>VLOOKUP(E940,[1]LL_Hub!$A$1:$B$13,2,FALSE)</f>
        <v>Miami</v>
      </c>
      <c r="K940" t="str">
        <f>VLOOKUP(D940,'[2]product Table data'!$A$2:$B$12,2,FALSE)</f>
        <v>Female</v>
      </c>
      <c r="L940" t="str">
        <f>VLOOKUP($D940,'[2]product Table data'!$A$2:$G$12,L$1,FALSE)</f>
        <v>Fancy Sheek</v>
      </c>
      <c r="M940" t="str">
        <f>VLOOKUP($D940,'[2]product Table data'!$A$2:$G$12,M$1,FALSE)</f>
        <v>Iran</v>
      </c>
      <c r="N940" t="str">
        <f>VLOOKUP($D940,'[2]product Table data'!$A$2:$G$12,N$1,FALSE)</f>
        <v>Middle East</v>
      </c>
      <c r="O940">
        <f>VLOOKUP($D940,'[2]product Table data'!$A$2:$G$12,O$1,FALSE)</f>
        <v>75</v>
      </c>
      <c r="P940">
        <f>VLOOKUP($D940,'[2]product Table data'!$A$2:$G$12,P$1,FALSE)</f>
        <v>125</v>
      </c>
      <c r="Q940">
        <f t="shared" si="70"/>
        <v>50</v>
      </c>
      <c r="R940" t="str">
        <f t="shared" si="71"/>
        <v>-</v>
      </c>
      <c r="S940" t="str">
        <f t="shared" si="72"/>
        <v>Style Risk</v>
      </c>
      <c r="T940" t="str">
        <f t="shared" si="73"/>
        <v>-</v>
      </c>
      <c r="U940" t="str">
        <f t="shared" si="74"/>
        <v>High Value</v>
      </c>
    </row>
    <row r="941" spans="1:21" hidden="1" x14ac:dyDescent="0.2">
      <c r="A941" s="2">
        <v>802</v>
      </c>
      <c r="B941" s="2" t="s">
        <v>9</v>
      </c>
      <c r="C941" s="2" t="s">
        <v>1364</v>
      </c>
      <c r="D941" s="2" t="s">
        <v>604</v>
      </c>
      <c r="E941" s="2">
        <v>33101</v>
      </c>
      <c r="F941" s="2" t="s">
        <v>1362</v>
      </c>
      <c r="G941" s="2" t="s">
        <v>36</v>
      </c>
      <c r="H941" s="2">
        <v>1</v>
      </c>
      <c r="I941" s="2" t="s">
        <v>17</v>
      </c>
      <c r="J941" s="2" t="str">
        <f>VLOOKUP(E941,[1]LL_Hub!$A$1:$B$13,2,FALSE)</f>
        <v>Miami</v>
      </c>
      <c r="K941" t="str">
        <f>VLOOKUP(D941,'[2]product Table data'!$A$2:$B$12,2,FALSE)</f>
        <v>Female</v>
      </c>
      <c r="L941" t="str">
        <f>VLOOKUP($D941,'[2]product Table data'!$A$2:$G$12,L$1,FALSE)</f>
        <v>Fancy Sheek</v>
      </c>
      <c r="M941" t="str">
        <f>VLOOKUP($D941,'[2]product Table data'!$A$2:$G$12,M$1,FALSE)</f>
        <v>Iran</v>
      </c>
      <c r="N941" t="str">
        <f>VLOOKUP($D941,'[2]product Table data'!$A$2:$G$12,N$1,FALSE)</f>
        <v>Middle East</v>
      </c>
      <c r="O941">
        <f>VLOOKUP($D941,'[2]product Table data'!$A$2:$G$12,O$1,FALSE)</f>
        <v>75</v>
      </c>
      <c r="P941">
        <f>VLOOKUP($D941,'[2]product Table data'!$A$2:$G$12,P$1,FALSE)</f>
        <v>125</v>
      </c>
      <c r="Q941">
        <f t="shared" si="70"/>
        <v>50</v>
      </c>
      <c r="R941" t="str">
        <f t="shared" si="71"/>
        <v>-</v>
      </c>
      <c r="S941" t="str">
        <f t="shared" si="72"/>
        <v>Style Risk</v>
      </c>
      <c r="T941" t="str">
        <f t="shared" si="73"/>
        <v>-</v>
      </c>
      <c r="U941" t="str">
        <f t="shared" si="74"/>
        <v>High Value</v>
      </c>
    </row>
    <row r="942" spans="1:21" x14ac:dyDescent="0.2">
      <c r="A942" s="2">
        <v>804</v>
      </c>
      <c r="B942" s="2" t="s">
        <v>9</v>
      </c>
      <c r="C942" s="2" t="s">
        <v>1366</v>
      </c>
      <c r="D942" s="2" t="s">
        <v>45</v>
      </c>
      <c r="E942" s="2">
        <v>10013</v>
      </c>
      <c r="F942" s="2" t="s">
        <v>42</v>
      </c>
      <c r="G942" s="2" t="s">
        <v>36</v>
      </c>
      <c r="H942" s="2">
        <v>1</v>
      </c>
      <c r="I942" s="2" t="s">
        <v>14</v>
      </c>
      <c r="J942" s="2" t="str">
        <f>VLOOKUP(E942,[1]LL_Hub!$A$1:$B$13,2,FALSE)</f>
        <v>New York</v>
      </c>
      <c r="K942" t="str">
        <f>VLOOKUP(D942,'[2]product Table data'!$A$2:$B$12,2,FALSE)</f>
        <v>Female</v>
      </c>
      <c r="L942" t="str">
        <f>VLOOKUP($D942,'[2]product Table data'!$A$2:$G$12,L$1,FALSE)</f>
        <v>Winter Warmth</v>
      </c>
      <c r="M942" t="str">
        <f>VLOOKUP($D942,'[2]product Table data'!$A$2:$G$12,M$1,FALSE)</f>
        <v>Romania</v>
      </c>
      <c r="N942" t="str">
        <f>VLOOKUP($D942,'[2]product Table data'!$A$2:$G$12,N$1,FALSE)</f>
        <v>Eastern Europe</v>
      </c>
      <c r="O942">
        <f>VLOOKUP($D942,'[2]product Table data'!$A$2:$G$12,O$1,FALSE)</f>
        <v>350</v>
      </c>
      <c r="P942">
        <f>VLOOKUP($D942,'[2]product Table data'!$A$2:$G$12,P$1,FALSE)</f>
        <v>450</v>
      </c>
      <c r="Q942">
        <f t="shared" si="70"/>
        <v>100</v>
      </c>
      <c r="R942" t="str">
        <f t="shared" si="71"/>
        <v>-</v>
      </c>
      <c r="S942" t="str">
        <f t="shared" si="72"/>
        <v>-</v>
      </c>
      <c r="T942" t="str">
        <f t="shared" si="73"/>
        <v>-</v>
      </c>
      <c r="U942" t="str">
        <f t="shared" si="74"/>
        <v>High Value</v>
      </c>
    </row>
    <row r="943" spans="1:21" x14ac:dyDescent="0.2">
      <c r="A943" s="2">
        <v>805</v>
      </c>
      <c r="B943" s="2" t="s">
        <v>9</v>
      </c>
      <c r="C943" s="2" t="s">
        <v>1367</v>
      </c>
      <c r="D943" s="2" t="s">
        <v>45</v>
      </c>
      <c r="E943" s="2">
        <v>10013</v>
      </c>
      <c r="F943" s="2" t="s">
        <v>42</v>
      </c>
      <c r="G943" s="2" t="s">
        <v>36</v>
      </c>
      <c r="H943" s="2">
        <v>1</v>
      </c>
      <c r="I943" s="2" t="s">
        <v>14</v>
      </c>
      <c r="J943" s="2" t="str">
        <f>VLOOKUP(E943,[1]LL_Hub!$A$1:$B$13,2,FALSE)</f>
        <v>New York</v>
      </c>
      <c r="K943" t="str">
        <f>VLOOKUP(D943,'[2]product Table data'!$A$2:$B$12,2,FALSE)</f>
        <v>Female</v>
      </c>
      <c r="L943" t="str">
        <f>VLOOKUP($D943,'[2]product Table data'!$A$2:$G$12,L$1,FALSE)</f>
        <v>Winter Warmth</v>
      </c>
      <c r="M943" t="str">
        <f>VLOOKUP($D943,'[2]product Table data'!$A$2:$G$12,M$1,FALSE)</f>
        <v>Romania</v>
      </c>
      <c r="N943" t="str">
        <f>VLOOKUP($D943,'[2]product Table data'!$A$2:$G$12,N$1,FALSE)</f>
        <v>Eastern Europe</v>
      </c>
      <c r="O943">
        <f>VLOOKUP($D943,'[2]product Table data'!$A$2:$G$12,O$1,FALSE)</f>
        <v>350</v>
      </c>
      <c r="P943">
        <f>VLOOKUP($D943,'[2]product Table data'!$A$2:$G$12,P$1,FALSE)</f>
        <v>450</v>
      </c>
      <c r="Q943">
        <f t="shared" si="70"/>
        <v>100</v>
      </c>
      <c r="R943" t="str">
        <f t="shared" si="71"/>
        <v>-</v>
      </c>
      <c r="S943" t="str">
        <f t="shared" si="72"/>
        <v>-</v>
      </c>
      <c r="T943" t="str">
        <f t="shared" si="73"/>
        <v>-</v>
      </c>
      <c r="U943" t="str">
        <f t="shared" si="74"/>
        <v>High Value</v>
      </c>
    </row>
    <row r="944" spans="1:21" x14ac:dyDescent="0.2">
      <c r="A944" s="2">
        <v>806</v>
      </c>
      <c r="B944" s="2" t="s">
        <v>9</v>
      </c>
      <c r="C944" s="2" t="s">
        <v>1368</v>
      </c>
      <c r="D944" s="2" t="s">
        <v>45</v>
      </c>
      <c r="E944" s="2">
        <v>10013</v>
      </c>
      <c r="F944" s="2" t="s">
        <v>42</v>
      </c>
      <c r="G944" s="2" t="s">
        <v>36</v>
      </c>
      <c r="H944" s="2">
        <v>1</v>
      </c>
      <c r="I944" s="2" t="s">
        <v>14</v>
      </c>
      <c r="J944" s="2" t="str">
        <f>VLOOKUP(E944,[1]LL_Hub!$A$1:$B$13,2,FALSE)</f>
        <v>New York</v>
      </c>
      <c r="K944" t="str">
        <f>VLOOKUP(D944,'[2]product Table data'!$A$2:$B$12,2,FALSE)</f>
        <v>Female</v>
      </c>
      <c r="L944" t="str">
        <f>VLOOKUP($D944,'[2]product Table data'!$A$2:$G$12,L$1,FALSE)</f>
        <v>Winter Warmth</v>
      </c>
      <c r="M944" t="str">
        <f>VLOOKUP($D944,'[2]product Table data'!$A$2:$G$12,M$1,FALSE)</f>
        <v>Romania</v>
      </c>
      <c r="N944" t="str">
        <f>VLOOKUP($D944,'[2]product Table data'!$A$2:$G$12,N$1,FALSE)</f>
        <v>Eastern Europe</v>
      </c>
      <c r="O944">
        <f>VLOOKUP($D944,'[2]product Table data'!$A$2:$G$12,O$1,FALSE)</f>
        <v>350</v>
      </c>
      <c r="P944">
        <f>VLOOKUP($D944,'[2]product Table data'!$A$2:$G$12,P$1,FALSE)</f>
        <v>450</v>
      </c>
      <c r="Q944">
        <f t="shared" si="70"/>
        <v>100</v>
      </c>
      <c r="R944" t="str">
        <f t="shared" si="71"/>
        <v>-</v>
      </c>
      <c r="S944" t="str">
        <f t="shared" si="72"/>
        <v>-</v>
      </c>
      <c r="T944" t="str">
        <f t="shared" si="73"/>
        <v>-</v>
      </c>
      <c r="U944" t="str">
        <f t="shared" si="74"/>
        <v>High Value</v>
      </c>
    </row>
    <row r="945" spans="1:21" x14ac:dyDescent="0.2">
      <c r="A945" s="2">
        <v>807</v>
      </c>
      <c r="B945" s="2" t="s">
        <v>9</v>
      </c>
      <c r="C945" s="2" t="s">
        <v>1369</v>
      </c>
      <c r="D945" s="2" t="s">
        <v>45</v>
      </c>
      <c r="E945" s="2">
        <v>10013</v>
      </c>
      <c r="F945" s="2" t="s">
        <v>42</v>
      </c>
      <c r="G945" s="2" t="s">
        <v>36</v>
      </c>
      <c r="H945" s="2">
        <v>1</v>
      </c>
      <c r="I945" s="2" t="s">
        <v>14</v>
      </c>
      <c r="J945" s="2" t="str">
        <f>VLOOKUP(E945,[1]LL_Hub!$A$1:$B$13,2,FALSE)</f>
        <v>New York</v>
      </c>
      <c r="K945" t="str">
        <f>VLOOKUP(D945,'[2]product Table data'!$A$2:$B$12,2,FALSE)</f>
        <v>Female</v>
      </c>
      <c r="L945" t="str">
        <f>VLOOKUP($D945,'[2]product Table data'!$A$2:$G$12,L$1,FALSE)</f>
        <v>Winter Warmth</v>
      </c>
      <c r="M945" t="str">
        <f>VLOOKUP($D945,'[2]product Table data'!$A$2:$G$12,M$1,FALSE)</f>
        <v>Romania</v>
      </c>
      <c r="N945" t="str">
        <f>VLOOKUP($D945,'[2]product Table data'!$A$2:$G$12,N$1,FALSE)</f>
        <v>Eastern Europe</v>
      </c>
      <c r="O945">
        <f>VLOOKUP($D945,'[2]product Table data'!$A$2:$G$12,O$1,FALSE)</f>
        <v>350</v>
      </c>
      <c r="P945">
        <f>VLOOKUP($D945,'[2]product Table data'!$A$2:$G$12,P$1,FALSE)</f>
        <v>450</v>
      </c>
      <c r="Q945">
        <f t="shared" si="70"/>
        <v>100</v>
      </c>
      <c r="R945" t="str">
        <f t="shared" si="71"/>
        <v>-</v>
      </c>
      <c r="S945" t="str">
        <f t="shared" si="72"/>
        <v>-</v>
      </c>
      <c r="T945" t="str">
        <f t="shared" si="73"/>
        <v>-</v>
      </c>
      <c r="U945" t="str">
        <f t="shared" si="74"/>
        <v>High Value</v>
      </c>
    </row>
    <row r="946" spans="1:21" x14ac:dyDescent="0.2">
      <c r="A946" s="2">
        <v>808</v>
      </c>
      <c r="B946" s="2" t="s">
        <v>9</v>
      </c>
      <c r="C946" s="2" t="s">
        <v>1370</v>
      </c>
      <c r="D946" s="2" t="s">
        <v>45</v>
      </c>
      <c r="E946" s="2">
        <v>10013</v>
      </c>
      <c r="F946" s="2" t="s">
        <v>42</v>
      </c>
      <c r="G946" s="2" t="s">
        <v>36</v>
      </c>
      <c r="H946" s="2">
        <v>1</v>
      </c>
      <c r="I946" s="2" t="s">
        <v>14</v>
      </c>
      <c r="J946" s="2" t="str">
        <f>VLOOKUP(E946,[1]LL_Hub!$A$1:$B$13,2,FALSE)</f>
        <v>New York</v>
      </c>
      <c r="K946" t="str">
        <f>VLOOKUP(D946,'[2]product Table data'!$A$2:$B$12,2,FALSE)</f>
        <v>Female</v>
      </c>
      <c r="L946" t="str">
        <f>VLOOKUP($D946,'[2]product Table data'!$A$2:$G$12,L$1,FALSE)</f>
        <v>Winter Warmth</v>
      </c>
      <c r="M946" t="str">
        <f>VLOOKUP($D946,'[2]product Table data'!$A$2:$G$12,M$1,FALSE)</f>
        <v>Romania</v>
      </c>
      <c r="N946" t="str">
        <f>VLOOKUP($D946,'[2]product Table data'!$A$2:$G$12,N$1,FALSE)</f>
        <v>Eastern Europe</v>
      </c>
      <c r="O946">
        <f>VLOOKUP($D946,'[2]product Table data'!$A$2:$G$12,O$1,FALSE)</f>
        <v>350</v>
      </c>
      <c r="P946">
        <f>VLOOKUP($D946,'[2]product Table data'!$A$2:$G$12,P$1,FALSE)</f>
        <v>450</v>
      </c>
      <c r="Q946">
        <f t="shared" si="70"/>
        <v>100</v>
      </c>
      <c r="R946" t="str">
        <f t="shared" si="71"/>
        <v>-</v>
      </c>
      <c r="S946" t="str">
        <f t="shared" si="72"/>
        <v>-</v>
      </c>
      <c r="T946" t="str">
        <f t="shared" si="73"/>
        <v>-</v>
      </c>
      <c r="U946" t="str">
        <f t="shared" si="74"/>
        <v>High Value</v>
      </c>
    </row>
    <row r="947" spans="1:21" x14ac:dyDescent="0.2">
      <c r="A947" s="2">
        <v>809</v>
      </c>
      <c r="B947" s="2" t="s">
        <v>9</v>
      </c>
      <c r="C947" s="2" t="s">
        <v>1371</v>
      </c>
      <c r="D947" s="2" t="s">
        <v>45</v>
      </c>
      <c r="E947" s="2">
        <v>10013</v>
      </c>
      <c r="F947" s="2" t="s">
        <v>42</v>
      </c>
      <c r="G947" s="2" t="s">
        <v>36</v>
      </c>
      <c r="H947" s="2">
        <v>1</v>
      </c>
      <c r="I947" s="2" t="s">
        <v>14</v>
      </c>
      <c r="J947" s="2" t="str">
        <f>VLOOKUP(E947,[1]LL_Hub!$A$1:$B$13,2,FALSE)</f>
        <v>New York</v>
      </c>
      <c r="K947" t="str">
        <f>VLOOKUP(D947,'[2]product Table data'!$A$2:$B$12,2,FALSE)</f>
        <v>Female</v>
      </c>
      <c r="L947" t="str">
        <f>VLOOKUP($D947,'[2]product Table data'!$A$2:$G$12,L$1,FALSE)</f>
        <v>Winter Warmth</v>
      </c>
      <c r="M947" t="str">
        <f>VLOOKUP($D947,'[2]product Table data'!$A$2:$G$12,M$1,FALSE)</f>
        <v>Romania</v>
      </c>
      <c r="N947" t="str">
        <f>VLOOKUP($D947,'[2]product Table data'!$A$2:$G$12,N$1,FALSE)</f>
        <v>Eastern Europe</v>
      </c>
      <c r="O947">
        <f>VLOOKUP($D947,'[2]product Table data'!$A$2:$G$12,O$1,FALSE)</f>
        <v>350</v>
      </c>
      <c r="P947">
        <f>VLOOKUP($D947,'[2]product Table data'!$A$2:$G$12,P$1,FALSE)</f>
        <v>450</v>
      </c>
      <c r="Q947">
        <f t="shared" si="70"/>
        <v>100</v>
      </c>
      <c r="R947" t="str">
        <f t="shared" si="71"/>
        <v>-</v>
      </c>
      <c r="S947" t="str">
        <f t="shared" si="72"/>
        <v>-</v>
      </c>
      <c r="T947" t="str">
        <f t="shared" si="73"/>
        <v>-</v>
      </c>
      <c r="U947" t="str">
        <f t="shared" si="74"/>
        <v>High Value</v>
      </c>
    </row>
    <row r="948" spans="1:21" x14ac:dyDescent="0.2">
      <c r="A948" s="2">
        <v>810</v>
      </c>
      <c r="B948" s="2" t="s">
        <v>9</v>
      </c>
      <c r="C948" s="2" t="s">
        <v>1372</v>
      </c>
      <c r="D948" s="2" t="s">
        <v>45</v>
      </c>
      <c r="E948" s="2">
        <v>10013</v>
      </c>
      <c r="F948" s="2" t="s">
        <v>42</v>
      </c>
      <c r="G948" s="2" t="s">
        <v>36</v>
      </c>
      <c r="H948" s="2">
        <v>1</v>
      </c>
      <c r="I948" s="2" t="s">
        <v>14</v>
      </c>
      <c r="J948" s="2" t="str">
        <f>VLOOKUP(E948,[1]LL_Hub!$A$1:$B$13,2,FALSE)</f>
        <v>New York</v>
      </c>
      <c r="K948" t="str">
        <f>VLOOKUP(D948,'[2]product Table data'!$A$2:$B$12,2,FALSE)</f>
        <v>Female</v>
      </c>
      <c r="L948" t="str">
        <f>VLOOKUP($D948,'[2]product Table data'!$A$2:$G$12,L$1,FALSE)</f>
        <v>Winter Warmth</v>
      </c>
      <c r="M948" t="str">
        <f>VLOOKUP($D948,'[2]product Table data'!$A$2:$G$12,M$1,FALSE)</f>
        <v>Romania</v>
      </c>
      <c r="N948" t="str">
        <f>VLOOKUP($D948,'[2]product Table data'!$A$2:$G$12,N$1,FALSE)</f>
        <v>Eastern Europe</v>
      </c>
      <c r="O948">
        <f>VLOOKUP($D948,'[2]product Table data'!$A$2:$G$12,O$1,FALSE)</f>
        <v>350</v>
      </c>
      <c r="P948">
        <f>VLOOKUP($D948,'[2]product Table data'!$A$2:$G$12,P$1,FALSE)</f>
        <v>450</v>
      </c>
      <c r="Q948">
        <f t="shared" si="70"/>
        <v>100</v>
      </c>
      <c r="R948" t="str">
        <f t="shared" si="71"/>
        <v>-</v>
      </c>
      <c r="S948" t="str">
        <f t="shared" si="72"/>
        <v>-</v>
      </c>
      <c r="T948" t="str">
        <f t="shared" si="73"/>
        <v>-</v>
      </c>
      <c r="U948" t="str">
        <f t="shared" si="74"/>
        <v>High Value</v>
      </c>
    </row>
    <row r="949" spans="1:21" x14ac:dyDescent="0.2">
      <c r="A949" s="2">
        <v>811</v>
      </c>
      <c r="B949" s="2" t="s">
        <v>9</v>
      </c>
      <c r="C949" s="2" t="s">
        <v>1373</v>
      </c>
      <c r="D949" s="2" t="s">
        <v>45</v>
      </c>
      <c r="E949" s="2">
        <v>10013</v>
      </c>
      <c r="F949" s="2" t="s">
        <v>42</v>
      </c>
      <c r="G949" s="2" t="s">
        <v>36</v>
      </c>
      <c r="H949" s="2">
        <v>1</v>
      </c>
      <c r="I949" s="2" t="s">
        <v>14</v>
      </c>
      <c r="J949" s="2" t="str">
        <f>VLOOKUP(E949,[1]LL_Hub!$A$1:$B$13,2,FALSE)</f>
        <v>New York</v>
      </c>
      <c r="K949" t="str">
        <f>VLOOKUP(D949,'[2]product Table data'!$A$2:$B$12,2,FALSE)</f>
        <v>Female</v>
      </c>
      <c r="L949" t="str">
        <f>VLOOKUP($D949,'[2]product Table data'!$A$2:$G$12,L$1,FALSE)</f>
        <v>Winter Warmth</v>
      </c>
      <c r="M949" t="str">
        <f>VLOOKUP($D949,'[2]product Table data'!$A$2:$G$12,M$1,FALSE)</f>
        <v>Romania</v>
      </c>
      <c r="N949" t="str">
        <f>VLOOKUP($D949,'[2]product Table data'!$A$2:$G$12,N$1,FALSE)</f>
        <v>Eastern Europe</v>
      </c>
      <c r="O949">
        <f>VLOOKUP($D949,'[2]product Table data'!$A$2:$G$12,O$1,FALSE)</f>
        <v>350</v>
      </c>
      <c r="P949">
        <f>VLOOKUP($D949,'[2]product Table data'!$A$2:$G$12,P$1,FALSE)</f>
        <v>450</v>
      </c>
      <c r="Q949">
        <f t="shared" si="70"/>
        <v>100</v>
      </c>
      <c r="R949" t="str">
        <f t="shared" si="71"/>
        <v>-</v>
      </c>
      <c r="S949" t="str">
        <f t="shared" si="72"/>
        <v>-</v>
      </c>
      <c r="T949" t="str">
        <f t="shared" si="73"/>
        <v>-</v>
      </c>
      <c r="U949" t="str">
        <f t="shared" si="74"/>
        <v>High Value</v>
      </c>
    </row>
    <row r="950" spans="1:21" x14ac:dyDescent="0.2">
      <c r="A950" s="2">
        <v>812</v>
      </c>
      <c r="B950" s="2" t="s">
        <v>9</v>
      </c>
      <c r="C950" s="2" t="s">
        <v>1374</v>
      </c>
      <c r="D950" s="2" t="s">
        <v>45</v>
      </c>
      <c r="E950" s="2">
        <v>10013</v>
      </c>
      <c r="F950" s="2" t="s">
        <v>42</v>
      </c>
      <c r="G950" s="2" t="s">
        <v>36</v>
      </c>
      <c r="H950" s="2">
        <v>1</v>
      </c>
      <c r="I950" s="2" t="s">
        <v>14</v>
      </c>
      <c r="J950" s="2" t="str">
        <f>VLOOKUP(E950,[1]LL_Hub!$A$1:$B$13,2,FALSE)</f>
        <v>New York</v>
      </c>
      <c r="K950" t="str">
        <f>VLOOKUP(D950,'[2]product Table data'!$A$2:$B$12,2,FALSE)</f>
        <v>Female</v>
      </c>
      <c r="L950" t="str">
        <f>VLOOKUP($D950,'[2]product Table data'!$A$2:$G$12,L$1,FALSE)</f>
        <v>Winter Warmth</v>
      </c>
      <c r="M950" t="str">
        <f>VLOOKUP($D950,'[2]product Table data'!$A$2:$G$12,M$1,FALSE)</f>
        <v>Romania</v>
      </c>
      <c r="N950" t="str">
        <f>VLOOKUP($D950,'[2]product Table data'!$A$2:$G$12,N$1,FALSE)</f>
        <v>Eastern Europe</v>
      </c>
      <c r="O950">
        <f>VLOOKUP($D950,'[2]product Table data'!$A$2:$G$12,O$1,FALSE)</f>
        <v>350</v>
      </c>
      <c r="P950">
        <f>VLOOKUP($D950,'[2]product Table data'!$A$2:$G$12,P$1,FALSE)</f>
        <v>450</v>
      </c>
      <c r="Q950">
        <f t="shared" si="70"/>
        <v>100</v>
      </c>
      <c r="R950" t="str">
        <f t="shared" si="71"/>
        <v>-</v>
      </c>
      <c r="S950" t="str">
        <f t="shared" si="72"/>
        <v>-</v>
      </c>
      <c r="T950" t="str">
        <f t="shared" si="73"/>
        <v>-</v>
      </c>
      <c r="U950" t="str">
        <f t="shared" si="74"/>
        <v>High Value</v>
      </c>
    </row>
    <row r="951" spans="1:21" x14ac:dyDescent="0.2">
      <c r="A951" s="2">
        <v>813</v>
      </c>
      <c r="B951" s="2" t="s">
        <v>9</v>
      </c>
      <c r="C951" s="2" t="s">
        <v>1375</v>
      </c>
      <c r="D951" s="2" t="s">
        <v>45</v>
      </c>
      <c r="E951" s="2">
        <v>10013</v>
      </c>
      <c r="F951" s="2" t="s">
        <v>42</v>
      </c>
      <c r="G951" s="2" t="s">
        <v>36</v>
      </c>
      <c r="H951" s="2">
        <v>1</v>
      </c>
      <c r="I951" s="2" t="s">
        <v>14</v>
      </c>
      <c r="J951" s="2" t="str">
        <f>VLOOKUP(E951,[1]LL_Hub!$A$1:$B$13,2,FALSE)</f>
        <v>New York</v>
      </c>
      <c r="K951" t="str">
        <f>VLOOKUP(D951,'[2]product Table data'!$A$2:$B$12,2,FALSE)</f>
        <v>Female</v>
      </c>
      <c r="L951" t="str">
        <f>VLOOKUP($D951,'[2]product Table data'!$A$2:$G$12,L$1,FALSE)</f>
        <v>Winter Warmth</v>
      </c>
      <c r="M951" t="str">
        <f>VLOOKUP($D951,'[2]product Table data'!$A$2:$G$12,M$1,FALSE)</f>
        <v>Romania</v>
      </c>
      <c r="N951" t="str">
        <f>VLOOKUP($D951,'[2]product Table data'!$A$2:$G$12,N$1,FALSE)</f>
        <v>Eastern Europe</v>
      </c>
      <c r="O951">
        <f>VLOOKUP($D951,'[2]product Table data'!$A$2:$G$12,O$1,FALSE)</f>
        <v>350</v>
      </c>
      <c r="P951">
        <f>VLOOKUP($D951,'[2]product Table data'!$A$2:$G$12,P$1,FALSE)</f>
        <v>450</v>
      </c>
      <c r="Q951">
        <f t="shared" si="70"/>
        <v>100</v>
      </c>
      <c r="R951" t="str">
        <f t="shared" si="71"/>
        <v>-</v>
      </c>
      <c r="S951" t="str">
        <f t="shared" si="72"/>
        <v>-</v>
      </c>
      <c r="T951" t="str">
        <f t="shared" si="73"/>
        <v>-</v>
      </c>
      <c r="U951" t="str">
        <f t="shared" si="74"/>
        <v>High Value</v>
      </c>
    </row>
    <row r="952" spans="1:21" x14ac:dyDescent="0.2">
      <c r="A952" s="2">
        <v>814</v>
      </c>
      <c r="B952" s="2" t="s">
        <v>9</v>
      </c>
      <c r="C952" s="2" t="s">
        <v>1376</v>
      </c>
      <c r="D952" s="2" t="s">
        <v>45</v>
      </c>
      <c r="E952" s="2">
        <v>10013</v>
      </c>
      <c r="F952" s="2" t="s">
        <v>42</v>
      </c>
      <c r="G952" s="2" t="s">
        <v>36</v>
      </c>
      <c r="H952" s="2">
        <v>1</v>
      </c>
      <c r="I952" s="2" t="s">
        <v>14</v>
      </c>
      <c r="J952" s="2" t="str">
        <f>VLOOKUP(E952,[1]LL_Hub!$A$1:$B$13,2,FALSE)</f>
        <v>New York</v>
      </c>
      <c r="K952" t="str">
        <f>VLOOKUP(D952,'[2]product Table data'!$A$2:$B$12,2,FALSE)</f>
        <v>Female</v>
      </c>
      <c r="L952" t="str">
        <f>VLOOKUP($D952,'[2]product Table data'!$A$2:$G$12,L$1,FALSE)</f>
        <v>Winter Warmth</v>
      </c>
      <c r="M952" t="str">
        <f>VLOOKUP($D952,'[2]product Table data'!$A$2:$G$12,M$1,FALSE)</f>
        <v>Romania</v>
      </c>
      <c r="N952" t="str">
        <f>VLOOKUP($D952,'[2]product Table data'!$A$2:$G$12,N$1,FALSE)</f>
        <v>Eastern Europe</v>
      </c>
      <c r="O952">
        <f>VLOOKUP($D952,'[2]product Table data'!$A$2:$G$12,O$1,FALSE)</f>
        <v>350</v>
      </c>
      <c r="P952">
        <f>VLOOKUP($D952,'[2]product Table data'!$A$2:$G$12,P$1,FALSE)</f>
        <v>450</v>
      </c>
      <c r="Q952">
        <f t="shared" si="70"/>
        <v>100</v>
      </c>
      <c r="R952" t="str">
        <f t="shared" si="71"/>
        <v>-</v>
      </c>
      <c r="S952" t="str">
        <f t="shared" si="72"/>
        <v>-</v>
      </c>
      <c r="T952" t="str">
        <f t="shared" si="73"/>
        <v>-</v>
      </c>
      <c r="U952" t="str">
        <f t="shared" si="74"/>
        <v>High Value</v>
      </c>
    </row>
    <row r="953" spans="1:21" x14ac:dyDescent="0.2">
      <c r="A953" s="2">
        <v>815</v>
      </c>
      <c r="B953" s="2" t="s">
        <v>9</v>
      </c>
      <c r="C953" s="2" t="s">
        <v>1377</v>
      </c>
      <c r="D953" s="2" t="s">
        <v>45</v>
      </c>
      <c r="E953" s="2">
        <v>10013</v>
      </c>
      <c r="F953" s="2" t="s">
        <v>42</v>
      </c>
      <c r="G953" s="2" t="s">
        <v>36</v>
      </c>
      <c r="H953" s="2">
        <v>1</v>
      </c>
      <c r="I953" s="2" t="s">
        <v>14</v>
      </c>
      <c r="J953" s="2" t="str">
        <f>VLOOKUP(E953,[1]LL_Hub!$A$1:$B$13,2,FALSE)</f>
        <v>New York</v>
      </c>
      <c r="K953" t="str">
        <f>VLOOKUP(D953,'[2]product Table data'!$A$2:$B$12,2,FALSE)</f>
        <v>Female</v>
      </c>
      <c r="L953" t="str">
        <f>VLOOKUP($D953,'[2]product Table data'!$A$2:$G$12,L$1,FALSE)</f>
        <v>Winter Warmth</v>
      </c>
      <c r="M953" t="str">
        <f>VLOOKUP($D953,'[2]product Table data'!$A$2:$G$12,M$1,FALSE)</f>
        <v>Romania</v>
      </c>
      <c r="N953" t="str">
        <f>VLOOKUP($D953,'[2]product Table data'!$A$2:$G$12,N$1,FALSE)</f>
        <v>Eastern Europe</v>
      </c>
      <c r="O953">
        <f>VLOOKUP($D953,'[2]product Table data'!$A$2:$G$12,O$1,FALSE)</f>
        <v>350</v>
      </c>
      <c r="P953">
        <f>VLOOKUP($D953,'[2]product Table data'!$A$2:$G$12,P$1,FALSE)</f>
        <v>450</v>
      </c>
      <c r="Q953">
        <f t="shared" si="70"/>
        <v>100</v>
      </c>
      <c r="R953" t="str">
        <f t="shared" si="71"/>
        <v>-</v>
      </c>
      <c r="S953" t="str">
        <f t="shared" si="72"/>
        <v>-</v>
      </c>
      <c r="T953" t="str">
        <f t="shared" si="73"/>
        <v>-</v>
      </c>
      <c r="U953" t="str">
        <f t="shared" si="74"/>
        <v>High Value</v>
      </c>
    </row>
    <row r="954" spans="1:21" x14ac:dyDescent="0.2">
      <c r="A954" s="2">
        <v>816</v>
      </c>
      <c r="B954" s="2" t="s">
        <v>9</v>
      </c>
      <c r="C954" s="2" t="s">
        <v>1378</v>
      </c>
      <c r="D954" s="2" t="s">
        <v>45</v>
      </c>
      <c r="E954" s="2">
        <v>10013</v>
      </c>
      <c r="F954" s="2" t="s">
        <v>42</v>
      </c>
      <c r="G954" s="2" t="s">
        <v>36</v>
      </c>
      <c r="H954" s="2">
        <v>1</v>
      </c>
      <c r="I954" s="2" t="s">
        <v>14</v>
      </c>
      <c r="J954" s="2" t="str">
        <f>VLOOKUP(E954,[1]LL_Hub!$A$1:$B$13,2,FALSE)</f>
        <v>New York</v>
      </c>
      <c r="K954" t="str">
        <f>VLOOKUP(D954,'[2]product Table data'!$A$2:$B$12,2,FALSE)</f>
        <v>Female</v>
      </c>
      <c r="L954" t="str">
        <f>VLOOKUP($D954,'[2]product Table data'!$A$2:$G$12,L$1,FALSE)</f>
        <v>Winter Warmth</v>
      </c>
      <c r="M954" t="str">
        <f>VLOOKUP($D954,'[2]product Table data'!$A$2:$G$12,M$1,FALSE)</f>
        <v>Romania</v>
      </c>
      <c r="N954" t="str">
        <f>VLOOKUP($D954,'[2]product Table data'!$A$2:$G$12,N$1,FALSE)</f>
        <v>Eastern Europe</v>
      </c>
      <c r="O954">
        <f>VLOOKUP($D954,'[2]product Table data'!$A$2:$G$12,O$1,FALSE)</f>
        <v>350</v>
      </c>
      <c r="P954">
        <f>VLOOKUP($D954,'[2]product Table data'!$A$2:$G$12,P$1,FALSE)</f>
        <v>450</v>
      </c>
      <c r="Q954">
        <f t="shared" si="70"/>
        <v>100</v>
      </c>
      <c r="R954" t="str">
        <f t="shared" si="71"/>
        <v>-</v>
      </c>
      <c r="S954" t="str">
        <f t="shared" si="72"/>
        <v>-</v>
      </c>
      <c r="T954" t="str">
        <f t="shared" si="73"/>
        <v>-</v>
      </c>
      <c r="U954" t="str">
        <f t="shared" si="74"/>
        <v>High Value</v>
      </c>
    </row>
    <row r="955" spans="1:21" x14ac:dyDescent="0.2">
      <c r="A955" s="2">
        <v>817</v>
      </c>
      <c r="B955" s="2" t="s">
        <v>9</v>
      </c>
      <c r="C955" s="2" t="s">
        <v>1379</v>
      </c>
      <c r="D955" s="2" t="s">
        <v>45</v>
      </c>
      <c r="E955" s="2">
        <v>10013</v>
      </c>
      <c r="F955" s="2" t="s">
        <v>42</v>
      </c>
      <c r="G955" s="2" t="s">
        <v>36</v>
      </c>
      <c r="H955" s="2">
        <v>1</v>
      </c>
      <c r="I955" s="2" t="s">
        <v>14</v>
      </c>
      <c r="J955" s="2" t="str">
        <f>VLOOKUP(E955,[1]LL_Hub!$A$1:$B$13,2,FALSE)</f>
        <v>New York</v>
      </c>
      <c r="K955" t="str">
        <f>VLOOKUP(D955,'[2]product Table data'!$A$2:$B$12,2,FALSE)</f>
        <v>Female</v>
      </c>
      <c r="L955" t="str">
        <f>VLOOKUP($D955,'[2]product Table data'!$A$2:$G$12,L$1,FALSE)</f>
        <v>Winter Warmth</v>
      </c>
      <c r="M955" t="str">
        <f>VLOOKUP($D955,'[2]product Table data'!$A$2:$G$12,M$1,FALSE)</f>
        <v>Romania</v>
      </c>
      <c r="N955" t="str">
        <f>VLOOKUP($D955,'[2]product Table data'!$A$2:$G$12,N$1,FALSE)</f>
        <v>Eastern Europe</v>
      </c>
      <c r="O955">
        <f>VLOOKUP($D955,'[2]product Table data'!$A$2:$G$12,O$1,FALSE)</f>
        <v>350</v>
      </c>
      <c r="P955">
        <f>VLOOKUP($D955,'[2]product Table data'!$A$2:$G$12,P$1,FALSE)</f>
        <v>450</v>
      </c>
      <c r="Q955">
        <f t="shared" si="70"/>
        <v>100</v>
      </c>
      <c r="R955" t="str">
        <f t="shared" si="71"/>
        <v>-</v>
      </c>
      <c r="S955" t="str">
        <f t="shared" si="72"/>
        <v>-</v>
      </c>
      <c r="T955" t="str">
        <f t="shared" si="73"/>
        <v>-</v>
      </c>
      <c r="U955" t="str">
        <f t="shared" si="74"/>
        <v>High Value</v>
      </c>
    </row>
    <row r="956" spans="1:21" x14ac:dyDescent="0.2">
      <c r="A956" s="2">
        <v>818</v>
      </c>
      <c r="B956" s="2" t="s">
        <v>9</v>
      </c>
      <c r="C956" s="2" t="s">
        <v>1380</v>
      </c>
      <c r="D956" s="2" t="s">
        <v>45</v>
      </c>
      <c r="E956" s="2">
        <v>10013</v>
      </c>
      <c r="F956" s="2" t="s">
        <v>42</v>
      </c>
      <c r="G956" s="2" t="s">
        <v>36</v>
      </c>
      <c r="H956" s="2">
        <v>1</v>
      </c>
      <c r="I956" s="2" t="s">
        <v>14</v>
      </c>
      <c r="J956" s="2" t="str">
        <f>VLOOKUP(E956,[1]LL_Hub!$A$1:$B$13,2,FALSE)</f>
        <v>New York</v>
      </c>
      <c r="K956" t="str">
        <f>VLOOKUP(D956,'[2]product Table data'!$A$2:$B$12,2,FALSE)</f>
        <v>Female</v>
      </c>
      <c r="L956" t="str">
        <f>VLOOKUP($D956,'[2]product Table data'!$A$2:$G$12,L$1,FALSE)</f>
        <v>Winter Warmth</v>
      </c>
      <c r="M956" t="str">
        <f>VLOOKUP($D956,'[2]product Table data'!$A$2:$G$12,M$1,FALSE)</f>
        <v>Romania</v>
      </c>
      <c r="N956" t="str">
        <f>VLOOKUP($D956,'[2]product Table data'!$A$2:$G$12,N$1,FALSE)</f>
        <v>Eastern Europe</v>
      </c>
      <c r="O956">
        <f>VLOOKUP($D956,'[2]product Table data'!$A$2:$G$12,O$1,FALSE)</f>
        <v>350</v>
      </c>
      <c r="P956">
        <f>VLOOKUP($D956,'[2]product Table data'!$A$2:$G$12,P$1,FALSE)</f>
        <v>450</v>
      </c>
      <c r="Q956">
        <f t="shared" si="70"/>
        <v>100</v>
      </c>
      <c r="R956" t="str">
        <f t="shared" si="71"/>
        <v>-</v>
      </c>
      <c r="S956" t="str">
        <f t="shared" si="72"/>
        <v>-</v>
      </c>
      <c r="T956" t="str">
        <f t="shared" si="73"/>
        <v>-</v>
      </c>
      <c r="U956" t="str">
        <f t="shared" si="74"/>
        <v>High Value</v>
      </c>
    </row>
    <row r="957" spans="1:21" x14ac:dyDescent="0.2">
      <c r="A957" s="2">
        <v>819</v>
      </c>
      <c r="B957" s="2" t="s">
        <v>9</v>
      </c>
      <c r="C957" s="2" t="s">
        <v>1381</v>
      </c>
      <c r="D957" s="2" t="s">
        <v>45</v>
      </c>
      <c r="E957" s="2">
        <v>10013</v>
      </c>
      <c r="F957" s="2" t="s">
        <v>42</v>
      </c>
      <c r="G957" s="2" t="s">
        <v>36</v>
      </c>
      <c r="H957" s="2">
        <v>1</v>
      </c>
      <c r="I957" s="2" t="s">
        <v>14</v>
      </c>
      <c r="J957" s="2" t="str">
        <f>VLOOKUP(E957,[1]LL_Hub!$A$1:$B$13,2,FALSE)</f>
        <v>New York</v>
      </c>
      <c r="K957" t="str">
        <f>VLOOKUP(D957,'[2]product Table data'!$A$2:$B$12,2,FALSE)</f>
        <v>Female</v>
      </c>
      <c r="L957" t="str">
        <f>VLOOKUP($D957,'[2]product Table data'!$A$2:$G$12,L$1,FALSE)</f>
        <v>Winter Warmth</v>
      </c>
      <c r="M957" t="str">
        <f>VLOOKUP($D957,'[2]product Table data'!$A$2:$G$12,M$1,FALSE)</f>
        <v>Romania</v>
      </c>
      <c r="N957" t="str">
        <f>VLOOKUP($D957,'[2]product Table data'!$A$2:$G$12,N$1,FALSE)</f>
        <v>Eastern Europe</v>
      </c>
      <c r="O957">
        <f>VLOOKUP($D957,'[2]product Table data'!$A$2:$G$12,O$1,FALSE)</f>
        <v>350</v>
      </c>
      <c r="P957">
        <f>VLOOKUP($D957,'[2]product Table data'!$A$2:$G$12,P$1,FALSE)</f>
        <v>450</v>
      </c>
      <c r="Q957">
        <f t="shared" si="70"/>
        <v>100</v>
      </c>
      <c r="R957" t="str">
        <f t="shared" si="71"/>
        <v>-</v>
      </c>
      <c r="S957" t="str">
        <f t="shared" si="72"/>
        <v>-</v>
      </c>
      <c r="T957" t="str">
        <f t="shared" si="73"/>
        <v>-</v>
      </c>
      <c r="U957" t="str">
        <f t="shared" si="74"/>
        <v>High Value</v>
      </c>
    </row>
    <row r="958" spans="1:21" x14ac:dyDescent="0.2">
      <c r="A958" s="2">
        <v>820</v>
      </c>
      <c r="B958" s="2" t="s">
        <v>9</v>
      </c>
      <c r="C958" s="2" t="s">
        <v>1382</v>
      </c>
      <c r="D958" s="2" t="s">
        <v>45</v>
      </c>
      <c r="E958" s="2">
        <v>10013</v>
      </c>
      <c r="F958" s="2" t="s">
        <v>42</v>
      </c>
      <c r="G958" s="2" t="s">
        <v>36</v>
      </c>
      <c r="H958" s="2">
        <v>1</v>
      </c>
      <c r="I958" s="2" t="s">
        <v>14</v>
      </c>
      <c r="J958" s="2" t="str">
        <f>VLOOKUP(E958,[1]LL_Hub!$A$1:$B$13,2,FALSE)</f>
        <v>New York</v>
      </c>
      <c r="K958" t="str">
        <f>VLOOKUP(D958,'[2]product Table data'!$A$2:$B$12,2,FALSE)</f>
        <v>Female</v>
      </c>
      <c r="L958" t="str">
        <f>VLOOKUP($D958,'[2]product Table data'!$A$2:$G$12,L$1,FALSE)</f>
        <v>Winter Warmth</v>
      </c>
      <c r="M958" t="str">
        <f>VLOOKUP($D958,'[2]product Table data'!$A$2:$G$12,M$1,FALSE)</f>
        <v>Romania</v>
      </c>
      <c r="N958" t="str">
        <f>VLOOKUP($D958,'[2]product Table data'!$A$2:$G$12,N$1,FALSE)</f>
        <v>Eastern Europe</v>
      </c>
      <c r="O958">
        <f>VLOOKUP($D958,'[2]product Table data'!$A$2:$G$12,O$1,FALSE)</f>
        <v>350</v>
      </c>
      <c r="P958">
        <f>VLOOKUP($D958,'[2]product Table data'!$A$2:$G$12,P$1,FALSE)</f>
        <v>450</v>
      </c>
      <c r="Q958">
        <f t="shared" si="70"/>
        <v>100</v>
      </c>
      <c r="R958" t="str">
        <f t="shared" si="71"/>
        <v>-</v>
      </c>
      <c r="S958" t="str">
        <f t="shared" si="72"/>
        <v>-</v>
      </c>
      <c r="T958" t="str">
        <f t="shared" si="73"/>
        <v>-</v>
      </c>
      <c r="U958" t="str">
        <f t="shared" si="74"/>
        <v>High Value</v>
      </c>
    </row>
    <row r="959" spans="1:21" x14ac:dyDescent="0.2">
      <c r="A959" s="2">
        <v>821</v>
      </c>
      <c r="B959" s="2" t="s">
        <v>9</v>
      </c>
      <c r="C959" s="2" t="s">
        <v>1383</v>
      </c>
      <c r="D959" s="2" t="s">
        <v>45</v>
      </c>
      <c r="E959" s="2">
        <v>10013</v>
      </c>
      <c r="F959" s="2" t="s">
        <v>42</v>
      </c>
      <c r="G959" s="2" t="s">
        <v>36</v>
      </c>
      <c r="H959" s="2">
        <v>1</v>
      </c>
      <c r="I959" s="2" t="s">
        <v>14</v>
      </c>
      <c r="J959" s="2" t="str">
        <f>VLOOKUP(E959,[1]LL_Hub!$A$1:$B$13,2,FALSE)</f>
        <v>New York</v>
      </c>
      <c r="K959" t="str">
        <f>VLOOKUP(D959,'[2]product Table data'!$A$2:$B$12,2,FALSE)</f>
        <v>Female</v>
      </c>
      <c r="L959" t="str">
        <f>VLOOKUP($D959,'[2]product Table data'!$A$2:$G$12,L$1,FALSE)</f>
        <v>Winter Warmth</v>
      </c>
      <c r="M959" t="str">
        <f>VLOOKUP($D959,'[2]product Table data'!$A$2:$G$12,M$1,FALSE)</f>
        <v>Romania</v>
      </c>
      <c r="N959" t="str">
        <f>VLOOKUP($D959,'[2]product Table data'!$A$2:$G$12,N$1,FALSE)</f>
        <v>Eastern Europe</v>
      </c>
      <c r="O959">
        <f>VLOOKUP($D959,'[2]product Table data'!$A$2:$G$12,O$1,FALSE)</f>
        <v>350</v>
      </c>
      <c r="P959">
        <f>VLOOKUP($D959,'[2]product Table data'!$A$2:$G$12,P$1,FALSE)</f>
        <v>450</v>
      </c>
      <c r="Q959">
        <f t="shared" si="70"/>
        <v>100</v>
      </c>
      <c r="R959" t="str">
        <f t="shared" si="71"/>
        <v>-</v>
      </c>
      <c r="S959" t="str">
        <f t="shared" si="72"/>
        <v>-</v>
      </c>
      <c r="T959" t="str">
        <f t="shared" si="73"/>
        <v>-</v>
      </c>
      <c r="U959" t="str">
        <f t="shared" si="74"/>
        <v>High Value</v>
      </c>
    </row>
    <row r="960" spans="1:21" x14ac:dyDescent="0.2">
      <c r="A960" s="2">
        <v>822</v>
      </c>
      <c r="B960" s="2" t="s">
        <v>9</v>
      </c>
      <c r="C960" s="2" t="s">
        <v>1384</v>
      </c>
      <c r="D960" s="2" t="s">
        <v>45</v>
      </c>
      <c r="E960" s="2">
        <v>10013</v>
      </c>
      <c r="F960" s="2" t="s">
        <v>42</v>
      </c>
      <c r="G960" s="2" t="s">
        <v>36</v>
      </c>
      <c r="H960" s="2">
        <v>1</v>
      </c>
      <c r="I960" s="2" t="s">
        <v>14</v>
      </c>
      <c r="J960" s="2" t="str">
        <f>VLOOKUP(E960,[1]LL_Hub!$A$1:$B$13,2,FALSE)</f>
        <v>New York</v>
      </c>
      <c r="K960" t="str">
        <f>VLOOKUP(D960,'[2]product Table data'!$A$2:$B$12,2,FALSE)</f>
        <v>Female</v>
      </c>
      <c r="L960" t="str">
        <f>VLOOKUP($D960,'[2]product Table data'!$A$2:$G$12,L$1,FALSE)</f>
        <v>Winter Warmth</v>
      </c>
      <c r="M960" t="str">
        <f>VLOOKUP($D960,'[2]product Table data'!$A$2:$G$12,M$1,FALSE)</f>
        <v>Romania</v>
      </c>
      <c r="N960" t="str">
        <f>VLOOKUP($D960,'[2]product Table data'!$A$2:$G$12,N$1,FALSE)</f>
        <v>Eastern Europe</v>
      </c>
      <c r="O960">
        <f>VLOOKUP($D960,'[2]product Table data'!$A$2:$G$12,O$1,FALSE)</f>
        <v>350</v>
      </c>
      <c r="P960">
        <f>VLOOKUP($D960,'[2]product Table data'!$A$2:$G$12,P$1,FALSE)</f>
        <v>450</v>
      </c>
      <c r="Q960">
        <f t="shared" si="70"/>
        <v>100</v>
      </c>
      <c r="R960" t="str">
        <f t="shared" si="71"/>
        <v>-</v>
      </c>
      <c r="S960" t="str">
        <f t="shared" si="72"/>
        <v>-</v>
      </c>
      <c r="T960" t="str">
        <f t="shared" si="73"/>
        <v>-</v>
      </c>
      <c r="U960" t="str">
        <f t="shared" si="74"/>
        <v>High Value</v>
      </c>
    </row>
    <row r="961" spans="1:21" x14ac:dyDescent="0.2">
      <c r="A961" s="2">
        <v>823</v>
      </c>
      <c r="B961" s="2" t="s">
        <v>9</v>
      </c>
      <c r="C961" s="2" t="s">
        <v>1385</v>
      </c>
      <c r="D961" s="2" t="s">
        <v>45</v>
      </c>
      <c r="E961" s="2">
        <v>10013</v>
      </c>
      <c r="F961" s="2" t="s">
        <v>42</v>
      </c>
      <c r="G961" s="2" t="s">
        <v>36</v>
      </c>
      <c r="H961" s="2">
        <v>1</v>
      </c>
      <c r="I961" s="2" t="s">
        <v>14</v>
      </c>
      <c r="J961" s="2" t="str">
        <f>VLOOKUP(E961,[1]LL_Hub!$A$1:$B$13,2,FALSE)</f>
        <v>New York</v>
      </c>
      <c r="K961" t="str">
        <f>VLOOKUP(D961,'[2]product Table data'!$A$2:$B$12,2,FALSE)</f>
        <v>Female</v>
      </c>
      <c r="L961" t="str">
        <f>VLOOKUP($D961,'[2]product Table data'!$A$2:$G$12,L$1,FALSE)</f>
        <v>Winter Warmth</v>
      </c>
      <c r="M961" t="str">
        <f>VLOOKUP($D961,'[2]product Table data'!$A$2:$G$12,M$1,FALSE)</f>
        <v>Romania</v>
      </c>
      <c r="N961" t="str">
        <f>VLOOKUP($D961,'[2]product Table data'!$A$2:$G$12,N$1,FALSE)</f>
        <v>Eastern Europe</v>
      </c>
      <c r="O961">
        <f>VLOOKUP($D961,'[2]product Table data'!$A$2:$G$12,O$1,FALSE)</f>
        <v>350</v>
      </c>
      <c r="P961">
        <f>VLOOKUP($D961,'[2]product Table data'!$A$2:$G$12,P$1,FALSE)</f>
        <v>450</v>
      </c>
      <c r="Q961">
        <f t="shared" si="70"/>
        <v>100</v>
      </c>
      <c r="R961" t="str">
        <f t="shared" si="71"/>
        <v>-</v>
      </c>
      <c r="S961" t="str">
        <f t="shared" si="72"/>
        <v>-</v>
      </c>
      <c r="T961" t="str">
        <f t="shared" si="73"/>
        <v>-</v>
      </c>
      <c r="U961" t="str">
        <f t="shared" si="74"/>
        <v>High Value</v>
      </c>
    </row>
    <row r="962" spans="1:21" x14ac:dyDescent="0.2">
      <c r="A962" s="2">
        <v>824</v>
      </c>
      <c r="B962" s="2" t="s">
        <v>9</v>
      </c>
      <c r="C962" s="2" t="s">
        <v>1386</v>
      </c>
      <c r="D962" s="2" t="s">
        <v>45</v>
      </c>
      <c r="E962" s="2">
        <v>10013</v>
      </c>
      <c r="F962" s="2" t="s">
        <v>42</v>
      </c>
      <c r="G962" s="2" t="s">
        <v>36</v>
      </c>
      <c r="H962" s="2">
        <v>1</v>
      </c>
      <c r="I962" s="2" t="s">
        <v>14</v>
      </c>
      <c r="J962" s="2" t="str">
        <f>VLOOKUP(E962,[1]LL_Hub!$A$1:$B$13,2,FALSE)</f>
        <v>New York</v>
      </c>
      <c r="K962" t="str">
        <f>VLOOKUP(D962,'[2]product Table data'!$A$2:$B$12,2,FALSE)</f>
        <v>Female</v>
      </c>
      <c r="L962" t="str">
        <f>VLOOKUP($D962,'[2]product Table data'!$A$2:$G$12,L$1,FALSE)</f>
        <v>Winter Warmth</v>
      </c>
      <c r="M962" t="str">
        <f>VLOOKUP($D962,'[2]product Table data'!$A$2:$G$12,M$1,FALSE)</f>
        <v>Romania</v>
      </c>
      <c r="N962" t="str">
        <f>VLOOKUP($D962,'[2]product Table data'!$A$2:$G$12,N$1,FALSE)</f>
        <v>Eastern Europe</v>
      </c>
      <c r="O962">
        <f>VLOOKUP($D962,'[2]product Table data'!$A$2:$G$12,O$1,FALSE)</f>
        <v>350</v>
      </c>
      <c r="P962">
        <f>VLOOKUP($D962,'[2]product Table data'!$A$2:$G$12,P$1,FALSE)</f>
        <v>450</v>
      </c>
      <c r="Q962">
        <f t="shared" si="70"/>
        <v>100</v>
      </c>
      <c r="R962" t="str">
        <f t="shared" si="71"/>
        <v>-</v>
      </c>
      <c r="S962" t="str">
        <f t="shared" si="72"/>
        <v>-</v>
      </c>
      <c r="T962" t="str">
        <f t="shared" si="73"/>
        <v>-</v>
      </c>
      <c r="U962" t="str">
        <f t="shared" si="74"/>
        <v>High Value</v>
      </c>
    </row>
    <row r="963" spans="1:21" x14ac:dyDescent="0.2">
      <c r="A963" s="2">
        <v>825</v>
      </c>
      <c r="B963" s="2" t="s">
        <v>9</v>
      </c>
      <c r="C963" s="2" t="s">
        <v>1387</v>
      </c>
      <c r="D963" s="2" t="s">
        <v>45</v>
      </c>
      <c r="E963" s="2">
        <v>10013</v>
      </c>
      <c r="F963" s="2" t="s">
        <v>42</v>
      </c>
      <c r="G963" s="2" t="s">
        <v>36</v>
      </c>
      <c r="H963" s="2">
        <v>1</v>
      </c>
      <c r="I963" s="2" t="s">
        <v>14</v>
      </c>
      <c r="J963" s="2" t="str">
        <f>VLOOKUP(E963,[1]LL_Hub!$A$1:$B$13,2,FALSE)</f>
        <v>New York</v>
      </c>
      <c r="K963" t="str">
        <f>VLOOKUP(D963,'[2]product Table data'!$A$2:$B$12,2,FALSE)</f>
        <v>Female</v>
      </c>
      <c r="L963" t="str">
        <f>VLOOKUP($D963,'[2]product Table data'!$A$2:$G$12,L$1,FALSE)</f>
        <v>Winter Warmth</v>
      </c>
      <c r="M963" t="str">
        <f>VLOOKUP($D963,'[2]product Table data'!$A$2:$G$12,M$1,FALSE)</f>
        <v>Romania</v>
      </c>
      <c r="N963" t="str">
        <f>VLOOKUP($D963,'[2]product Table data'!$A$2:$G$12,N$1,FALSE)</f>
        <v>Eastern Europe</v>
      </c>
      <c r="O963">
        <f>VLOOKUP($D963,'[2]product Table data'!$A$2:$G$12,O$1,FALSE)</f>
        <v>350</v>
      </c>
      <c r="P963">
        <f>VLOOKUP($D963,'[2]product Table data'!$A$2:$G$12,P$1,FALSE)</f>
        <v>450</v>
      </c>
      <c r="Q963">
        <f t="shared" ref="Q963:Q1026" si="75">P963-O963</f>
        <v>100</v>
      </c>
      <c r="R963" t="str">
        <f t="shared" ref="R963:R1026" si="76">IF(OR(J963="Los Angeles",J963="Denver"),"Hub Risk","-")</f>
        <v>-</v>
      </c>
      <c r="S963" t="str">
        <f t="shared" ref="S963:S1026" si="77">IF(OR(L963="Casual n Light",L963="Fancy Sheek"),"Style Risk","-")</f>
        <v>-</v>
      </c>
      <c r="T963" t="str">
        <f t="shared" ref="T963:T1026" si="78">IF(AND(R963="Hub Risk", S963="Style Risk"), "Risk", "-")</f>
        <v>-</v>
      </c>
      <c r="U963" t="str">
        <f t="shared" ref="U963:U1026" si="79">IF(Q963&lt;=5, "Low Value", "High Value")</f>
        <v>High Value</v>
      </c>
    </row>
    <row r="964" spans="1:21" x14ac:dyDescent="0.2">
      <c r="A964" s="2">
        <v>826</v>
      </c>
      <c r="B964" s="2" t="s">
        <v>9</v>
      </c>
      <c r="C964" s="2" t="s">
        <v>1388</v>
      </c>
      <c r="D964" s="2" t="s">
        <v>45</v>
      </c>
      <c r="E964" s="2">
        <v>10013</v>
      </c>
      <c r="F964" s="2" t="s">
        <v>42</v>
      </c>
      <c r="G964" s="2" t="s">
        <v>36</v>
      </c>
      <c r="H964" s="2">
        <v>1</v>
      </c>
      <c r="I964" s="2" t="s">
        <v>14</v>
      </c>
      <c r="J964" s="2" t="str">
        <f>VLOOKUP(E964,[1]LL_Hub!$A$1:$B$13,2,FALSE)</f>
        <v>New York</v>
      </c>
      <c r="K964" t="str">
        <f>VLOOKUP(D964,'[2]product Table data'!$A$2:$B$12,2,FALSE)</f>
        <v>Female</v>
      </c>
      <c r="L964" t="str">
        <f>VLOOKUP($D964,'[2]product Table data'!$A$2:$G$12,L$1,FALSE)</f>
        <v>Winter Warmth</v>
      </c>
      <c r="M964" t="str">
        <f>VLOOKUP($D964,'[2]product Table data'!$A$2:$G$12,M$1,FALSE)</f>
        <v>Romania</v>
      </c>
      <c r="N964" t="str">
        <f>VLOOKUP($D964,'[2]product Table data'!$A$2:$G$12,N$1,FALSE)</f>
        <v>Eastern Europe</v>
      </c>
      <c r="O964">
        <f>VLOOKUP($D964,'[2]product Table data'!$A$2:$G$12,O$1,FALSE)</f>
        <v>350</v>
      </c>
      <c r="P964">
        <f>VLOOKUP($D964,'[2]product Table data'!$A$2:$G$12,P$1,FALSE)</f>
        <v>450</v>
      </c>
      <c r="Q964">
        <f t="shared" si="75"/>
        <v>100</v>
      </c>
      <c r="R964" t="str">
        <f t="shared" si="76"/>
        <v>-</v>
      </c>
      <c r="S964" t="str">
        <f t="shared" si="77"/>
        <v>-</v>
      </c>
      <c r="T964" t="str">
        <f t="shared" si="78"/>
        <v>-</v>
      </c>
      <c r="U964" t="str">
        <f t="shared" si="79"/>
        <v>High Value</v>
      </c>
    </row>
    <row r="965" spans="1:21" x14ac:dyDescent="0.2">
      <c r="A965" s="2">
        <v>827</v>
      </c>
      <c r="B965" s="2" t="s">
        <v>9</v>
      </c>
      <c r="C965" s="2" t="s">
        <v>1389</v>
      </c>
      <c r="D965" s="2" t="s">
        <v>45</v>
      </c>
      <c r="E965" s="2">
        <v>10013</v>
      </c>
      <c r="F965" s="2" t="s">
        <v>42</v>
      </c>
      <c r="G965" s="2" t="s">
        <v>36</v>
      </c>
      <c r="H965" s="2">
        <v>1</v>
      </c>
      <c r="I965" s="2" t="s">
        <v>14</v>
      </c>
      <c r="J965" s="2" t="str">
        <f>VLOOKUP(E965,[1]LL_Hub!$A$1:$B$13,2,FALSE)</f>
        <v>New York</v>
      </c>
      <c r="K965" t="str">
        <f>VLOOKUP(D965,'[2]product Table data'!$A$2:$B$12,2,FALSE)</f>
        <v>Female</v>
      </c>
      <c r="L965" t="str">
        <f>VLOOKUP($D965,'[2]product Table data'!$A$2:$G$12,L$1,FALSE)</f>
        <v>Winter Warmth</v>
      </c>
      <c r="M965" t="str">
        <f>VLOOKUP($D965,'[2]product Table data'!$A$2:$G$12,M$1,FALSE)</f>
        <v>Romania</v>
      </c>
      <c r="N965" t="str">
        <f>VLOOKUP($D965,'[2]product Table data'!$A$2:$G$12,N$1,FALSE)</f>
        <v>Eastern Europe</v>
      </c>
      <c r="O965">
        <f>VLOOKUP($D965,'[2]product Table data'!$A$2:$G$12,O$1,FALSE)</f>
        <v>350</v>
      </c>
      <c r="P965">
        <f>VLOOKUP($D965,'[2]product Table data'!$A$2:$G$12,P$1,FALSE)</f>
        <v>450</v>
      </c>
      <c r="Q965">
        <f t="shared" si="75"/>
        <v>100</v>
      </c>
      <c r="R965" t="str">
        <f t="shared" si="76"/>
        <v>-</v>
      </c>
      <c r="S965" t="str">
        <f t="shared" si="77"/>
        <v>-</v>
      </c>
      <c r="T965" t="str">
        <f t="shared" si="78"/>
        <v>-</v>
      </c>
      <c r="U965" t="str">
        <f t="shared" si="79"/>
        <v>High Value</v>
      </c>
    </row>
    <row r="966" spans="1:21" x14ac:dyDescent="0.2">
      <c r="A966" s="2">
        <v>828</v>
      </c>
      <c r="B966" s="2" t="s">
        <v>9</v>
      </c>
      <c r="C966" s="2" t="s">
        <v>1390</v>
      </c>
      <c r="D966" s="2" t="s">
        <v>45</v>
      </c>
      <c r="E966" s="2">
        <v>10013</v>
      </c>
      <c r="F966" s="2" t="s">
        <v>42</v>
      </c>
      <c r="G966" s="2" t="s">
        <v>36</v>
      </c>
      <c r="H966" s="2">
        <v>1</v>
      </c>
      <c r="I966" s="2" t="s">
        <v>14</v>
      </c>
      <c r="J966" s="2" t="str">
        <f>VLOOKUP(E966,[1]LL_Hub!$A$1:$B$13,2,FALSE)</f>
        <v>New York</v>
      </c>
      <c r="K966" t="str">
        <f>VLOOKUP(D966,'[2]product Table data'!$A$2:$B$12,2,FALSE)</f>
        <v>Female</v>
      </c>
      <c r="L966" t="str">
        <f>VLOOKUP($D966,'[2]product Table data'!$A$2:$G$12,L$1,FALSE)</f>
        <v>Winter Warmth</v>
      </c>
      <c r="M966" t="str">
        <f>VLOOKUP($D966,'[2]product Table data'!$A$2:$G$12,M$1,FALSE)</f>
        <v>Romania</v>
      </c>
      <c r="N966" t="str">
        <f>VLOOKUP($D966,'[2]product Table data'!$A$2:$G$12,N$1,FALSE)</f>
        <v>Eastern Europe</v>
      </c>
      <c r="O966">
        <f>VLOOKUP($D966,'[2]product Table data'!$A$2:$G$12,O$1,FALSE)</f>
        <v>350</v>
      </c>
      <c r="P966">
        <f>VLOOKUP($D966,'[2]product Table data'!$A$2:$G$12,P$1,FALSE)</f>
        <v>450</v>
      </c>
      <c r="Q966">
        <f t="shared" si="75"/>
        <v>100</v>
      </c>
      <c r="R966" t="str">
        <f t="shared" si="76"/>
        <v>-</v>
      </c>
      <c r="S966" t="str">
        <f t="shared" si="77"/>
        <v>-</v>
      </c>
      <c r="T966" t="str">
        <f t="shared" si="78"/>
        <v>-</v>
      </c>
      <c r="U966" t="str">
        <f t="shared" si="79"/>
        <v>High Value</v>
      </c>
    </row>
    <row r="967" spans="1:21" x14ac:dyDescent="0.2">
      <c r="A967" s="2">
        <v>829</v>
      </c>
      <c r="B967" s="2" t="s">
        <v>9</v>
      </c>
      <c r="C967" s="2" t="s">
        <v>1391</v>
      </c>
      <c r="D967" s="2" t="s">
        <v>45</v>
      </c>
      <c r="E967" s="2">
        <v>10013</v>
      </c>
      <c r="F967" s="2" t="s">
        <v>42</v>
      </c>
      <c r="G967" s="2" t="s">
        <v>36</v>
      </c>
      <c r="H967" s="2">
        <v>1</v>
      </c>
      <c r="I967" s="2" t="s">
        <v>14</v>
      </c>
      <c r="J967" s="2" t="str">
        <f>VLOOKUP(E967,[1]LL_Hub!$A$1:$B$13,2,FALSE)</f>
        <v>New York</v>
      </c>
      <c r="K967" t="str">
        <f>VLOOKUP(D967,'[2]product Table data'!$A$2:$B$12,2,FALSE)</f>
        <v>Female</v>
      </c>
      <c r="L967" t="str">
        <f>VLOOKUP($D967,'[2]product Table data'!$A$2:$G$12,L$1,FALSE)</f>
        <v>Winter Warmth</v>
      </c>
      <c r="M967" t="str">
        <f>VLOOKUP($D967,'[2]product Table data'!$A$2:$G$12,M$1,FALSE)</f>
        <v>Romania</v>
      </c>
      <c r="N967" t="str">
        <f>VLOOKUP($D967,'[2]product Table data'!$A$2:$G$12,N$1,FALSE)</f>
        <v>Eastern Europe</v>
      </c>
      <c r="O967">
        <f>VLOOKUP($D967,'[2]product Table data'!$A$2:$G$12,O$1,FALSE)</f>
        <v>350</v>
      </c>
      <c r="P967">
        <f>VLOOKUP($D967,'[2]product Table data'!$A$2:$G$12,P$1,FALSE)</f>
        <v>450</v>
      </c>
      <c r="Q967">
        <f t="shared" si="75"/>
        <v>100</v>
      </c>
      <c r="R967" t="str">
        <f t="shared" si="76"/>
        <v>-</v>
      </c>
      <c r="S967" t="str">
        <f t="shared" si="77"/>
        <v>-</v>
      </c>
      <c r="T967" t="str">
        <f t="shared" si="78"/>
        <v>-</v>
      </c>
      <c r="U967" t="str">
        <f t="shared" si="79"/>
        <v>High Value</v>
      </c>
    </row>
    <row r="968" spans="1:21" x14ac:dyDescent="0.2">
      <c r="A968" s="2">
        <v>830</v>
      </c>
      <c r="B968" s="2" t="s">
        <v>9</v>
      </c>
      <c r="C968" s="2" t="s">
        <v>1392</v>
      </c>
      <c r="D968" s="2" t="s">
        <v>45</v>
      </c>
      <c r="E968" s="2">
        <v>10013</v>
      </c>
      <c r="F968" s="2" t="s">
        <v>42</v>
      </c>
      <c r="G968" s="2" t="s">
        <v>36</v>
      </c>
      <c r="H968" s="2">
        <v>1</v>
      </c>
      <c r="I968" s="2" t="s">
        <v>14</v>
      </c>
      <c r="J968" s="2" t="str">
        <f>VLOOKUP(E968,[1]LL_Hub!$A$1:$B$13,2,FALSE)</f>
        <v>New York</v>
      </c>
      <c r="K968" t="str">
        <f>VLOOKUP(D968,'[2]product Table data'!$A$2:$B$12,2,FALSE)</f>
        <v>Female</v>
      </c>
      <c r="L968" t="str">
        <f>VLOOKUP($D968,'[2]product Table data'!$A$2:$G$12,L$1,FALSE)</f>
        <v>Winter Warmth</v>
      </c>
      <c r="M968" t="str">
        <f>VLOOKUP($D968,'[2]product Table data'!$A$2:$G$12,M$1,FALSE)</f>
        <v>Romania</v>
      </c>
      <c r="N968" t="str">
        <f>VLOOKUP($D968,'[2]product Table data'!$A$2:$G$12,N$1,FALSE)</f>
        <v>Eastern Europe</v>
      </c>
      <c r="O968">
        <f>VLOOKUP($D968,'[2]product Table data'!$A$2:$G$12,O$1,FALSE)</f>
        <v>350</v>
      </c>
      <c r="P968">
        <f>VLOOKUP($D968,'[2]product Table data'!$A$2:$G$12,P$1,FALSE)</f>
        <v>450</v>
      </c>
      <c r="Q968">
        <f t="shared" si="75"/>
        <v>100</v>
      </c>
      <c r="R968" t="str">
        <f t="shared" si="76"/>
        <v>-</v>
      </c>
      <c r="S968" t="str">
        <f t="shared" si="77"/>
        <v>-</v>
      </c>
      <c r="T968" t="str">
        <f t="shared" si="78"/>
        <v>-</v>
      </c>
      <c r="U968" t="str">
        <f t="shared" si="79"/>
        <v>High Value</v>
      </c>
    </row>
    <row r="969" spans="1:21" x14ac:dyDescent="0.2">
      <c r="A969" s="2">
        <v>831</v>
      </c>
      <c r="B969" s="2" t="s">
        <v>9</v>
      </c>
      <c r="C969" s="2" t="s">
        <v>1393</v>
      </c>
      <c r="D969" s="2" t="s">
        <v>45</v>
      </c>
      <c r="E969" s="2">
        <v>10013</v>
      </c>
      <c r="F969" s="2" t="s">
        <v>42</v>
      </c>
      <c r="G969" s="2" t="s">
        <v>36</v>
      </c>
      <c r="H969" s="2">
        <v>1</v>
      </c>
      <c r="I969" s="2" t="s">
        <v>14</v>
      </c>
      <c r="J969" s="2" t="str">
        <f>VLOOKUP(E969,[1]LL_Hub!$A$1:$B$13,2,FALSE)</f>
        <v>New York</v>
      </c>
      <c r="K969" t="str">
        <f>VLOOKUP(D969,'[2]product Table data'!$A$2:$B$12,2,FALSE)</f>
        <v>Female</v>
      </c>
      <c r="L969" t="str">
        <f>VLOOKUP($D969,'[2]product Table data'!$A$2:$G$12,L$1,FALSE)</f>
        <v>Winter Warmth</v>
      </c>
      <c r="M969" t="str">
        <f>VLOOKUP($D969,'[2]product Table data'!$A$2:$G$12,M$1,FALSE)</f>
        <v>Romania</v>
      </c>
      <c r="N969" t="str">
        <f>VLOOKUP($D969,'[2]product Table data'!$A$2:$G$12,N$1,FALSE)</f>
        <v>Eastern Europe</v>
      </c>
      <c r="O969">
        <f>VLOOKUP($D969,'[2]product Table data'!$A$2:$G$12,O$1,FALSE)</f>
        <v>350</v>
      </c>
      <c r="P969">
        <f>VLOOKUP($D969,'[2]product Table data'!$A$2:$G$12,P$1,FALSE)</f>
        <v>450</v>
      </c>
      <c r="Q969">
        <f t="shared" si="75"/>
        <v>100</v>
      </c>
      <c r="R969" t="str">
        <f t="shared" si="76"/>
        <v>-</v>
      </c>
      <c r="S969" t="str">
        <f t="shared" si="77"/>
        <v>-</v>
      </c>
      <c r="T969" t="str">
        <f t="shared" si="78"/>
        <v>-</v>
      </c>
      <c r="U969" t="str">
        <f t="shared" si="79"/>
        <v>High Value</v>
      </c>
    </row>
    <row r="970" spans="1:21" x14ac:dyDescent="0.2">
      <c r="A970" s="2">
        <v>832</v>
      </c>
      <c r="B970" s="2" t="s">
        <v>9</v>
      </c>
      <c r="C970" s="2" t="s">
        <v>1394</v>
      </c>
      <c r="D970" s="2" t="s">
        <v>45</v>
      </c>
      <c r="E970" s="2">
        <v>10013</v>
      </c>
      <c r="F970" s="2" t="s">
        <v>42</v>
      </c>
      <c r="G970" s="2" t="s">
        <v>36</v>
      </c>
      <c r="H970" s="2">
        <v>1</v>
      </c>
      <c r="I970" s="2" t="s">
        <v>14</v>
      </c>
      <c r="J970" s="2" t="str">
        <f>VLOOKUP(E970,[1]LL_Hub!$A$1:$B$13,2,FALSE)</f>
        <v>New York</v>
      </c>
      <c r="K970" t="str">
        <f>VLOOKUP(D970,'[2]product Table data'!$A$2:$B$12,2,FALSE)</f>
        <v>Female</v>
      </c>
      <c r="L970" t="str">
        <f>VLOOKUP($D970,'[2]product Table data'!$A$2:$G$12,L$1,FALSE)</f>
        <v>Winter Warmth</v>
      </c>
      <c r="M970" t="str">
        <f>VLOOKUP($D970,'[2]product Table data'!$A$2:$G$12,M$1,FALSE)</f>
        <v>Romania</v>
      </c>
      <c r="N970" t="str">
        <f>VLOOKUP($D970,'[2]product Table data'!$A$2:$G$12,N$1,FALSE)</f>
        <v>Eastern Europe</v>
      </c>
      <c r="O970">
        <f>VLOOKUP($D970,'[2]product Table data'!$A$2:$G$12,O$1,FALSE)</f>
        <v>350</v>
      </c>
      <c r="P970">
        <f>VLOOKUP($D970,'[2]product Table data'!$A$2:$G$12,P$1,FALSE)</f>
        <v>450</v>
      </c>
      <c r="Q970">
        <f t="shared" si="75"/>
        <v>100</v>
      </c>
      <c r="R970" t="str">
        <f t="shared" si="76"/>
        <v>-</v>
      </c>
      <c r="S970" t="str">
        <f t="shared" si="77"/>
        <v>-</v>
      </c>
      <c r="T970" t="str">
        <f t="shared" si="78"/>
        <v>-</v>
      </c>
      <c r="U970" t="str">
        <f t="shared" si="79"/>
        <v>High Value</v>
      </c>
    </row>
    <row r="971" spans="1:21" x14ac:dyDescent="0.2">
      <c r="A971" s="2">
        <v>833</v>
      </c>
      <c r="B971" s="2" t="s">
        <v>9</v>
      </c>
      <c r="C971" s="2" t="s">
        <v>1395</v>
      </c>
      <c r="D971" s="2" t="s">
        <v>45</v>
      </c>
      <c r="E971" s="2">
        <v>10013</v>
      </c>
      <c r="F971" s="2" t="s">
        <v>42</v>
      </c>
      <c r="G971" s="2" t="s">
        <v>36</v>
      </c>
      <c r="H971" s="2">
        <v>1</v>
      </c>
      <c r="I971" s="2" t="s">
        <v>14</v>
      </c>
      <c r="J971" s="2" t="str">
        <f>VLOOKUP(E971,[1]LL_Hub!$A$1:$B$13,2,FALSE)</f>
        <v>New York</v>
      </c>
      <c r="K971" t="str">
        <f>VLOOKUP(D971,'[2]product Table data'!$A$2:$B$12,2,FALSE)</f>
        <v>Female</v>
      </c>
      <c r="L971" t="str">
        <f>VLOOKUP($D971,'[2]product Table data'!$A$2:$G$12,L$1,FALSE)</f>
        <v>Winter Warmth</v>
      </c>
      <c r="M971" t="str">
        <f>VLOOKUP($D971,'[2]product Table data'!$A$2:$G$12,M$1,FALSE)</f>
        <v>Romania</v>
      </c>
      <c r="N971" t="str">
        <f>VLOOKUP($D971,'[2]product Table data'!$A$2:$G$12,N$1,FALSE)</f>
        <v>Eastern Europe</v>
      </c>
      <c r="O971">
        <f>VLOOKUP($D971,'[2]product Table data'!$A$2:$G$12,O$1,FALSE)</f>
        <v>350</v>
      </c>
      <c r="P971">
        <f>VLOOKUP($D971,'[2]product Table data'!$A$2:$G$12,P$1,FALSE)</f>
        <v>450</v>
      </c>
      <c r="Q971">
        <f t="shared" si="75"/>
        <v>100</v>
      </c>
      <c r="R971" t="str">
        <f t="shared" si="76"/>
        <v>-</v>
      </c>
      <c r="S971" t="str">
        <f t="shared" si="77"/>
        <v>-</v>
      </c>
      <c r="T971" t="str">
        <f t="shared" si="78"/>
        <v>-</v>
      </c>
      <c r="U971" t="str">
        <f t="shared" si="79"/>
        <v>High Value</v>
      </c>
    </row>
    <row r="972" spans="1:21" x14ac:dyDescent="0.2">
      <c r="A972" s="2">
        <v>834</v>
      </c>
      <c r="B972" s="2" t="s">
        <v>9</v>
      </c>
      <c r="C972" s="2" t="s">
        <v>1396</v>
      </c>
      <c r="D972" s="2" t="s">
        <v>45</v>
      </c>
      <c r="E972" s="2">
        <v>10013</v>
      </c>
      <c r="F972" s="2" t="s">
        <v>42</v>
      </c>
      <c r="G972" s="2" t="s">
        <v>36</v>
      </c>
      <c r="H972" s="2">
        <v>1</v>
      </c>
      <c r="I972" s="2" t="s">
        <v>14</v>
      </c>
      <c r="J972" s="2" t="str">
        <f>VLOOKUP(E972,[1]LL_Hub!$A$1:$B$13,2,FALSE)</f>
        <v>New York</v>
      </c>
      <c r="K972" t="str">
        <f>VLOOKUP(D972,'[2]product Table data'!$A$2:$B$12,2,FALSE)</f>
        <v>Female</v>
      </c>
      <c r="L972" t="str">
        <f>VLOOKUP($D972,'[2]product Table data'!$A$2:$G$12,L$1,FALSE)</f>
        <v>Winter Warmth</v>
      </c>
      <c r="M972" t="str">
        <f>VLOOKUP($D972,'[2]product Table data'!$A$2:$G$12,M$1,FALSE)</f>
        <v>Romania</v>
      </c>
      <c r="N972" t="str">
        <f>VLOOKUP($D972,'[2]product Table data'!$A$2:$G$12,N$1,FALSE)</f>
        <v>Eastern Europe</v>
      </c>
      <c r="O972">
        <f>VLOOKUP($D972,'[2]product Table data'!$A$2:$G$12,O$1,FALSE)</f>
        <v>350</v>
      </c>
      <c r="P972">
        <f>VLOOKUP($D972,'[2]product Table data'!$A$2:$G$12,P$1,FALSE)</f>
        <v>450</v>
      </c>
      <c r="Q972">
        <f t="shared" si="75"/>
        <v>100</v>
      </c>
      <c r="R972" t="str">
        <f t="shared" si="76"/>
        <v>-</v>
      </c>
      <c r="S972" t="str">
        <f t="shared" si="77"/>
        <v>-</v>
      </c>
      <c r="T972" t="str">
        <f t="shared" si="78"/>
        <v>-</v>
      </c>
      <c r="U972" t="str">
        <f t="shared" si="79"/>
        <v>High Value</v>
      </c>
    </row>
    <row r="973" spans="1:21" x14ac:dyDescent="0.2">
      <c r="A973" s="2">
        <v>835</v>
      </c>
      <c r="B973" s="2" t="s">
        <v>9</v>
      </c>
      <c r="C973" s="2" t="s">
        <v>1397</v>
      </c>
      <c r="D973" s="2" t="s">
        <v>45</v>
      </c>
      <c r="E973" s="2">
        <v>10013</v>
      </c>
      <c r="F973" s="2" t="s">
        <v>42</v>
      </c>
      <c r="G973" s="2" t="s">
        <v>36</v>
      </c>
      <c r="H973" s="2">
        <v>1</v>
      </c>
      <c r="I973" s="2" t="s">
        <v>14</v>
      </c>
      <c r="J973" s="2" t="str">
        <f>VLOOKUP(E973,[1]LL_Hub!$A$1:$B$13,2,FALSE)</f>
        <v>New York</v>
      </c>
      <c r="K973" t="str">
        <f>VLOOKUP(D973,'[2]product Table data'!$A$2:$B$12,2,FALSE)</f>
        <v>Female</v>
      </c>
      <c r="L973" t="str">
        <f>VLOOKUP($D973,'[2]product Table data'!$A$2:$G$12,L$1,FALSE)</f>
        <v>Winter Warmth</v>
      </c>
      <c r="M973" t="str">
        <f>VLOOKUP($D973,'[2]product Table data'!$A$2:$G$12,M$1,FALSE)</f>
        <v>Romania</v>
      </c>
      <c r="N973" t="str">
        <f>VLOOKUP($D973,'[2]product Table data'!$A$2:$G$12,N$1,FALSE)</f>
        <v>Eastern Europe</v>
      </c>
      <c r="O973">
        <f>VLOOKUP($D973,'[2]product Table data'!$A$2:$G$12,O$1,FALSE)</f>
        <v>350</v>
      </c>
      <c r="P973">
        <f>VLOOKUP($D973,'[2]product Table data'!$A$2:$G$12,P$1,FALSE)</f>
        <v>450</v>
      </c>
      <c r="Q973">
        <f t="shared" si="75"/>
        <v>100</v>
      </c>
      <c r="R973" t="str">
        <f t="shared" si="76"/>
        <v>-</v>
      </c>
      <c r="S973" t="str">
        <f t="shared" si="77"/>
        <v>-</v>
      </c>
      <c r="T973" t="str">
        <f t="shared" si="78"/>
        <v>-</v>
      </c>
      <c r="U973" t="str">
        <f t="shared" si="79"/>
        <v>High Value</v>
      </c>
    </row>
    <row r="974" spans="1:21" x14ac:dyDescent="0.2">
      <c r="A974" s="2">
        <v>836</v>
      </c>
      <c r="B974" s="2" t="s">
        <v>9</v>
      </c>
      <c r="C974" s="2" t="s">
        <v>1398</v>
      </c>
      <c r="D974" s="2" t="s">
        <v>45</v>
      </c>
      <c r="E974" s="2">
        <v>10013</v>
      </c>
      <c r="F974" s="2" t="s">
        <v>42</v>
      </c>
      <c r="G974" s="2" t="s">
        <v>36</v>
      </c>
      <c r="H974" s="2">
        <v>1</v>
      </c>
      <c r="I974" s="2" t="s">
        <v>14</v>
      </c>
      <c r="J974" s="2" t="str">
        <f>VLOOKUP(E974,[1]LL_Hub!$A$1:$B$13,2,FALSE)</f>
        <v>New York</v>
      </c>
      <c r="K974" t="str">
        <f>VLOOKUP(D974,'[2]product Table data'!$A$2:$B$12,2,FALSE)</f>
        <v>Female</v>
      </c>
      <c r="L974" t="str">
        <f>VLOOKUP($D974,'[2]product Table data'!$A$2:$G$12,L$1,FALSE)</f>
        <v>Winter Warmth</v>
      </c>
      <c r="M974" t="str">
        <f>VLOOKUP($D974,'[2]product Table data'!$A$2:$G$12,M$1,FALSE)</f>
        <v>Romania</v>
      </c>
      <c r="N974" t="str">
        <f>VLOOKUP($D974,'[2]product Table data'!$A$2:$G$12,N$1,FALSE)</f>
        <v>Eastern Europe</v>
      </c>
      <c r="O974">
        <f>VLOOKUP($D974,'[2]product Table data'!$A$2:$G$12,O$1,FALSE)</f>
        <v>350</v>
      </c>
      <c r="P974">
        <f>VLOOKUP($D974,'[2]product Table data'!$A$2:$G$12,P$1,FALSE)</f>
        <v>450</v>
      </c>
      <c r="Q974">
        <f t="shared" si="75"/>
        <v>100</v>
      </c>
      <c r="R974" t="str">
        <f t="shared" si="76"/>
        <v>-</v>
      </c>
      <c r="S974" t="str">
        <f t="shared" si="77"/>
        <v>-</v>
      </c>
      <c r="T974" t="str">
        <f t="shared" si="78"/>
        <v>-</v>
      </c>
      <c r="U974" t="str">
        <f t="shared" si="79"/>
        <v>High Value</v>
      </c>
    </row>
    <row r="975" spans="1:21" x14ac:dyDescent="0.2">
      <c r="A975" s="2">
        <v>837</v>
      </c>
      <c r="B975" s="2" t="s">
        <v>9</v>
      </c>
      <c r="C975" s="2" t="s">
        <v>1399</v>
      </c>
      <c r="D975" s="2" t="s">
        <v>45</v>
      </c>
      <c r="E975" s="2">
        <v>10013</v>
      </c>
      <c r="F975" s="2" t="s">
        <v>42</v>
      </c>
      <c r="G975" s="2" t="s">
        <v>36</v>
      </c>
      <c r="H975" s="2">
        <v>1</v>
      </c>
      <c r="I975" s="2" t="s">
        <v>14</v>
      </c>
      <c r="J975" s="2" t="str">
        <f>VLOOKUP(E975,[1]LL_Hub!$A$1:$B$13,2,FALSE)</f>
        <v>New York</v>
      </c>
      <c r="K975" t="str">
        <f>VLOOKUP(D975,'[2]product Table data'!$A$2:$B$12,2,FALSE)</f>
        <v>Female</v>
      </c>
      <c r="L975" t="str">
        <f>VLOOKUP($D975,'[2]product Table data'!$A$2:$G$12,L$1,FALSE)</f>
        <v>Winter Warmth</v>
      </c>
      <c r="M975" t="str">
        <f>VLOOKUP($D975,'[2]product Table data'!$A$2:$G$12,M$1,FALSE)</f>
        <v>Romania</v>
      </c>
      <c r="N975" t="str">
        <f>VLOOKUP($D975,'[2]product Table data'!$A$2:$G$12,N$1,FALSE)</f>
        <v>Eastern Europe</v>
      </c>
      <c r="O975">
        <f>VLOOKUP($D975,'[2]product Table data'!$A$2:$G$12,O$1,FALSE)</f>
        <v>350</v>
      </c>
      <c r="P975">
        <f>VLOOKUP($D975,'[2]product Table data'!$A$2:$G$12,P$1,FALSE)</f>
        <v>450</v>
      </c>
      <c r="Q975">
        <f t="shared" si="75"/>
        <v>100</v>
      </c>
      <c r="R975" t="str">
        <f t="shared" si="76"/>
        <v>-</v>
      </c>
      <c r="S975" t="str">
        <f t="shared" si="77"/>
        <v>-</v>
      </c>
      <c r="T975" t="str">
        <f t="shared" si="78"/>
        <v>-</v>
      </c>
      <c r="U975" t="str">
        <f t="shared" si="79"/>
        <v>High Value</v>
      </c>
    </row>
    <row r="976" spans="1:21" x14ac:dyDescent="0.2">
      <c r="A976" s="2">
        <v>838</v>
      </c>
      <c r="B976" s="2" t="s">
        <v>9</v>
      </c>
      <c r="C976" s="2" t="s">
        <v>1400</v>
      </c>
      <c r="D976" s="2" t="s">
        <v>45</v>
      </c>
      <c r="E976" s="2">
        <v>10013</v>
      </c>
      <c r="F976" s="2" t="s">
        <v>42</v>
      </c>
      <c r="G976" s="2" t="s">
        <v>36</v>
      </c>
      <c r="H976" s="2">
        <v>1</v>
      </c>
      <c r="I976" s="2" t="s">
        <v>14</v>
      </c>
      <c r="J976" s="2" t="str">
        <f>VLOOKUP(E976,[1]LL_Hub!$A$1:$B$13,2,FALSE)</f>
        <v>New York</v>
      </c>
      <c r="K976" t="str">
        <f>VLOOKUP(D976,'[2]product Table data'!$A$2:$B$12,2,FALSE)</f>
        <v>Female</v>
      </c>
      <c r="L976" t="str">
        <f>VLOOKUP($D976,'[2]product Table data'!$A$2:$G$12,L$1,FALSE)</f>
        <v>Winter Warmth</v>
      </c>
      <c r="M976" t="str">
        <f>VLOOKUP($D976,'[2]product Table data'!$A$2:$G$12,M$1,FALSE)</f>
        <v>Romania</v>
      </c>
      <c r="N976" t="str">
        <f>VLOOKUP($D976,'[2]product Table data'!$A$2:$G$12,N$1,FALSE)</f>
        <v>Eastern Europe</v>
      </c>
      <c r="O976">
        <f>VLOOKUP($D976,'[2]product Table data'!$A$2:$G$12,O$1,FALSE)</f>
        <v>350</v>
      </c>
      <c r="P976">
        <f>VLOOKUP($D976,'[2]product Table data'!$A$2:$G$12,P$1,FALSE)</f>
        <v>450</v>
      </c>
      <c r="Q976">
        <f t="shared" si="75"/>
        <v>100</v>
      </c>
      <c r="R976" t="str">
        <f t="shared" si="76"/>
        <v>-</v>
      </c>
      <c r="S976" t="str">
        <f t="shared" si="77"/>
        <v>-</v>
      </c>
      <c r="T976" t="str">
        <f t="shared" si="78"/>
        <v>-</v>
      </c>
      <c r="U976" t="str">
        <f t="shared" si="79"/>
        <v>High Value</v>
      </c>
    </row>
    <row r="977" spans="1:21" x14ac:dyDescent="0.2">
      <c r="A977" s="2">
        <v>839</v>
      </c>
      <c r="B977" s="2" t="s">
        <v>9</v>
      </c>
      <c r="C977" s="2" t="s">
        <v>1401</v>
      </c>
      <c r="D977" s="2" t="s">
        <v>45</v>
      </c>
      <c r="E977" s="2">
        <v>10013</v>
      </c>
      <c r="F977" s="2" t="s">
        <v>42</v>
      </c>
      <c r="G977" s="2" t="s">
        <v>36</v>
      </c>
      <c r="H977" s="2">
        <v>1</v>
      </c>
      <c r="I977" s="2" t="s">
        <v>14</v>
      </c>
      <c r="J977" s="2" t="str">
        <f>VLOOKUP(E977,[1]LL_Hub!$A$1:$B$13,2,FALSE)</f>
        <v>New York</v>
      </c>
      <c r="K977" t="str">
        <f>VLOOKUP(D977,'[2]product Table data'!$A$2:$B$12,2,FALSE)</f>
        <v>Female</v>
      </c>
      <c r="L977" t="str">
        <f>VLOOKUP($D977,'[2]product Table data'!$A$2:$G$12,L$1,FALSE)</f>
        <v>Winter Warmth</v>
      </c>
      <c r="M977" t="str">
        <f>VLOOKUP($D977,'[2]product Table data'!$A$2:$G$12,M$1,FALSE)</f>
        <v>Romania</v>
      </c>
      <c r="N977" t="str">
        <f>VLOOKUP($D977,'[2]product Table data'!$A$2:$G$12,N$1,FALSE)</f>
        <v>Eastern Europe</v>
      </c>
      <c r="O977">
        <f>VLOOKUP($D977,'[2]product Table data'!$A$2:$G$12,O$1,FALSE)</f>
        <v>350</v>
      </c>
      <c r="P977">
        <f>VLOOKUP($D977,'[2]product Table data'!$A$2:$G$12,P$1,FALSE)</f>
        <v>450</v>
      </c>
      <c r="Q977">
        <f t="shared" si="75"/>
        <v>100</v>
      </c>
      <c r="R977" t="str">
        <f t="shared" si="76"/>
        <v>-</v>
      </c>
      <c r="S977" t="str">
        <f t="shared" si="77"/>
        <v>-</v>
      </c>
      <c r="T977" t="str">
        <f t="shared" si="78"/>
        <v>-</v>
      </c>
      <c r="U977" t="str">
        <f t="shared" si="79"/>
        <v>High Value</v>
      </c>
    </row>
    <row r="978" spans="1:21" x14ac:dyDescent="0.2">
      <c r="A978" s="2">
        <v>840</v>
      </c>
      <c r="B978" s="2" t="s">
        <v>9</v>
      </c>
      <c r="C978" s="2" t="s">
        <v>1402</v>
      </c>
      <c r="D978" s="2" t="s">
        <v>45</v>
      </c>
      <c r="E978" s="2">
        <v>10013</v>
      </c>
      <c r="F978" s="2" t="s">
        <v>42</v>
      </c>
      <c r="G978" s="2" t="s">
        <v>36</v>
      </c>
      <c r="H978" s="2">
        <v>1</v>
      </c>
      <c r="I978" s="2" t="s">
        <v>14</v>
      </c>
      <c r="J978" s="2" t="str">
        <f>VLOOKUP(E978,[1]LL_Hub!$A$1:$B$13,2,FALSE)</f>
        <v>New York</v>
      </c>
      <c r="K978" t="str">
        <f>VLOOKUP(D978,'[2]product Table data'!$A$2:$B$12,2,FALSE)</f>
        <v>Female</v>
      </c>
      <c r="L978" t="str">
        <f>VLOOKUP($D978,'[2]product Table data'!$A$2:$G$12,L$1,FALSE)</f>
        <v>Winter Warmth</v>
      </c>
      <c r="M978" t="str">
        <f>VLOOKUP($D978,'[2]product Table data'!$A$2:$G$12,M$1,FALSE)</f>
        <v>Romania</v>
      </c>
      <c r="N978" t="str">
        <f>VLOOKUP($D978,'[2]product Table data'!$A$2:$G$12,N$1,FALSE)</f>
        <v>Eastern Europe</v>
      </c>
      <c r="O978">
        <f>VLOOKUP($D978,'[2]product Table data'!$A$2:$G$12,O$1,FALSE)</f>
        <v>350</v>
      </c>
      <c r="P978">
        <f>VLOOKUP($D978,'[2]product Table data'!$A$2:$G$12,P$1,FALSE)</f>
        <v>450</v>
      </c>
      <c r="Q978">
        <f t="shared" si="75"/>
        <v>100</v>
      </c>
      <c r="R978" t="str">
        <f t="shared" si="76"/>
        <v>-</v>
      </c>
      <c r="S978" t="str">
        <f t="shared" si="77"/>
        <v>-</v>
      </c>
      <c r="T978" t="str">
        <f t="shared" si="78"/>
        <v>-</v>
      </c>
      <c r="U978" t="str">
        <f t="shared" si="79"/>
        <v>High Value</v>
      </c>
    </row>
    <row r="979" spans="1:21" x14ac:dyDescent="0.2">
      <c r="A979" s="2">
        <v>841</v>
      </c>
      <c r="B979" s="2" t="s">
        <v>9</v>
      </c>
      <c r="C979" s="2" t="s">
        <v>1403</v>
      </c>
      <c r="D979" s="2" t="s">
        <v>45</v>
      </c>
      <c r="E979" s="2">
        <v>10013</v>
      </c>
      <c r="F979" s="2" t="s">
        <v>42</v>
      </c>
      <c r="G979" s="2" t="s">
        <v>36</v>
      </c>
      <c r="H979" s="2">
        <v>1</v>
      </c>
      <c r="I979" s="2" t="s">
        <v>14</v>
      </c>
      <c r="J979" s="2" t="str">
        <f>VLOOKUP(E979,[1]LL_Hub!$A$1:$B$13,2,FALSE)</f>
        <v>New York</v>
      </c>
      <c r="K979" t="str">
        <f>VLOOKUP(D979,'[2]product Table data'!$A$2:$B$12,2,FALSE)</f>
        <v>Female</v>
      </c>
      <c r="L979" t="str">
        <f>VLOOKUP($D979,'[2]product Table data'!$A$2:$G$12,L$1,FALSE)</f>
        <v>Winter Warmth</v>
      </c>
      <c r="M979" t="str">
        <f>VLOOKUP($D979,'[2]product Table data'!$A$2:$G$12,M$1,FALSE)</f>
        <v>Romania</v>
      </c>
      <c r="N979" t="str">
        <f>VLOOKUP($D979,'[2]product Table data'!$A$2:$G$12,N$1,FALSE)</f>
        <v>Eastern Europe</v>
      </c>
      <c r="O979">
        <f>VLOOKUP($D979,'[2]product Table data'!$A$2:$G$12,O$1,FALSE)</f>
        <v>350</v>
      </c>
      <c r="P979">
        <f>VLOOKUP($D979,'[2]product Table data'!$A$2:$G$12,P$1,FALSE)</f>
        <v>450</v>
      </c>
      <c r="Q979">
        <f t="shared" si="75"/>
        <v>100</v>
      </c>
      <c r="R979" t="str">
        <f t="shared" si="76"/>
        <v>-</v>
      </c>
      <c r="S979" t="str">
        <f t="shared" si="77"/>
        <v>-</v>
      </c>
      <c r="T979" t="str">
        <f t="shared" si="78"/>
        <v>-</v>
      </c>
      <c r="U979" t="str">
        <f t="shared" si="79"/>
        <v>High Value</v>
      </c>
    </row>
    <row r="980" spans="1:21" x14ac:dyDescent="0.2">
      <c r="A980" s="2">
        <v>842</v>
      </c>
      <c r="B980" s="2" t="s">
        <v>9</v>
      </c>
      <c r="C980" s="2" t="s">
        <v>1404</v>
      </c>
      <c r="D980" s="2" t="s">
        <v>45</v>
      </c>
      <c r="E980" s="2">
        <v>10013</v>
      </c>
      <c r="F980" s="2" t="s">
        <v>42</v>
      </c>
      <c r="G980" s="2" t="s">
        <v>36</v>
      </c>
      <c r="H980" s="2">
        <v>1</v>
      </c>
      <c r="I980" s="2" t="s">
        <v>14</v>
      </c>
      <c r="J980" s="2" t="str">
        <f>VLOOKUP(E980,[1]LL_Hub!$A$1:$B$13,2,FALSE)</f>
        <v>New York</v>
      </c>
      <c r="K980" t="str">
        <f>VLOOKUP(D980,'[2]product Table data'!$A$2:$B$12,2,FALSE)</f>
        <v>Female</v>
      </c>
      <c r="L980" t="str">
        <f>VLOOKUP($D980,'[2]product Table data'!$A$2:$G$12,L$1,FALSE)</f>
        <v>Winter Warmth</v>
      </c>
      <c r="M980" t="str">
        <f>VLOOKUP($D980,'[2]product Table data'!$A$2:$G$12,M$1,FALSE)</f>
        <v>Romania</v>
      </c>
      <c r="N980" t="str">
        <f>VLOOKUP($D980,'[2]product Table data'!$A$2:$G$12,N$1,FALSE)</f>
        <v>Eastern Europe</v>
      </c>
      <c r="O980">
        <f>VLOOKUP($D980,'[2]product Table data'!$A$2:$G$12,O$1,FALSE)</f>
        <v>350</v>
      </c>
      <c r="P980">
        <f>VLOOKUP($D980,'[2]product Table data'!$A$2:$G$12,P$1,FALSE)</f>
        <v>450</v>
      </c>
      <c r="Q980">
        <f t="shared" si="75"/>
        <v>100</v>
      </c>
      <c r="R980" t="str">
        <f t="shared" si="76"/>
        <v>-</v>
      </c>
      <c r="S980" t="str">
        <f t="shared" si="77"/>
        <v>-</v>
      </c>
      <c r="T980" t="str">
        <f t="shared" si="78"/>
        <v>-</v>
      </c>
      <c r="U980" t="str">
        <f t="shared" si="79"/>
        <v>High Value</v>
      </c>
    </row>
    <row r="981" spans="1:21" x14ac:dyDescent="0.2">
      <c r="A981" s="2">
        <v>843</v>
      </c>
      <c r="B981" s="2" t="s">
        <v>9</v>
      </c>
      <c r="C981" s="2" t="s">
        <v>1405</v>
      </c>
      <c r="D981" s="2" t="s">
        <v>45</v>
      </c>
      <c r="E981" s="2">
        <v>10013</v>
      </c>
      <c r="F981" s="2" t="s">
        <v>42</v>
      </c>
      <c r="G981" s="2" t="s">
        <v>36</v>
      </c>
      <c r="H981" s="2">
        <v>1</v>
      </c>
      <c r="I981" s="2" t="s">
        <v>14</v>
      </c>
      <c r="J981" s="2" t="str">
        <f>VLOOKUP(E981,[1]LL_Hub!$A$1:$B$13,2,FALSE)</f>
        <v>New York</v>
      </c>
      <c r="K981" t="str">
        <f>VLOOKUP(D981,'[2]product Table data'!$A$2:$B$12,2,FALSE)</f>
        <v>Female</v>
      </c>
      <c r="L981" t="str">
        <f>VLOOKUP($D981,'[2]product Table data'!$A$2:$G$12,L$1,FALSE)</f>
        <v>Winter Warmth</v>
      </c>
      <c r="M981" t="str">
        <f>VLOOKUP($D981,'[2]product Table data'!$A$2:$G$12,M$1,FALSE)</f>
        <v>Romania</v>
      </c>
      <c r="N981" t="str">
        <f>VLOOKUP($D981,'[2]product Table data'!$A$2:$G$12,N$1,FALSE)</f>
        <v>Eastern Europe</v>
      </c>
      <c r="O981">
        <f>VLOOKUP($D981,'[2]product Table data'!$A$2:$G$12,O$1,FALSE)</f>
        <v>350</v>
      </c>
      <c r="P981">
        <f>VLOOKUP($D981,'[2]product Table data'!$A$2:$G$12,P$1,FALSE)</f>
        <v>450</v>
      </c>
      <c r="Q981">
        <f t="shared" si="75"/>
        <v>100</v>
      </c>
      <c r="R981" t="str">
        <f t="shared" si="76"/>
        <v>-</v>
      </c>
      <c r="S981" t="str">
        <f t="shared" si="77"/>
        <v>-</v>
      </c>
      <c r="T981" t="str">
        <f t="shared" si="78"/>
        <v>-</v>
      </c>
      <c r="U981" t="str">
        <f t="shared" si="79"/>
        <v>High Value</v>
      </c>
    </row>
    <row r="982" spans="1:21" x14ac:dyDescent="0.2">
      <c r="A982" s="2">
        <v>844</v>
      </c>
      <c r="B982" s="2" t="s">
        <v>9</v>
      </c>
      <c r="C982" s="2" t="s">
        <v>1406</v>
      </c>
      <c r="D982" s="2" t="s">
        <v>45</v>
      </c>
      <c r="E982" s="2">
        <v>10013</v>
      </c>
      <c r="F982" s="2" t="s">
        <v>42</v>
      </c>
      <c r="G982" s="2" t="s">
        <v>36</v>
      </c>
      <c r="H982" s="2">
        <v>1</v>
      </c>
      <c r="I982" s="2" t="s">
        <v>14</v>
      </c>
      <c r="J982" s="2" t="str">
        <f>VLOOKUP(E982,[1]LL_Hub!$A$1:$B$13,2,FALSE)</f>
        <v>New York</v>
      </c>
      <c r="K982" t="str">
        <f>VLOOKUP(D982,'[2]product Table data'!$A$2:$B$12,2,FALSE)</f>
        <v>Female</v>
      </c>
      <c r="L982" t="str">
        <f>VLOOKUP($D982,'[2]product Table data'!$A$2:$G$12,L$1,FALSE)</f>
        <v>Winter Warmth</v>
      </c>
      <c r="M982" t="str">
        <f>VLOOKUP($D982,'[2]product Table data'!$A$2:$G$12,M$1,FALSE)</f>
        <v>Romania</v>
      </c>
      <c r="N982" t="str">
        <f>VLOOKUP($D982,'[2]product Table data'!$A$2:$G$12,N$1,FALSE)</f>
        <v>Eastern Europe</v>
      </c>
      <c r="O982">
        <f>VLOOKUP($D982,'[2]product Table data'!$A$2:$G$12,O$1,FALSE)</f>
        <v>350</v>
      </c>
      <c r="P982">
        <f>VLOOKUP($D982,'[2]product Table data'!$A$2:$G$12,P$1,FALSE)</f>
        <v>450</v>
      </c>
      <c r="Q982">
        <f t="shared" si="75"/>
        <v>100</v>
      </c>
      <c r="R982" t="str">
        <f t="shared" si="76"/>
        <v>-</v>
      </c>
      <c r="S982" t="str">
        <f t="shared" si="77"/>
        <v>-</v>
      </c>
      <c r="T982" t="str">
        <f t="shared" si="78"/>
        <v>-</v>
      </c>
      <c r="U982" t="str">
        <f t="shared" si="79"/>
        <v>High Value</v>
      </c>
    </row>
    <row r="983" spans="1:21" x14ac:dyDescent="0.2">
      <c r="A983" s="2">
        <v>845</v>
      </c>
      <c r="B983" s="2" t="s">
        <v>9</v>
      </c>
      <c r="C983" s="2" t="s">
        <v>1407</v>
      </c>
      <c r="D983" s="2" t="s">
        <v>45</v>
      </c>
      <c r="E983" s="2">
        <v>10013</v>
      </c>
      <c r="F983" s="2" t="s">
        <v>42</v>
      </c>
      <c r="G983" s="2" t="s">
        <v>36</v>
      </c>
      <c r="H983" s="2">
        <v>1</v>
      </c>
      <c r="I983" s="2" t="s">
        <v>14</v>
      </c>
      <c r="J983" s="2" t="str">
        <f>VLOOKUP(E983,[1]LL_Hub!$A$1:$B$13,2,FALSE)</f>
        <v>New York</v>
      </c>
      <c r="K983" t="str">
        <f>VLOOKUP(D983,'[2]product Table data'!$A$2:$B$12,2,FALSE)</f>
        <v>Female</v>
      </c>
      <c r="L983" t="str">
        <f>VLOOKUP($D983,'[2]product Table data'!$A$2:$G$12,L$1,FALSE)</f>
        <v>Winter Warmth</v>
      </c>
      <c r="M983" t="str">
        <f>VLOOKUP($D983,'[2]product Table data'!$A$2:$G$12,M$1,FALSE)</f>
        <v>Romania</v>
      </c>
      <c r="N983" t="str">
        <f>VLOOKUP($D983,'[2]product Table data'!$A$2:$G$12,N$1,FALSE)</f>
        <v>Eastern Europe</v>
      </c>
      <c r="O983">
        <f>VLOOKUP($D983,'[2]product Table data'!$A$2:$G$12,O$1,FALSE)</f>
        <v>350</v>
      </c>
      <c r="P983">
        <f>VLOOKUP($D983,'[2]product Table data'!$A$2:$G$12,P$1,FALSE)</f>
        <v>450</v>
      </c>
      <c r="Q983">
        <f t="shared" si="75"/>
        <v>100</v>
      </c>
      <c r="R983" t="str">
        <f t="shared" si="76"/>
        <v>-</v>
      </c>
      <c r="S983" t="str">
        <f t="shared" si="77"/>
        <v>-</v>
      </c>
      <c r="T983" t="str">
        <f t="shared" si="78"/>
        <v>-</v>
      </c>
      <c r="U983" t="str">
        <f t="shared" si="79"/>
        <v>High Value</v>
      </c>
    </row>
    <row r="984" spans="1:21" x14ac:dyDescent="0.2">
      <c r="A984" s="2">
        <v>846</v>
      </c>
      <c r="B984" s="2" t="s">
        <v>9</v>
      </c>
      <c r="C984" s="2" t="s">
        <v>1408</v>
      </c>
      <c r="D984" s="2" t="s">
        <v>45</v>
      </c>
      <c r="E984" s="2">
        <v>10013</v>
      </c>
      <c r="F984" s="2" t="s">
        <v>42</v>
      </c>
      <c r="G984" s="2" t="s">
        <v>36</v>
      </c>
      <c r="H984" s="2">
        <v>1</v>
      </c>
      <c r="I984" s="2" t="s">
        <v>14</v>
      </c>
      <c r="J984" s="2" t="str">
        <f>VLOOKUP(E984,[1]LL_Hub!$A$1:$B$13,2,FALSE)</f>
        <v>New York</v>
      </c>
      <c r="K984" t="str">
        <f>VLOOKUP(D984,'[2]product Table data'!$A$2:$B$12,2,FALSE)</f>
        <v>Female</v>
      </c>
      <c r="L984" t="str">
        <f>VLOOKUP($D984,'[2]product Table data'!$A$2:$G$12,L$1,FALSE)</f>
        <v>Winter Warmth</v>
      </c>
      <c r="M984" t="str">
        <f>VLOOKUP($D984,'[2]product Table data'!$A$2:$G$12,M$1,FALSE)</f>
        <v>Romania</v>
      </c>
      <c r="N984" t="str">
        <f>VLOOKUP($D984,'[2]product Table data'!$A$2:$G$12,N$1,FALSE)</f>
        <v>Eastern Europe</v>
      </c>
      <c r="O984">
        <f>VLOOKUP($D984,'[2]product Table data'!$A$2:$G$12,O$1,FALSE)</f>
        <v>350</v>
      </c>
      <c r="P984">
        <f>VLOOKUP($D984,'[2]product Table data'!$A$2:$G$12,P$1,FALSE)</f>
        <v>450</v>
      </c>
      <c r="Q984">
        <f t="shared" si="75"/>
        <v>100</v>
      </c>
      <c r="R984" t="str">
        <f t="shared" si="76"/>
        <v>-</v>
      </c>
      <c r="S984" t="str">
        <f t="shared" si="77"/>
        <v>-</v>
      </c>
      <c r="T984" t="str">
        <f t="shared" si="78"/>
        <v>-</v>
      </c>
      <c r="U984" t="str">
        <f t="shared" si="79"/>
        <v>High Value</v>
      </c>
    </row>
    <row r="985" spans="1:21" x14ac:dyDescent="0.2">
      <c r="A985" s="2">
        <v>847</v>
      </c>
      <c r="B985" s="2" t="s">
        <v>9</v>
      </c>
      <c r="C985" s="2" t="s">
        <v>1409</v>
      </c>
      <c r="D985" s="2" t="s">
        <v>45</v>
      </c>
      <c r="E985" s="2">
        <v>10013</v>
      </c>
      <c r="F985" s="2" t="s">
        <v>42</v>
      </c>
      <c r="G985" s="2" t="s">
        <v>36</v>
      </c>
      <c r="H985" s="2">
        <v>1</v>
      </c>
      <c r="I985" s="2" t="s">
        <v>14</v>
      </c>
      <c r="J985" s="2" t="str">
        <f>VLOOKUP(E985,[1]LL_Hub!$A$1:$B$13,2,FALSE)</f>
        <v>New York</v>
      </c>
      <c r="K985" t="str">
        <f>VLOOKUP(D985,'[2]product Table data'!$A$2:$B$12,2,FALSE)</f>
        <v>Female</v>
      </c>
      <c r="L985" t="str">
        <f>VLOOKUP($D985,'[2]product Table data'!$A$2:$G$12,L$1,FALSE)</f>
        <v>Winter Warmth</v>
      </c>
      <c r="M985" t="str">
        <f>VLOOKUP($D985,'[2]product Table data'!$A$2:$G$12,M$1,FALSE)</f>
        <v>Romania</v>
      </c>
      <c r="N985" t="str">
        <f>VLOOKUP($D985,'[2]product Table data'!$A$2:$G$12,N$1,FALSE)</f>
        <v>Eastern Europe</v>
      </c>
      <c r="O985">
        <f>VLOOKUP($D985,'[2]product Table data'!$A$2:$G$12,O$1,FALSE)</f>
        <v>350</v>
      </c>
      <c r="P985">
        <f>VLOOKUP($D985,'[2]product Table data'!$A$2:$G$12,P$1,FALSE)</f>
        <v>450</v>
      </c>
      <c r="Q985">
        <f t="shared" si="75"/>
        <v>100</v>
      </c>
      <c r="R985" t="str">
        <f t="shared" si="76"/>
        <v>-</v>
      </c>
      <c r="S985" t="str">
        <f t="shared" si="77"/>
        <v>-</v>
      </c>
      <c r="T985" t="str">
        <f t="shared" si="78"/>
        <v>-</v>
      </c>
      <c r="U985" t="str">
        <f t="shared" si="79"/>
        <v>High Value</v>
      </c>
    </row>
    <row r="986" spans="1:21" x14ac:dyDescent="0.2">
      <c r="A986" s="2">
        <v>848</v>
      </c>
      <c r="B986" s="2" t="s">
        <v>9</v>
      </c>
      <c r="C986" s="2" t="s">
        <v>1410</v>
      </c>
      <c r="D986" s="2" t="s">
        <v>45</v>
      </c>
      <c r="E986" s="2">
        <v>10013</v>
      </c>
      <c r="F986" s="2" t="s">
        <v>42</v>
      </c>
      <c r="G986" s="2" t="s">
        <v>36</v>
      </c>
      <c r="H986" s="2">
        <v>1</v>
      </c>
      <c r="I986" s="2" t="s">
        <v>14</v>
      </c>
      <c r="J986" s="2" t="str">
        <f>VLOOKUP(E986,[1]LL_Hub!$A$1:$B$13,2,FALSE)</f>
        <v>New York</v>
      </c>
      <c r="K986" t="str">
        <f>VLOOKUP(D986,'[2]product Table data'!$A$2:$B$12,2,FALSE)</f>
        <v>Female</v>
      </c>
      <c r="L986" t="str">
        <f>VLOOKUP($D986,'[2]product Table data'!$A$2:$G$12,L$1,FALSE)</f>
        <v>Winter Warmth</v>
      </c>
      <c r="M986" t="str">
        <f>VLOOKUP($D986,'[2]product Table data'!$A$2:$G$12,M$1,FALSE)</f>
        <v>Romania</v>
      </c>
      <c r="N986" t="str">
        <f>VLOOKUP($D986,'[2]product Table data'!$A$2:$G$12,N$1,FALSE)</f>
        <v>Eastern Europe</v>
      </c>
      <c r="O986">
        <f>VLOOKUP($D986,'[2]product Table data'!$A$2:$G$12,O$1,FALSE)</f>
        <v>350</v>
      </c>
      <c r="P986">
        <f>VLOOKUP($D986,'[2]product Table data'!$A$2:$G$12,P$1,FALSE)</f>
        <v>450</v>
      </c>
      <c r="Q986">
        <f t="shared" si="75"/>
        <v>100</v>
      </c>
      <c r="R986" t="str">
        <f t="shared" si="76"/>
        <v>-</v>
      </c>
      <c r="S986" t="str">
        <f t="shared" si="77"/>
        <v>-</v>
      </c>
      <c r="T986" t="str">
        <f t="shared" si="78"/>
        <v>-</v>
      </c>
      <c r="U986" t="str">
        <f t="shared" si="79"/>
        <v>High Value</v>
      </c>
    </row>
    <row r="987" spans="1:21" x14ac:dyDescent="0.2">
      <c r="A987" s="2">
        <v>849</v>
      </c>
      <c r="B987" s="2" t="s">
        <v>9</v>
      </c>
      <c r="C987" s="2" t="s">
        <v>1411</v>
      </c>
      <c r="D987" s="2" t="s">
        <v>45</v>
      </c>
      <c r="E987" s="2">
        <v>10013</v>
      </c>
      <c r="F987" s="2" t="s">
        <v>42</v>
      </c>
      <c r="G987" s="2" t="s">
        <v>36</v>
      </c>
      <c r="H987" s="2">
        <v>1</v>
      </c>
      <c r="I987" s="2" t="s">
        <v>14</v>
      </c>
      <c r="J987" s="2" t="str">
        <f>VLOOKUP(E987,[1]LL_Hub!$A$1:$B$13,2,FALSE)</f>
        <v>New York</v>
      </c>
      <c r="K987" t="str">
        <f>VLOOKUP(D987,'[2]product Table data'!$A$2:$B$12,2,FALSE)</f>
        <v>Female</v>
      </c>
      <c r="L987" t="str">
        <f>VLOOKUP($D987,'[2]product Table data'!$A$2:$G$12,L$1,FALSE)</f>
        <v>Winter Warmth</v>
      </c>
      <c r="M987" t="str">
        <f>VLOOKUP($D987,'[2]product Table data'!$A$2:$G$12,M$1,FALSE)</f>
        <v>Romania</v>
      </c>
      <c r="N987" t="str">
        <f>VLOOKUP($D987,'[2]product Table data'!$A$2:$G$12,N$1,FALSE)</f>
        <v>Eastern Europe</v>
      </c>
      <c r="O987">
        <f>VLOOKUP($D987,'[2]product Table data'!$A$2:$G$12,O$1,FALSE)</f>
        <v>350</v>
      </c>
      <c r="P987">
        <f>VLOOKUP($D987,'[2]product Table data'!$A$2:$G$12,P$1,FALSE)</f>
        <v>450</v>
      </c>
      <c r="Q987">
        <f t="shared" si="75"/>
        <v>100</v>
      </c>
      <c r="R987" t="str">
        <f t="shared" si="76"/>
        <v>-</v>
      </c>
      <c r="S987" t="str">
        <f t="shared" si="77"/>
        <v>-</v>
      </c>
      <c r="T987" t="str">
        <f t="shared" si="78"/>
        <v>-</v>
      </c>
      <c r="U987" t="str">
        <f t="shared" si="79"/>
        <v>High Value</v>
      </c>
    </row>
    <row r="988" spans="1:21" x14ac:dyDescent="0.2">
      <c r="A988" s="2">
        <v>1179</v>
      </c>
      <c r="B988" s="2" t="s">
        <v>9</v>
      </c>
      <c r="C988" s="2" t="s">
        <v>1661</v>
      </c>
      <c r="D988" s="2" t="s">
        <v>45</v>
      </c>
      <c r="E988" s="2">
        <v>10001</v>
      </c>
      <c r="F988" s="2" t="s">
        <v>42</v>
      </c>
      <c r="G988" s="2" t="s">
        <v>36</v>
      </c>
      <c r="H988" s="2">
        <v>1</v>
      </c>
      <c r="I988" s="2" t="s">
        <v>14</v>
      </c>
      <c r="J988" s="2" t="str">
        <f>VLOOKUP(E988,[1]LL_Hub!$A$1:$B$13,2,FALSE)</f>
        <v>New York</v>
      </c>
      <c r="K988" t="str">
        <f>VLOOKUP(D988,'[2]product Table data'!$A$2:$B$12,2,FALSE)</f>
        <v>Female</v>
      </c>
      <c r="L988" t="str">
        <f>VLOOKUP($D988,'[2]product Table data'!$A$2:$G$12,L$1,FALSE)</f>
        <v>Winter Warmth</v>
      </c>
      <c r="M988" t="str">
        <f>VLOOKUP($D988,'[2]product Table data'!$A$2:$G$12,M$1,FALSE)</f>
        <v>Romania</v>
      </c>
      <c r="N988" t="str">
        <f>VLOOKUP($D988,'[2]product Table data'!$A$2:$G$12,N$1,FALSE)</f>
        <v>Eastern Europe</v>
      </c>
      <c r="O988">
        <f>VLOOKUP($D988,'[2]product Table data'!$A$2:$G$12,O$1,FALSE)</f>
        <v>350</v>
      </c>
      <c r="P988">
        <f>VLOOKUP($D988,'[2]product Table data'!$A$2:$G$12,P$1,FALSE)</f>
        <v>450</v>
      </c>
      <c r="Q988">
        <f t="shared" si="75"/>
        <v>100</v>
      </c>
      <c r="R988" t="str">
        <f t="shared" si="76"/>
        <v>-</v>
      </c>
      <c r="S988" t="str">
        <f t="shared" si="77"/>
        <v>-</v>
      </c>
      <c r="T988" t="str">
        <f t="shared" si="78"/>
        <v>-</v>
      </c>
      <c r="U988" t="str">
        <f t="shared" si="79"/>
        <v>High Value</v>
      </c>
    </row>
    <row r="989" spans="1:21" hidden="1" x14ac:dyDescent="0.2">
      <c r="A989" s="2">
        <v>850</v>
      </c>
      <c r="B989" s="2" t="s">
        <v>9</v>
      </c>
      <c r="C989" s="2" t="s">
        <v>1412</v>
      </c>
      <c r="D989" s="2" t="s">
        <v>604</v>
      </c>
      <c r="E989" s="2">
        <v>33125</v>
      </c>
      <c r="F989" s="2" t="s">
        <v>1413</v>
      </c>
      <c r="G989" s="2" t="s">
        <v>13</v>
      </c>
      <c r="H989" s="2">
        <v>1</v>
      </c>
      <c r="I989" s="2" t="s">
        <v>17</v>
      </c>
      <c r="J989" s="2" t="str">
        <f>VLOOKUP(E989,[1]LL_Hub!$A$1:$B$13,2,FALSE)</f>
        <v>Miami</v>
      </c>
      <c r="K989" t="str">
        <f>VLOOKUP(D989,'[2]product Table data'!$A$2:$B$12,2,FALSE)</f>
        <v>Female</v>
      </c>
      <c r="L989" t="str">
        <f>VLOOKUP($D989,'[2]product Table data'!$A$2:$G$12,L$1,FALSE)</f>
        <v>Fancy Sheek</v>
      </c>
      <c r="M989" t="str">
        <f>VLOOKUP($D989,'[2]product Table data'!$A$2:$G$12,M$1,FALSE)</f>
        <v>Iran</v>
      </c>
      <c r="N989" t="str">
        <f>VLOOKUP($D989,'[2]product Table data'!$A$2:$G$12,N$1,FALSE)</f>
        <v>Middle East</v>
      </c>
      <c r="O989">
        <f>VLOOKUP($D989,'[2]product Table data'!$A$2:$G$12,O$1,FALSE)</f>
        <v>75</v>
      </c>
      <c r="P989">
        <f>VLOOKUP($D989,'[2]product Table data'!$A$2:$G$12,P$1,FALSE)</f>
        <v>125</v>
      </c>
      <c r="Q989">
        <f t="shared" si="75"/>
        <v>50</v>
      </c>
      <c r="R989" t="str">
        <f t="shared" si="76"/>
        <v>-</v>
      </c>
      <c r="S989" t="str">
        <f t="shared" si="77"/>
        <v>Style Risk</v>
      </c>
      <c r="T989" t="str">
        <f t="shared" si="78"/>
        <v>-</v>
      </c>
      <c r="U989" t="str">
        <f t="shared" si="79"/>
        <v>High Value</v>
      </c>
    </row>
    <row r="990" spans="1:21" hidden="1" x14ac:dyDescent="0.2">
      <c r="A990" s="2">
        <v>851</v>
      </c>
      <c r="B990" s="2" t="s">
        <v>9</v>
      </c>
      <c r="C990" s="2" t="s">
        <v>1414</v>
      </c>
      <c r="D990" s="2" t="s">
        <v>968</v>
      </c>
      <c r="E990" s="2">
        <v>33125</v>
      </c>
      <c r="F990" s="2" t="s">
        <v>1415</v>
      </c>
      <c r="G990" s="2" t="s">
        <v>13</v>
      </c>
      <c r="H990" s="2">
        <v>1</v>
      </c>
      <c r="I990" s="2" t="s">
        <v>17</v>
      </c>
      <c r="J990" s="2" t="str">
        <f>VLOOKUP(E990,[1]LL_Hub!$A$1:$B$13,2,FALSE)</f>
        <v>Miami</v>
      </c>
      <c r="K990" t="str">
        <f>VLOOKUP(D990,'[2]product Table data'!$A$2:$B$12,2,FALSE)</f>
        <v>Female</v>
      </c>
      <c r="L990" t="str">
        <f>VLOOKUP($D990,'[2]product Table data'!$A$2:$G$12,L$1,FALSE)</f>
        <v>Fancy Sheek</v>
      </c>
      <c r="M990" t="str">
        <f>VLOOKUP($D990,'[2]product Table data'!$A$2:$G$12,M$1,FALSE)</f>
        <v>Azerbaijan</v>
      </c>
      <c r="N990" t="str">
        <f>VLOOKUP($D990,'[2]product Table data'!$A$2:$G$12,N$1,FALSE)</f>
        <v>Middle East</v>
      </c>
      <c r="O990">
        <f>VLOOKUP($D990,'[2]product Table data'!$A$2:$G$12,O$1,FALSE)</f>
        <v>1200</v>
      </c>
      <c r="P990">
        <f>VLOOKUP($D990,'[2]product Table data'!$A$2:$G$12,P$1,FALSE)</f>
        <v>2000</v>
      </c>
      <c r="Q990">
        <f t="shared" si="75"/>
        <v>800</v>
      </c>
      <c r="R990" t="str">
        <f t="shared" si="76"/>
        <v>-</v>
      </c>
      <c r="S990" t="str">
        <f t="shared" si="77"/>
        <v>Style Risk</v>
      </c>
      <c r="T990" t="str">
        <f t="shared" si="78"/>
        <v>-</v>
      </c>
      <c r="U990" t="str">
        <f t="shared" si="79"/>
        <v>High Value</v>
      </c>
    </row>
    <row r="991" spans="1:21" hidden="1" x14ac:dyDescent="0.2">
      <c r="A991" s="2">
        <v>852</v>
      </c>
      <c r="B991" s="2" t="s">
        <v>9</v>
      </c>
      <c r="C991" s="2" t="s">
        <v>1416</v>
      </c>
      <c r="D991" s="2" t="s">
        <v>968</v>
      </c>
      <c r="E991" s="2">
        <v>33125</v>
      </c>
      <c r="F991" s="2" t="s">
        <v>98</v>
      </c>
      <c r="G991" s="2" t="s">
        <v>36</v>
      </c>
      <c r="H991" s="2">
        <v>1</v>
      </c>
      <c r="I991" s="2" t="s">
        <v>17</v>
      </c>
      <c r="J991" s="2" t="str">
        <f>VLOOKUP(E991,[1]LL_Hub!$A$1:$B$13,2,FALSE)</f>
        <v>Miami</v>
      </c>
      <c r="K991" t="str">
        <f>VLOOKUP(D991,'[2]product Table data'!$A$2:$B$12,2,FALSE)</f>
        <v>Female</v>
      </c>
      <c r="L991" t="str">
        <f>VLOOKUP($D991,'[2]product Table data'!$A$2:$G$12,L$1,FALSE)</f>
        <v>Fancy Sheek</v>
      </c>
      <c r="M991" t="str">
        <f>VLOOKUP($D991,'[2]product Table data'!$A$2:$G$12,M$1,FALSE)</f>
        <v>Azerbaijan</v>
      </c>
      <c r="N991" t="str">
        <f>VLOOKUP($D991,'[2]product Table data'!$A$2:$G$12,N$1,FALSE)</f>
        <v>Middle East</v>
      </c>
      <c r="O991">
        <f>VLOOKUP($D991,'[2]product Table data'!$A$2:$G$12,O$1,FALSE)</f>
        <v>1200</v>
      </c>
      <c r="P991">
        <f>VLOOKUP($D991,'[2]product Table data'!$A$2:$G$12,P$1,FALSE)</f>
        <v>2000</v>
      </c>
      <c r="Q991">
        <f t="shared" si="75"/>
        <v>800</v>
      </c>
      <c r="R991" t="str">
        <f t="shared" si="76"/>
        <v>-</v>
      </c>
      <c r="S991" t="str">
        <f t="shared" si="77"/>
        <v>Style Risk</v>
      </c>
      <c r="T991" t="str">
        <f t="shared" si="78"/>
        <v>-</v>
      </c>
      <c r="U991" t="str">
        <f t="shared" si="79"/>
        <v>High Value</v>
      </c>
    </row>
    <row r="992" spans="1:21" hidden="1" x14ac:dyDescent="0.2">
      <c r="A992" s="2">
        <v>853</v>
      </c>
      <c r="B992" s="2" t="s">
        <v>9</v>
      </c>
      <c r="C992" s="2" t="s">
        <v>1417</v>
      </c>
      <c r="D992" s="2" t="s">
        <v>968</v>
      </c>
      <c r="E992" s="2">
        <v>33125</v>
      </c>
      <c r="F992" s="2" t="s">
        <v>98</v>
      </c>
      <c r="G992" s="2" t="s">
        <v>36</v>
      </c>
      <c r="H992" s="2">
        <v>1</v>
      </c>
      <c r="I992" s="2" t="s">
        <v>17</v>
      </c>
      <c r="J992" s="2" t="str">
        <f>VLOOKUP(E992,[1]LL_Hub!$A$1:$B$13,2,FALSE)</f>
        <v>Miami</v>
      </c>
      <c r="K992" t="str">
        <f>VLOOKUP(D992,'[2]product Table data'!$A$2:$B$12,2,FALSE)</f>
        <v>Female</v>
      </c>
      <c r="L992" t="str">
        <f>VLOOKUP($D992,'[2]product Table data'!$A$2:$G$12,L$1,FALSE)</f>
        <v>Fancy Sheek</v>
      </c>
      <c r="M992" t="str">
        <f>VLOOKUP($D992,'[2]product Table data'!$A$2:$G$12,M$1,FALSE)</f>
        <v>Azerbaijan</v>
      </c>
      <c r="N992" t="str">
        <f>VLOOKUP($D992,'[2]product Table data'!$A$2:$G$12,N$1,FALSE)</f>
        <v>Middle East</v>
      </c>
      <c r="O992">
        <f>VLOOKUP($D992,'[2]product Table data'!$A$2:$G$12,O$1,FALSE)</f>
        <v>1200</v>
      </c>
      <c r="P992">
        <f>VLOOKUP($D992,'[2]product Table data'!$A$2:$G$12,P$1,FALSE)</f>
        <v>2000</v>
      </c>
      <c r="Q992">
        <f t="shared" si="75"/>
        <v>800</v>
      </c>
      <c r="R992" t="str">
        <f t="shared" si="76"/>
        <v>-</v>
      </c>
      <c r="S992" t="str">
        <f t="shared" si="77"/>
        <v>Style Risk</v>
      </c>
      <c r="T992" t="str">
        <f t="shared" si="78"/>
        <v>-</v>
      </c>
      <c r="U992" t="str">
        <f t="shared" si="79"/>
        <v>High Value</v>
      </c>
    </row>
    <row r="993" spans="1:21" hidden="1" x14ac:dyDescent="0.2">
      <c r="A993" s="2">
        <v>854</v>
      </c>
      <c r="B993" s="2" t="s">
        <v>9</v>
      </c>
      <c r="C993" s="2" t="s">
        <v>1418</v>
      </c>
      <c r="D993" s="2" t="s">
        <v>968</v>
      </c>
      <c r="E993" s="2">
        <v>33125</v>
      </c>
      <c r="F993" s="2" t="s">
        <v>98</v>
      </c>
      <c r="G993" s="2" t="s">
        <v>36</v>
      </c>
      <c r="H993" s="2">
        <v>1</v>
      </c>
      <c r="I993" s="2" t="s">
        <v>17</v>
      </c>
      <c r="J993" s="2" t="str">
        <f>VLOOKUP(E993,[1]LL_Hub!$A$1:$B$13,2,FALSE)</f>
        <v>Miami</v>
      </c>
      <c r="K993" t="str">
        <f>VLOOKUP(D993,'[2]product Table data'!$A$2:$B$12,2,FALSE)</f>
        <v>Female</v>
      </c>
      <c r="L993" t="str">
        <f>VLOOKUP($D993,'[2]product Table data'!$A$2:$G$12,L$1,FALSE)</f>
        <v>Fancy Sheek</v>
      </c>
      <c r="M993" t="str">
        <f>VLOOKUP($D993,'[2]product Table data'!$A$2:$G$12,M$1,FALSE)</f>
        <v>Azerbaijan</v>
      </c>
      <c r="N993" t="str">
        <f>VLOOKUP($D993,'[2]product Table data'!$A$2:$G$12,N$1,FALSE)</f>
        <v>Middle East</v>
      </c>
      <c r="O993">
        <f>VLOOKUP($D993,'[2]product Table data'!$A$2:$G$12,O$1,FALSE)</f>
        <v>1200</v>
      </c>
      <c r="P993">
        <f>VLOOKUP($D993,'[2]product Table data'!$A$2:$G$12,P$1,FALSE)</f>
        <v>2000</v>
      </c>
      <c r="Q993">
        <f t="shared" si="75"/>
        <v>800</v>
      </c>
      <c r="R993" t="str">
        <f t="shared" si="76"/>
        <v>-</v>
      </c>
      <c r="S993" t="str">
        <f t="shared" si="77"/>
        <v>Style Risk</v>
      </c>
      <c r="T993" t="str">
        <f t="shared" si="78"/>
        <v>-</v>
      </c>
      <c r="U993" t="str">
        <f t="shared" si="79"/>
        <v>High Value</v>
      </c>
    </row>
    <row r="994" spans="1:21" hidden="1" x14ac:dyDescent="0.2">
      <c r="A994" s="2">
        <v>855</v>
      </c>
      <c r="B994" s="2" t="s">
        <v>9</v>
      </c>
      <c r="C994" s="2" t="s">
        <v>1419</v>
      </c>
      <c r="D994" s="2" t="s">
        <v>968</v>
      </c>
      <c r="E994" s="2">
        <v>33125</v>
      </c>
      <c r="F994" s="2" t="s">
        <v>98</v>
      </c>
      <c r="G994" s="2" t="s">
        <v>36</v>
      </c>
      <c r="H994" s="2">
        <v>1</v>
      </c>
      <c r="I994" s="2" t="s">
        <v>17</v>
      </c>
      <c r="J994" s="2" t="str">
        <f>VLOOKUP(E994,[1]LL_Hub!$A$1:$B$13,2,FALSE)</f>
        <v>Miami</v>
      </c>
      <c r="K994" t="str">
        <f>VLOOKUP(D994,'[2]product Table data'!$A$2:$B$12,2,FALSE)</f>
        <v>Female</v>
      </c>
      <c r="L994" t="str">
        <f>VLOOKUP($D994,'[2]product Table data'!$A$2:$G$12,L$1,FALSE)</f>
        <v>Fancy Sheek</v>
      </c>
      <c r="M994" t="str">
        <f>VLOOKUP($D994,'[2]product Table data'!$A$2:$G$12,M$1,FALSE)</f>
        <v>Azerbaijan</v>
      </c>
      <c r="N994" t="str">
        <f>VLOOKUP($D994,'[2]product Table data'!$A$2:$G$12,N$1,FALSE)</f>
        <v>Middle East</v>
      </c>
      <c r="O994">
        <f>VLOOKUP($D994,'[2]product Table data'!$A$2:$G$12,O$1,FALSE)</f>
        <v>1200</v>
      </c>
      <c r="P994">
        <f>VLOOKUP($D994,'[2]product Table data'!$A$2:$G$12,P$1,FALSE)</f>
        <v>2000</v>
      </c>
      <c r="Q994">
        <f t="shared" si="75"/>
        <v>800</v>
      </c>
      <c r="R994" t="str">
        <f t="shared" si="76"/>
        <v>-</v>
      </c>
      <c r="S994" t="str">
        <f t="shared" si="77"/>
        <v>Style Risk</v>
      </c>
      <c r="T994" t="str">
        <f t="shared" si="78"/>
        <v>-</v>
      </c>
      <c r="U994" t="str">
        <f t="shared" si="79"/>
        <v>High Value</v>
      </c>
    </row>
    <row r="995" spans="1:21" hidden="1" x14ac:dyDescent="0.2">
      <c r="A995" s="2">
        <v>856</v>
      </c>
      <c r="B995" s="2" t="s">
        <v>9</v>
      </c>
      <c r="C995" s="2" t="s">
        <v>1420</v>
      </c>
      <c r="D995" s="2" t="s">
        <v>968</v>
      </c>
      <c r="E995" s="2">
        <v>33125</v>
      </c>
      <c r="F995" s="2" t="s">
        <v>98</v>
      </c>
      <c r="G995" s="2" t="s">
        <v>36</v>
      </c>
      <c r="H995" s="2">
        <v>1</v>
      </c>
      <c r="I995" s="2" t="s">
        <v>17</v>
      </c>
      <c r="J995" s="2" t="str">
        <f>VLOOKUP(E995,[1]LL_Hub!$A$1:$B$13,2,FALSE)</f>
        <v>Miami</v>
      </c>
      <c r="K995" t="str">
        <f>VLOOKUP(D995,'[2]product Table data'!$A$2:$B$12,2,FALSE)</f>
        <v>Female</v>
      </c>
      <c r="L995" t="str">
        <f>VLOOKUP($D995,'[2]product Table data'!$A$2:$G$12,L$1,FALSE)</f>
        <v>Fancy Sheek</v>
      </c>
      <c r="M995" t="str">
        <f>VLOOKUP($D995,'[2]product Table data'!$A$2:$G$12,M$1,FALSE)</f>
        <v>Azerbaijan</v>
      </c>
      <c r="N995" t="str">
        <f>VLOOKUP($D995,'[2]product Table data'!$A$2:$G$12,N$1,FALSE)</f>
        <v>Middle East</v>
      </c>
      <c r="O995">
        <f>VLOOKUP($D995,'[2]product Table data'!$A$2:$G$12,O$1,FALSE)</f>
        <v>1200</v>
      </c>
      <c r="P995">
        <f>VLOOKUP($D995,'[2]product Table data'!$A$2:$G$12,P$1,FALSE)</f>
        <v>2000</v>
      </c>
      <c r="Q995">
        <f t="shared" si="75"/>
        <v>800</v>
      </c>
      <c r="R995" t="str">
        <f t="shared" si="76"/>
        <v>-</v>
      </c>
      <c r="S995" t="str">
        <f t="shared" si="77"/>
        <v>Style Risk</v>
      </c>
      <c r="T995" t="str">
        <f t="shared" si="78"/>
        <v>-</v>
      </c>
      <c r="U995" t="str">
        <f t="shared" si="79"/>
        <v>High Value</v>
      </c>
    </row>
    <row r="996" spans="1:21" hidden="1" x14ac:dyDescent="0.2">
      <c r="A996" s="2">
        <v>857</v>
      </c>
      <c r="B996" s="2" t="s">
        <v>9</v>
      </c>
      <c r="C996" s="2" t="s">
        <v>1421</v>
      </c>
      <c r="D996" s="2" t="s">
        <v>968</v>
      </c>
      <c r="E996" s="2">
        <v>33125</v>
      </c>
      <c r="F996" s="2" t="s">
        <v>98</v>
      </c>
      <c r="G996" s="2" t="s">
        <v>36</v>
      </c>
      <c r="H996" s="2">
        <v>1</v>
      </c>
      <c r="I996" s="2" t="s">
        <v>17</v>
      </c>
      <c r="J996" s="2" t="str">
        <f>VLOOKUP(E996,[1]LL_Hub!$A$1:$B$13,2,FALSE)</f>
        <v>Miami</v>
      </c>
      <c r="K996" t="str">
        <f>VLOOKUP(D996,'[2]product Table data'!$A$2:$B$12,2,FALSE)</f>
        <v>Female</v>
      </c>
      <c r="L996" t="str">
        <f>VLOOKUP($D996,'[2]product Table data'!$A$2:$G$12,L$1,FALSE)</f>
        <v>Fancy Sheek</v>
      </c>
      <c r="M996" t="str">
        <f>VLOOKUP($D996,'[2]product Table data'!$A$2:$G$12,M$1,FALSE)</f>
        <v>Azerbaijan</v>
      </c>
      <c r="N996" t="str">
        <f>VLOOKUP($D996,'[2]product Table data'!$A$2:$G$12,N$1,FALSE)</f>
        <v>Middle East</v>
      </c>
      <c r="O996">
        <f>VLOOKUP($D996,'[2]product Table data'!$A$2:$G$12,O$1,FALSE)</f>
        <v>1200</v>
      </c>
      <c r="P996">
        <f>VLOOKUP($D996,'[2]product Table data'!$A$2:$G$12,P$1,FALSE)</f>
        <v>2000</v>
      </c>
      <c r="Q996">
        <f t="shared" si="75"/>
        <v>800</v>
      </c>
      <c r="R996" t="str">
        <f t="shared" si="76"/>
        <v>-</v>
      </c>
      <c r="S996" t="str">
        <f t="shared" si="77"/>
        <v>Style Risk</v>
      </c>
      <c r="T996" t="str">
        <f t="shared" si="78"/>
        <v>-</v>
      </c>
      <c r="U996" t="str">
        <f t="shared" si="79"/>
        <v>High Value</v>
      </c>
    </row>
    <row r="997" spans="1:21" hidden="1" x14ac:dyDescent="0.2">
      <c r="A997" s="2">
        <v>858</v>
      </c>
      <c r="B997" s="2" t="s">
        <v>9</v>
      </c>
      <c r="C997" s="2" t="s">
        <v>1422</v>
      </c>
      <c r="D997" s="2" t="s">
        <v>968</v>
      </c>
      <c r="E997" s="2">
        <v>33125</v>
      </c>
      <c r="F997" s="2" t="s">
        <v>98</v>
      </c>
      <c r="G997" s="2" t="s">
        <v>36</v>
      </c>
      <c r="H997" s="2">
        <v>1</v>
      </c>
      <c r="I997" s="2" t="s">
        <v>17</v>
      </c>
      <c r="J997" s="2" t="str">
        <f>VLOOKUP(E997,[1]LL_Hub!$A$1:$B$13,2,FALSE)</f>
        <v>Miami</v>
      </c>
      <c r="K997" t="str">
        <f>VLOOKUP(D997,'[2]product Table data'!$A$2:$B$12,2,FALSE)</f>
        <v>Female</v>
      </c>
      <c r="L997" t="str">
        <f>VLOOKUP($D997,'[2]product Table data'!$A$2:$G$12,L$1,FALSE)</f>
        <v>Fancy Sheek</v>
      </c>
      <c r="M997" t="str">
        <f>VLOOKUP($D997,'[2]product Table data'!$A$2:$G$12,M$1,FALSE)</f>
        <v>Azerbaijan</v>
      </c>
      <c r="N997" t="str">
        <f>VLOOKUP($D997,'[2]product Table data'!$A$2:$G$12,N$1,FALSE)</f>
        <v>Middle East</v>
      </c>
      <c r="O997">
        <f>VLOOKUP($D997,'[2]product Table data'!$A$2:$G$12,O$1,FALSE)</f>
        <v>1200</v>
      </c>
      <c r="P997">
        <f>VLOOKUP($D997,'[2]product Table data'!$A$2:$G$12,P$1,FALSE)</f>
        <v>2000</v>
      </c>
      <c r="Q997">
        <f t="shared" si="75"/>
        <v>800</v>
      </c>
      <c r="R997" t="str">
        <f t="shared" si="76"/>
        <v>-</v>
      </c>
      <c r="S997" t="str">
        <f t="shared" si="77"/>
        <v>Style Risk</v>
      </c>
      <c r="T997" t="str">
        <f t="shared" si="78"/>
        <v>-</v>
      </c>
      <c r="U997" t="str">
        <f t="shared" si="79"/>
        <v>High Value</v>
      </c>
    </row>
    <row r="998" spans="1:21" hidden="1" x14ac:dyDescent="0.2">
      <c r="A998" s="2">
        <v>859</v>
      </c>
      <c r="B998" s="2" t="s">
        <v>9</v>
      </c>
      <c r="C998" s="2" t="s">
        <v>1423</v>
      </c>
      <c r="D998" s="2" t="s">
        <v>968</v>
      </c>
      <c r="E998" s="2">
        <v>33125</v>
      </c>
      <c r="F998" s="2" t="s">
        <v>98</v>
      </c>
      <c r="G998" s="2" t="s">
        <v>36</v>
      </c>
      <c r="H998" s="2">
        <v>1</v>
      </c>
      <c r="I998" s="2" t="s">
        <v>17</v>
      </c>
      <c r="J998" s="2" t="str">
        <f>VLOOKUP(E998,[1]LL_Hub!$A$1:$B$13,2,FALSE)</f>
        <v>Miami</v>
      </c>
      <c r="K998" t="str">
        <f>VLOOKUP(D998,'[2]product Table data'!$A$2:$B$12,2,FALSE)</f>
        <v>Female</v>
      </c>
      <c r="L998" t="str">
        <f>VLOOKUP($D998,'[2]product Table data'!$A$2:$G$12,L$1,FALSE)</f>
        <v>Fancy Sheek</v>
      </c>
      <c r="M998" t="str">
        <f>VLOOKUP($D998,'[2]product Table data'!$A$2:$G$12,M$1,FALSE)</f>
        <v>Azerbaijan</v>
      </c>
      <c r="N998" t="str">
        <f>VLOOKUP($D998,'[2]product Table data'!$A$2:$G$12,N$1,FALSE)</f>
        <v>Middle East</v>
      </c>
      <c r="O998">
        <f>VLOOKUP($D998,'[2]product Table data'!$A$2:$G$12,O$1,FALSE)</f>
        <v>1200</v>
      </c>
      <c r="P998">
        <f>VLOOKUP($D998,'[2]product Table data'!$A$2:$G$12,P$1,FALSE)</f>
        <v>2000</v>
      </c>
      <c r="Q998">
        <f t="shared" si="75"/>
        <v>800</v>
      </c>
      <c r="R998" t="str">
        <f t="shared" si="76"/>
        <v>-</v>
      </c>
      <c r="S998" t="str">
        <f t="shared" si="77"/>
        <v>Style Risk</v>
      </c>
      <c r="T998" t="str">
        <f t="shared" si="78"/>
        <v>-</v>
      </c>
      <c r="U998" t="str">
        <f t="shared" si="79"/>
        <v>High Value</v>
      </c>
    </row>
    <row r="999" spans="1:21" hidden="1" x14ac:dyDescent="0.2">
      <c r="A999" s="2">
        <v>860</v>
      </c>
      <c r="B999" s="2" t="s">
        <v>9</v>
      </c>
      <c r="C999" s="2" t="s">
        <v>1424</v>
      </c>
      <c r="D999" s="2" t="s">
        <v>968</v>
      </c>
      <c r="E999" s="2">
        <v>33125</v>
      </c>
      <c r="F999" s="2" t="s">
        <v>98</v>
      </c>
      <c r="G999" s="2" t="s">
        <v>36</v>
      </c>
      <c r="H999" s="2">
        <v>1</v>
      </c>
      <c r="I999" s="2" t="s">
        <v>17</v>
      </c>
      <c r="J999" s="2" t="str">
        <f>VLOOKUP(E999,[1]LL_Hub!$A$1:$B$13,2,FALSE)</f>
        <v>Miami</v>
      </c>
      <c r="K999" t="str">
        <f>VLOOKUP(D999,'[2]product Table data'!$A$2:$B$12,2,FALSE)</f>
        <v>Female</v>
      </c>
      <c r="L999" t="str">
        <f>VLOOKUP($D999,'[2]product Table data'!$A$2:$G$12,L$1,FALSE)</f>
        <v>Fancy Sheek</v>
      </c>
      <c r="M999" t="str">
        <f>VLOOKUP($D999,'[2]product Table data'!$A$2:$G$12,M$1,FALSE)</f>
        <v>Azerbaijan</v>
      </c>
      <c r="N999" t="str">
        <f>VLOOKUP($D999,'[2]product Table data'!$A$2:$G$12,N$1,FALSE)</f>
        <v>Middle East</v>
      </c>
      <c r="O999">
        <f>VLOOKUP($D999,'[2]product Table data'!$A$2:$G$12,O$1,FALSE)</f>
        <v>1200</v>
      </c>
      <c r="P999">
        <f>VLOOKUP($D999,'[2]product Table data'!$A$2:$G$12,P$1,FALSE)</f>
        <v>2000</v>
      </c>
      <c r="Q999">
        <f t="shared" si="75"/>
        <v>800</v>
      </c>
      <c r="R999" t="str">
        <f t="shared" si="76"/>
        <v>-</v>
      </c>
      <c r="S999" t="str">
        <f t="shared" si="77"/>
        <v>Style Risk</v>
      </c>
      <c r="T999" t="str">
        <f t="shared" si="78"/>
        <v>-</v>
      </c>
      <c r="U999" t="str">
        <f t="shared" si="79"/>
        <v>High Value</v>
      </c>
    </row>
    <row r="1000" spans="1:21" hidden="1" x14ac:dyDescent="0.2">
      <c r="A1000" s="2">
        <v>861</v>
      </c>
      <c r="B1000" s="2" t="s">
        <v>9</v>
      </c>
      <c r="C1000" s="2" t="s">
        <v>1425</v>
      </c>
      <c r="D1000" s="2" t="s">
        <v>968</v>
      </c>
      <c r="E1000" s="2">
        <v>33125</v>
      </c>
      <c r="F1000" s="2" t="s">
        <v>98</v>
      </c>
      <c r="G1000" s="2" t="s">
        <v>36</v>
      </c>
      <c r="H1000" s="2">
        <v>1</v>
      </c>
      <c r="I1000" s="2" t="s">
        <v>17</v>
      </c>
      <c r="J1000" s="2" t="str">
        <f>VLOOKUP(E1000,[1]LL_Hub!$A$1:$B$13,2,FALSE)</f>
        <v>Miami</v>
      </c>
      <c r="K1000" t="str">
        <f>VLOOKUP(D1000,'[2]product Table data'!$A$2:$B$12,2,FALSE)</f>
        <v>Female</v>
      </c>
      <c r="L1000" t="str">
        <f>VLOOKUP($D1000,'[2]product Table data'!$A$2:$G$12,L$1,FALSE)</f>
        <v>Fancy Sheek</v>
      </c>
      <c r="M1000" t="str">
        <f>VLOOKUP($D1000,'[2]product Table data'!$A$2:$G$12,M$1,FALSE)</f>
        <v>Azerbaijan</v>
      </c>
      <c r="N1000" t="str">
        <f>VLOOKUP($D1000,'[2]product Table data'!$A$2:$G$12,N$1,FALSE)</f>
        <v>Middle East</v>
      </c>
      <c r="O1000">
        <f>VLOOKUP($D1000,'[2]product Table data'!$A$2:$G$12,O$1,FALSE)</f>
        <v>1200</v>
      </c>
      <c r="P1000">
        <f>VLOOKUP($D1000,'[2]product Table data'!$A$2:$G$12,P$1,FALSE)</f>
        <v>2000</v>
      </c>
      <c r="Q1000">
        <f t="shared" si="75"/>
        <v>800</v>
      </c>
      <c r="R1000" t="str">
        <f t="shared" si="76"/>
        <v>-</v>
      </c>
      <c r="S1000" t="str">
        <f t="shared" si="77"/>
        <v>Style Risk</v>
      </c>
      <c r="T1000" t="str">
        <f t="shared" si="78"/>
        <v>-</v>
      </c>
      <c r="U1000" t="str">
        <f t="shared" si="79"/>
        <v>High Value</v>
      </c>
    </row>
    <row r="1001" spans="1:21" hidden="1" x14ac:dyDescent="0.2">
      <c r="A1001" s="2">
        <v>862</v>
      </c>
      <c r="B1001" s="2" t="s">
        <v>9</v>
      </c>
      <c r="C1001" s="2" t="s">
        <v>1426</v>
      </c>
      <c r="D1001" s="2" t="s">
        <v>968</v>
      </c>
      <c r="E1001" s="2">
        <v>33125</v>
      </c>
      <c r="F1001" s="2" t="s">
        <v>98</v>
      </c>
      <c r="G1001" s="2" t="s">
        <v>36</v>
      </c>
      <c r="H1001" s="2">
        <v>1</v>
      </c>
      <c r="I1001" s="2" t="s">
        <v>17</v>
      </c>
      <c r="J1001" s="2" t="str">
        <f>VLOOKUP(E1001,[1]LL_Hub!$A$1:$B$13,2,FALSE)</f>
        <v>Miami</v>
      </c>
      <c r="K1001" t="str">
        <f>VLOOKUP(D1001,'[2]product Table data'!$A$2:$B$12,2,FALSE)</f>
        <v>Female</v>
      </c>
      <c r="L1001" t="str">
        <f>VLOOKUP($D1001,'[2]product Table data'!$A$2:$G$12,L$1,FALSE)</f>
        <v>Fancy Sheek</v>
      </c>
      <c r="M1001" t="str">
        <f>VLOOKUP($D1001,'[2]product Table data'!$A$2:$G$12,M$1,FALSE)</f>
        <v>Azerbaijan</v>
      </c>
      <c r="N1001" t="str">
        <f>VLOOKUP($D1001,'[2]product Table data'!$A$2:$G$12,N$1,FALSE)</f>
        <v>Middle East</v>
      </c>
      <c r="O1001">
        <f>VLOOKUP($D1001,'[2]product Table data'!$A$2:$G$12,O$1,FALSE)</f>
        <v>1200</v>
      </c>
      <c r="P1001">
        <f>VLOOKUP($D1001,'[2]product Table data'!$A$2:$G$12,P$1,FALSE)</f>
        <v>2000</v>
      </c>
      <c r="Q1001">
        <f t="shared" si="75"/>
        <v>800</v>
      </c>
      <c r="R1001" t="str">
        <f t="shared" si="76"/>
        <v>-</v>
      </c>
      <c r="S1001" t="str">
        <f t="shared" si="77"/>
        <v>Style Risk</v>
      </c>
      <c r="T1001" t="str">
        <f t="shared" si="78"/>
        <v>-</v>
      </c>
      <c r="U1001" t="str">
        <f t="shared" si="79"/>
        <v>High Value</v>
      </c>
    </row>
    <row r="1002" spans="1:21" hidden="1" x14ac:dyDescent="0.2">
      <c r="A1002" s="2">
        <v>863</v>
      </c>
      <c r="B1002" s="2" t="s">
        <v>9</v>
      </c>
      <c r="C1002" s="2" t="s">
        <v>1427</v>
      </c>
      <c r="D1002" s="2" t="s">
        <v>604</v>
      </c>
      <c r="E1002" s="2">
        <v>33125</v>
      </c>
      <c r="F1002" s="2" t="s">
        <v>1428</v>
      </c>
      <c r="G1002" s="2" t="s">
        <v>13</v>
      </c>
      <c r="H1002" s="2">
        <v>1</v>
      </c>
      <c r="I1002" s="2" t="s">
        <v>17</v>
      </c>
      <c r="J1002" s="2" t="str">
        <f>VLOOKUP(E1002,[1]LL_Hub!$A$1:$B$13,2,FALSE)</f>
        <v>Miami</v>
      </c>
      <c r="K1002" t="str">
        <f>VLOOKUP(D1002,'[2]product Table data'!$A$2:$B$12,2,FALSE)</f>
        <v>Female</v>
      </c>
      <c r="L1002" t="str">
        <f>VLOOKUP($D1002,'[2]product Table data'!$A$2:$G$12,L$1,FALSE)</f>
        <v>Fancy Sheek</v>
      </c>
      <c r="M1002" t="str">
        <f>VLOOKUP($D1002,'[2]product Table data'!$A$2:$G$12,M$1,FALSE)</f>
        <v>Iran</v>
      </c>
      <c r="N1002" t="str">
        <f>VLOOKUP($D1002,'[2]product Table data'!$A$2:$G$12,N$1,FALSE)</f>
        <v>Middle East</v>
      </c>
      <c r="O1002">
        <f>VLOOKUP($D1002,'[2]product Table data'!$A$2:$G$12,O$1,FALSE)</f>
        <v>75</v>
      </c>
      <c r="P1002">
        <f>VLOOKUP($D1002,'[2]product Table data'!$A$2:$G$12,P$1,FALSE)</f>
        <v>125</v>
      </c>
      <c r="Q1002">
        <f t="shared" si="75"/>
        <v>50</v>
      </c>
      <c r="R1002" t="str">
        <f t="shared" si="76"/>
        <v>-</v>
      </c>
      <c r="S1002" t="str">
        <f t="shared" si="77"/>
        <v>Style Risk</v>
      </c>
      <c r="T1002" t="str">
        <f t="shared" si="78"/>
        <v>-</v>
      </c>
      <c r="U1002" t="str">
        <f t="shared" si="79"/>
        <v>High Value</v>
      </c>
    </row>
    <row r="1003" spans="1:21" hidden="1" x14ac:dyDescent="0.2">
      <c r="A1003" s="2">
        <v>864</v>
      </c>
      <c r="B1003" s="2" t="s">
        <v>9</v>
      </c>
      <c r="C1003" s="2" t="s">
        <v>1429</v>
      </c>
      <c r="D1003" s="2" t="s">
        <v>604</v>
      </c>
      <c r="E1003" s="2">
        <v>33125</v>
      </c>
      <c r="F1003" s="2" t="s">
        <v>1430</v>
      </c>
      <c r="G1003" s="2" t="s">
        <v>13</v>
      </c>
      <c r="H1003" s="2">
        <v>1</v>
      </c>
      <c r="I1003" s="2" t="s">
        <v>17</v>
      </c>
      <c r="J1003" s="2" t="str">
        <f>VLOOKUP(E1003,[1]LL_Hub!$A$1:$B$13,2,FALSE)</f>
        <v>Miami</v>
      </c>
      <c r="K1003" t="str">
        <f>VLOOKUP(D1003,'[2]product Table data'!$A$2:$B$12,2,FALSE)</f>
        <v>Female</v>
      </c>
      <c r="L1003" t="str">
        <f>VLOOKUP($D1003,'[2]product Table data'!$A$2:$G$12,L$1,FALSE)</f>
        <v>Fancy Sheek</v>
      </c>
      <c r="M1003" t="str">
        <f>VLOOKUP($D1003,'[2]product Table data'!$A$2:$G$12,M$1,FALSE)</f>
        <v>Iran</v>
      </c>
      <c r="N1003" t="str">
        <f>VLOOKUP($D1003,'[2]product Table data'!$A$2:$G$12,N$1,FALSE)</f>
        <v>Middle East</v>
      </c>
      <c r="O1003">
        <f>VLOOKUP($D1003,'[2]product Table data'!$A$2:$G$12,O$1,FALSE)</f>
        <v>75</v>
      </c>
      <c r="P1003">
        <f>VLOOKUP($D1003,'[2]product Table data'!$A$2:$G$12,P$1,FALSE)</f>
        <v>125</v>
      </c>
      <c r="Q1003">
        <f t="shared" si="75"/>
        <v>50</v>
      </c>
      <c r="R1003" t="str">
        <f t="shared" si="76"/>
        <v>-</v>
      </c>
      <c r="S1003" t="str">
        <f t="shared" si="77"/>
        <v>Style Risk</v>
      </c>
      <c r="T1003" t="str">
        <f t="shared" si="78"/>
        <v>-</v>
      </c>
      <c r="U1003" t="str">
        <f t="shared" si="79"/>
        <v>High Value</v>
      </c>
    </row>
    <row r="1004" spans="1:21" hidden="1" x14ac:dyDescent="0.2">
      <c r="A1004" s="2">
        <v>865</v>
      </c>
      <c r="B1004" s="2" t="s">
        <v>9</v>
      </c>
      <c r="C1004" s="2" t="s">
        <v>1431</v>
      </c>
      <c r="D1004" s="2" t="s">
        <v>604</v>
      </c>
      <c r="E1004" s="2">
        <v>33125</v>
      </c>
      <c r="F1004" s="2" t="s">
        <v>1432</v>
      </c>
      <c r="G1004" s="2" t="s">
        <v>13</v>
      </c>
      <c r="H1004" s="2">
        <v>1</v>
      </c>
      <c r="I1004" s="2" t="s">
        <v>17</v>
      </c>
      <c r="J1004" s="2" t="str">
        <f>VLOOKUP(E1004,[1]LL_Hub!$A$1:$B$13,2,FALSE)</f>
        <v>Miami</v>
      </c>
      <c r="K1004" t="str">
        <f>VLOOKUP(D1004,'[2]product Table data'!$A$2:$B$12,2,FALSE)</f>
        <v>Female</v>
      </c>
      <c r="L1004" t="str">
        <f>VLOOKUP($D1004,'[2]product Table data'!$A$2:$G$12,L$1,FALSE)</f>
        <v>Fancy Sheek</v>
      </c>
      <c r="M1004" t="str">
        <f>VLOOKUP($D1004,'[2]product Table data'!$A$2:$G$12,M$1,FALSE)</f>
        <v>Iran</v>
      </c>
      <c r="N1004" t="str">
        <f>VLOOKUP($D1004,'[2]product Table data'!$A$2:$G$12,N$1,FALSE)</f>
        <v>Middle East</v>
      </c>
      <c r="O1004">
        <f>VLOOKUP($D1004,'[2]product Table data'!$A$2:$G$12,O$1,FALSE)</f>
        <v>75</v>
      </c>
      <c r="P1004">
        <f>VLOOKUP($D1004,'[2]product Table data'!$A$2:$G$12,P$1,FALSE)</f>
        <v>125</v>
      </c>
      <c r="Q1004">
        <f t="shared" si="75"/>
        <v>50</v>
      </c>
      <c r="R1004" t="str">
        <f t="shared" si="76"/>
        <v>-</v>
      </c>
      <c r="S1004" t="str">
        <f t="shared" si="77"/>
        <v>Style Risk</v>
      </c>
      <c r="T1004" t="str">
        <f t="shared" si="78"/>
        <v>-</v>
      </c>
      <c r="U1004" t="str">
        <f t="shared" si="79"/>
        <v>High Value</v>
      </c>
    </row>
    <row r="1005" spans="1:21" hidden="1" x14ac:dyDescent="0.2">
      <c r="A1005" s="2">
        <v>866</v>
      </c>
      <c r="B1005" s="2" t="s">
        <v>9</v>
      </c>
      <c r="C1005" s="2" t="s">
        <v>1433</v>
      </c>
      <c r="D1005" s="2" t="s">
        <v>604</v>
      </c>
      <c r="E1005" s="2">
        <v>33125</v>
      </c>
      <c r="F1005" s="2" t="s">
        <v>1434</v>
      </c>
      <c r="G1005" s="2" t="s">
        <v>13</v>
      </c>
      <c r="H1005" s="2">
        <v>1</v>
      </c>
      <c r="I1005" s="2" t="s">
        <v>17</v>
      </c>
      <c r="J1005" s="2" t="str">
        <f>VLOOKUP(E1005,[1]LL_Hub!$A$1:$B$13,2,FALSE)</f>
        <v>Miami</v>
      </c>
      <c r="K1005" t="str">
        <f>VLOOKUP(D1005,'[2]product Table data'!$A$2:$B$12,2,FALSE)</f>
        <v>Female</v>
      </c>
      <c r="L1005" t="str">
        <f>VLOOKUP($D1005,'[2]product Table data'!$A$2:$G$12,L$1,FALSE)</f>
        <v>Fancy Sheek</v>
      </c>
      <c r="M1005" t="str">
        <f>VLOOKUP($D1005,'[2]product Table data'!$A$2:$G$12,M$1,FALSE)</f>
        <v>Iran</v>
      </c>
      <c r="N1005" t="str">
        <f>VLOOKUP($D1005,'[2]product Table data'!$A$2:$G$12,N$1,FALSE)</f>
        <v>Middle East</v>
      </c>
      <c r="O1005">
        <f>VLOOKUP($D1005,'[2]product Table data'!$A$2:$G$12,O$1,FALSE)</f>
        <v>75</v>
      </c>
      <c r="P1005">
        <f>VLOOKUP($D1005,'[2]product Table data'!$A$2:$G$12,P$1,FALSE)</f>
        <v>125</v>
      </c>
      <c r="Q1005">
        <f t="shared" si="75"/>
        <v>50</v>
      </c>
      <c r="R1005" t="str">
        <f t="shared" si="76"/>
        <v>-</v>
      </c>
      <c r="S1005" t="str">
        <f t="shared" si="77"/>
        <v>Style Risk</v>
      </c>
      <c r="T1005" t="str">
        <f t="shared" si="78"/>
        <v>-</v>
      </c>
      <c r="U1005" t="str">
        <f t="shared" si="79"/>
        <v>High Value</v>
      </c>
    </row>
    <row r="1006" spans="1:21" hidden="1" x14ac:dyDescent="0.2">
      <c r="A1006" s="2">
        <v>867</v>
      </c>
      <c r="B1006" s="2" t="s">
        <v>9</v>
      </c>
      <c r="C1006" s="2" t="s">
        <v>1435</v>
      </c>
      <c r="D1006" s="2" t="s">
        <v>604</v>
      </c>
      <c r="E1006" s="2">
        <v>33125</v>
      </c>
      <c r="F1006" s="2" t="s">
        <v>1362</v>
      </c>
      <c r="G1006" s="2" t="s">
        <v>36</v>
      </c>
      <c r="H1006" s="2">
        <v>1</v>
      </c>
      <c r="I1006" s="2" t="s">
        <v>17</v>
      </c>
      <c r="J1006" s="2" t="str">
        <f>VLOOKUP(E1006,[1]LL_Hub!$A$1:$B$13,2,FALSE)</f>
        <v>Miami</v>
      </c>
      <c r="K1006" t="str">
        <f>VLOOKUP(D1006,'[2]product Table data'!$A$2:$B$12,2,FALSE)</f>
        <v>Female</v>
      </c>
      <c r="L1006" t="str">
        <f>VLOOKUP($D1006,'[2]product Table data'!$A$2:$G$12,L$1,FALSE)</f>
        <v>Fancy Sheek</v>
      </c>
      <c r="M1006" t="str">
        <f>VLOOKUP($D1006,'[2]product Table data'!$A$2:$G$12,M$1,FALSE)</f>
        <v>Iran</v>
      </c>
      <c r="N1006" t="str">
        <f>VLOOKUP($D1006,'[2]product Table data'!$A$2:$G$12,N$1,FALSE)</f>
        <v>Middle East</v>
      </c>
      <c r="O1006">
        <f>VLOOKUP($D1006,'[2]product Table data'!$A$2:$G$12,O$1,FALSE)</f>
        <v>75</v>
      </c>
      <c r="P1006">
        <f>VLOOKUP($D1006,'[2]product Table data'!$A$2:$G$12,P$1,FALSE)</f>
        <v>125</v>
      </c>
      <c r="Q1006">
        <f t="shared" si="75"/>
        <v>50</v>
      </c>
      <c r="R1006" t="str">
        <f t="shared" si="76"/>
        <v>-</v>
      </c>
      <c r="S1006" t="str">
        <f t="shared" si="77"/>
        <v>Style Risk</v>
      </c>
      <c r="T1006" t="str">
        <f t="shared" si="78"/>
        <v>-</v>
      </c>
      <c r="U1006" t="str">
        <f t="shared" si="79"/>
        <v>High Value</v>
      </c>
    </row>
    <row r="1007" spans="1:21" hidden="1" x14ac:dyDescent="0.2">
      <c r="A1007" s="2">
        <v>868</v>
      </c>
      <c r="B1007" s="2" t="s">
        <v>9</v>
      </c>
      <c r="C1007" s="2" t="s">
        <v>1436</v>
      </c>
      <c r="D1007" s="2" t="s">
        <v>604</v>
      </c>
      <c r="E1007" s="2">
        <v>33125</v>
      </c>
      <c r="F1007" s="2" t="s">
        <v>1362</v>
      </c>
      <c r="G1007" s="2" t="s">
        <v>36</v>
      </c>
      <c r="H1007" s="2">
        <v>1</v>
      </c>
      <c r="I1007" s="2" t="s">
        <v>17</v>
      </c>
      <c r="J1007" s="2" t="str">
        <f>VLOOKUP(E1007,[1]LL_Hub!$A$1:$B$13,2,FALSE)</f>
        <v>Miami</v>
      </c>
      <c r="K1007" t="str">
        <f>VLOOKUP(D1007,'[2]product Table data'!$A$2:$B$12,2,FALSE)</f>
        <v>Female</v>
      </c>
      <c r="L1007" t="str">
        <f>VLOOKUP($D1007,'[2]product Table data'!$A$2:$G$12,L$1,FALSE)</f>
        <v>Fancy Sheek</v>
      </c>
      <c r="M1007" t="str">
        <f>VLOOKUP($D1007,'[2]product Table data'!$A$2:$G$12,M$1,FALSE)</f>
        <v>Iran</v>
      </c>
      <c r="N1007" t="str">
        <f>VLOOKUP($D1007,'[2]product Table data'!$A$2:$G$12,N$1,FALSE)</f>
        <v>Middle East</v>
      </c>
      <c r="O1007">
        <f>VLOOKUP($D1007,'[2]product Table data'!$A$2:$G$12,O$1,FALSE)</f>
        <v>75</v>
      </c>
      <c r="P1007">
        <f>VLOOKUP($D1007,'[2]product Table data'!$A$2:$G$12,P$1,FALSE)</f>
        <v>125</v>
      </c>
      <c r="Q1007">
        <f t="shared" si="75"/>
        <v>50</v>
      </c>
      <c r="R1007" t="str">
        <f t="shared" si="76"/>
        <v>-</v>
      </c>
      <c r="S1007" t="str">
        <f t="shared" si="77"/>
        <v>Style Risk</v>
      </c>
      <c r="T1007" t="str">
        <f t="shared" si="78"/>
        <v>-</v>
      </c>
      <c r="U1007" t="str">
        <f t="shared" si="79"/>
        <v>High Value</v>
      </c>
    </row>
    <row r="1008" spans="1:21" hidden="1" x14ac:dyDescent="0.2">
      <c r="A1008" s="2">
        <v>869</v>
      </c>
      <c r="B1008" s="2" t="s">
        <v>9</v>
      </c>
      <c r="C1008" s="2" t="s">
        <v>1437</v>
      </c>
      <c r="D1008" s="2" t="s">
        <v>604</v>
      </c>
      <c r="E1008" s="2">
        <v>33125</v>
      </c>
      <c r="F1008" s="2" t="s">
        <v>1362</v>
      </c>
      <c r="G1008" s="2" t="s">
        <v>36</v>
      </c>
      <c r="H1008" s="2">
        <v>1</v>
      </c>
      <c r="I1008" s="2" t="s">
        <v>17</v>
      </c>
      <c r="J1008" s="2" t="str">
        <f>VLOOKUP(E1008,[1]LL_Hub!$A$1:$B$13,2,FALSE)</f>
        <v>Miami</v>
      </c>
      <c r="K1008" t="str">
        <f>VLOOKUP(D1008,'[2]product Table data'!$A$2:$B$12,2,FALSE)</f>
        <v>Female</v>
      </c>
      <c r="L1008" t="str">
        <f>VLOOKUP($D1008,'[2]product Table data'!$A$2:$G$12,L$1,FALSE)</f>
        <v>Fancy Sheek</v>
      </c>
      <c r="M1008" t="str">
        <f>VLOOKUP($D1008,'[2]product Table data'!$A$2:$G$12,M$1,FALSE)</f>
        <v>Iran</v>
      </c>
      <c r="N1008" t="str">
        <f>VLOOKUP($D1008,'[2]product Table data'!$A$2:$G$12,N$1,FALSE)</f>
        <v>Middle East</v>
      </c>
      <c r="O1008">
        <f>VLOOKUP($D1008,'[2]product Table data'!$A$2:$G$12,O$1,FALSE)</f>
        <v>75</v>
      </c>
      <c r="P1008">
        <f>VLOOKUP($D1008,'[2]product Table data'!$A$2:$G$12,P$1,FALSE)</f>
        <v>125</v>
      </c>
      <c r="Q1008">
        <f t="shared" si="75"/>
        <v>50</v>
      </c>
      <c r="R1008" t="str">
        <f t="shared" si="76"/>
        <v>-</v>
      </c>
      <c r="S1008" t="str">
        <f t="shared" si="77"/>
        <v>Style Risk</v>
      </c>
      <c r="T1008" t="str">
        <f t="shared" si="78"/>
        <v>-</v>
      </c>
      <c r="U1008" t="str">
        <f t="shared" si="79"/>
        <v>High Value</v>
      </c>
    </row>
    <row r="1009" spans="1:21" hidden="1" x14ac:dyDescent="0.2">
      <c r="A1009" s="2">
        <v>870</v>
      </c>
      <c r="B1009" s="2" t="s">
        <v>9</v>
      </c>
      <c r="C1009" s="2" t="s">
        <v>1438</v>
      </c>
      <c r="D1009" s="2" t="s">
        <v>604</v>
      </c>
      <c r="E1009" s="2">
        <v>33125</v>
      </c>
      <c r="F1009" s="2" t="s">
        <v>1362</v>
      </c>
      <c r="G1009" s="2" t="s">
        <v>36</v>
      </c>
      <c r="H1009" s="2">
        <v>1</v>
      </c>
      <c r="I1009" s="2" t="s">
        <v>17</v>
      </c>
      <c r="J1009" s="2" t="str">
        <f>VLOOKUP(E1009,[1]LL_Hub!$A$1:$B$13,2,FALSE)</f>
        <v>Miami</v>
      </c>
      <c r="K1009" t="str">
        <f>VLOOKUP(D1009,'[2]product Table data'!$A$2:$B$12,2,FALSE)</f>
        <v>Female</v>
      </c>
      <c r="L1009" t="str">
        <f>VLOOKUP($D1009,'[2]product Table data'!$A$2:$G$12,L$1,FALSE)</f>
        <v>Fancy Sheek</v>
      </c>
      <c r="M1009" t="str">
        <f>VLOOKUP($D1009,'[2]product Table data'!$A$2:$G$12,M$1,FALSE)</f>
        <v>Iran</v>
      </c>
      <c r="N1009" t="str">
        <f>VLOOKUP($D1009,'[2]product Table data'!$A$2:$G$12,N$1,FALSE)</f>
        <v>Middle East</v>
      </c>
      <c r="O1009">
        <f>VLOOKUP($D1009,'[2]product Table data'!$A$2:$G$12,O$1,FALSE)</f>
        <v>75</v>
      </c>
      <c r="P1009">
        <f>VLOOKUP($D1009,'[2]product Table data'!$A$2:$G$12,P$1,FALSE)</f>
        <v>125</v>
      </c>
      <c r="Q1009">
        <f t="shared" si="75"/>
        <v>50</v>
      </c>
      <c r="R1009" t="str">
        <f t="shared" si="76"/>
        <v>-</v>
      </c>
      <c r="S1009" t="str">
        <f t="shared" si="77"/>
        <v>Style Risk</v>
      </c>
      <c r="T1009" t="str">
        <f t="shared" si="78"/>
        <v>-</v>
      </c>
      <c r="U1009" t="str">
        <f t="shared" si="79"/>
        <v>High Value</v>
      </c>
    </row>
    <row r="1010" spans="1:21" hidden="1" x14ac:dyDescent="0.2">
      <c r="A1010" s="2">
        <v>871</v>
      </c>
      <c r="B1010" s="2" t="s">
        <v>9</v>
      </c>
      <c r="C1010" s="2" t="s">
        <v>1439</v>
      </c>
      <c r="D1010" s="2" t="s">
        <v>604</v>
      </c>
      <c r="E1010" s="2">
        <v>33125</v>
      </c>
      <c r="F1010" s="2" t="s">
        <v>1440</v>
      </c>
      <c r="G1010" s="2" t="s">
        <v>13</v>
      </c>
      <c r="H1010" s="2">
        <v>1</v>
      </c>
      <c r="I1010" s="2" t="s">
        <v>17</v>
      </c>
      <c r="J1010" s="2" t="str">
        <f>VLOOKUP(E1010,[1]LL_Hub!$A$1:$B$13,2,FALSE)</f>
        <v>Miami</v>
      </c>
      <c r="K1010" t="str">
        <f>VLOOKUP(D1010,'[2]product Table data'!$A$2:$B$12,2,FALSE)</f>
        <v>Female</v>
      </c>
      <c r="L1010" t="str">
        <f>VLOOKUP($D1010,'[2]product Table data'!$A$2:$G$12,L$1,FALSE)</f>
        <v>Fancy Sheek</v>
      </c>
      <c r="M1010" t="str">
        <f>VLOOKUP($D1010,'[2]product Table data'!$A$2:$G$12,M$1,FALSE)</f>
        <v>Iran</v>
      </c>
      <c r="N1010" t="str">
        <f>VLOOKUP($D1010,'[2]product Table data'!$A$2:$G$12,N$1,FALSE)</f>
        <v>Middle East</v>
      </c>
      <c r="O1010">
        <f>VLOOKUP($D1010,'[2]product Table data'!$A$2:$G$12,O$1,FALSE)</f>
        <v>75</v>
      </c>
      <c r="P1010">
        <f>VLOOKUP($D1010,'[2]product Table data'!$A$2:$G$12,P$1,FALSE)</f>
        <v>125</v>
      </c>
      <c r="Q1010">
        <f t="shared" si="75"/>
        <v>50</v>
      </c>
      <c r="R1010" t="str">
        <f t="shared" si="76"/>
        <v>-</v>
      </c>
      <c r="S1010" t="str">
        <f t="shared" si="77"/>
        <v>Style Risk</v>
      </c>
      <c r="T1010" t="str">
        <f t="shared" si="78"/>
        <v>-</v>
      </c>
      <c r="U1010" t="str">
        <f t="shared" si="79"/>
        <v>High Value</v>
      </c>
    </row>
    <row r="1011" spans="1:21" hidden="1" x14ac:dyDescent="0.2">
      <c r="A1011" s="2">
        <v>872</v>
      </c>
      <c r="B1011" s="2" t="s">
        <v>9</v>
      </c>
      <c r="C1011" s="2" t="s">
        <v>1441</v>
      </c>
      <c r="D1011" s="2" t="s">
        <v>604</v>
      </c>
      <c r="E1011" s="2">
        <v>33125</v>
      </c>
      <c r="F1011" s="2" t="s">
        <v>1442</v>
      </c>
      <c r="G1011" s="2" t="s">
        <v>13</v>
      </c>
      <c r="H1011" s="2">
        <v>1</v>
      </c>
      <c r="I1011" s="2" t="s">
        <v>17</v>
      </c>
      <c r="J1011" s="2" t="str">
        <f>VLOOKUP(E1011,[1]LL_Hub!$A$1:$B$13,2,FALSE)</f>
        <v>Miami</v>
      </c>
      <c r="K1011" t="str">
        <f>VLOOKUP(D1011,'[2]product Table data'!$A$2:$B$12,2,FALSE)</f>
        <v>Female</v>
      </c>
      <c r="L1011" t="str">
        <f>VLOOKUP($D1011,'[2]product Table data'!$A$2:$G$12,L$1,FALSE)</f>
        <v>Fancy Sheek</v>
      </c>
      <c r="M1011" t="str">
        <f>VLOOKUP($D1011,'[2]product Table data'!$A$2:$G$12,M$1,FALSE)</f>
        <v>Iran</v>
      </c>
      <c r="N1011" t="str">
        <f>VLOOKUP($D1011,'[2]product Table data'!$A$2:$G$12,N$1,FALSE)</f>
        <v>Middle East</v>
      </c>
      <c r="O1011">
        <f>VLOOKUP($D1011,'[2]product Table data'!$A$2:$G$12,O$1,FALSE)</f>
        <v>75</v>
      </c>
      <c r="P1011">
        <f>VLOOKUP($D1011,'[2]product Table data'!$A$2:$G$12,P$1,FALSE)</f>
        <v>125</v>
      </c>
      <c r="Q1011">
        <f t="shared" si="75"/>
        <v>50</v>
      </c>
      <c r="R1011" t="str">
        <f t="shared" si="76"/>
        <v>-</v>
      </c>
      <c r="S1011" t="str">
        <f t="shared" si="77"/>
        <v>Style Risk</v>
      </c>
      <c r="T1011" t="str">
        <f t="shared" si="78"/>
        <v>-</v>
      </c>
      <c r="U1011" t="str">
        <f t="shared" si="79"/>
        <v>High Value</v>
      </c>
    </row>
    <row r="1012" spans="1:21" hidden="1" x14ac:dyDescent="0.2">
      <c r="A1012" s="2">
        <v>873</v>
      </c>
      <c r="B1012" s="2" t="s">
        <v>9</v>
      </c>
      <c r="C1012" s="2" t="s">
        <v>1443</v>
      </c>
      <c r="D1012" s="2" t="s">
        <v>604</v>
      </c>
      <c r="E1012" s="2">
        <v>33125</v>
      </c>
      <c r="F1012" s="2" t="s">
        <v>1444</v>
      </c>
      <c r="G1012" s="2" t="s">
        <v>13</v>
      </c>
      <c r="H1012" s="2">
        <v>1</v>
      </c>
      <c r="I1012" s="2" t="s">
        <v>17</v>
      </c>
      <c r="J1012" s="2" t="str">
        <f>VLOOKUP(E1012,[1]LL_Hub!$A$1:$B$13,2,FALSE)</f>
        <v>Miami</v>
      </c>
      <c r="K1012" t="str">
        <f>VLOOKUP(D1012,'[2]product Table data'!$A$2:$B$12,2,FALSE)</f>
        <v>Female</v>
      </c>
      <c r="L1012" t="str">
        <f>VLOOKUP($D1012,'[2]product Table data'!$A$2:$G$12,L$1,FALSE)</f>
        <v>Fancy Sheek</v>
      </c>
      <c r="M1012" t="str">
        <f>VLOOKUP($D1012,'[2]product Table data'!$A$2:$G$12,M$1,FALSE)</f>
        <v>Iran</v>
      </c>
      <c r="N1012" t="str">
        <f>VLOOKUP($D1012,'[2]product Table data'!$A$2:$G$12,N$1,FALSE)</f>
        <v>Middle East</v>
      </c>
      <c r="O1012">
        <f>VLOOKUP($D1012,'[2]product Table data'!$A$2:$G$12,O$1,FALSE)</f>
        <v>75</v>
      </c>
      <c r="P1012">
        <f>VLOOKUP($D1012,'[2]product Table data'!$A$2:$G$12,P$1,FALSE)</f>
        <v>125</v>
      </c>
      <c r="Q1012">
        <f t="shared" si="75"/>
        <v>50</v>
      </c>
      <c r="R1012" t="str">
        <f t="shared" si="76"/>
        <v>-</v>
      </c>
      <c r="S1012" t="str">
        <f t="shared" si="77"/>
        <v>Style Risk</v>
      </c>
      <c r="T1012" t="str">
        <f t="shared" si="78"/>
        <v>-</v>
      </c>
      <c r="U1012" t="str">
        <f t="shared" si="79"/>
        <v>High Value</v>
      </c>
    </row>
    <row r="1013" spans="1:21" hidden="1" x14ac:dyDescent="0.2">
      <c r="A1013" s="2">
        <v>874</v>
      </c>
      <c r="B1013" s="2" t="s">
        <v>9</v>
      </c>
      <c r="C1013" s="2" t="s">
        <v>1445</v>
      </c>
      <c r="D1013" s="2" t="s">
        <v>604</v>
      </c>
      <c r="E1013" s="2">
        <v>33125</v>
      </c>
      <c r="F1013" s="2" t="s">
        <v>1446</v>
      </c>
      <c r="G1013" s="2" t="s">
        <v>13</v>
      </c>
      <c r="H1013" s="2">
        <v>1</v>
      </c>
      <c r="I1013" s="2" t="s">
        <v>17</v>
      </c>
      <c r="J1013" s="2" t="str">
        <f>VLOOKUP(E1013,[1]LL_Hub!$A$1:$B$13,2,FALSE)</f>
        <v>Miami</v>
      </c>
      <c r="K1013" t="str">
        <f>VLOOKUP(D1013,'[2]product Table data'!$A$2:$B$12,2,FALSE)</f>
        <v>Female</v>
      </c>
      <c r="L1013" t="str">
        <f>VLOOKUP($D1013,'[2]product Table data'!$A$2:$G$12,L$1,FALSE)</f>
        <v>Fancy Sheek</v>
      </c>
      <c r="M1013" t="str">
        <f>VLOOKUP($D1013,'[2]product Table data'!$A$2:$G$12,M$1,FALSE)</f>
        <v>Iran</v>
      </c>
      <c r="N1013" t="str">
        <f>VLOOKUP($D1013,'[2]product Table data'!$A$2:$G$12,N$1,FALSE)</f>
        <v>Middle East</v>
      </c>
      <c r="O1013">
        <f>VLOOKUP($D1013,'[2]product Table data'!$A$2:$G$12,O$1,FALSE)</f>
        <v>75</v>
      </c>
      <c r="P1013">
        <f>VLOOKUP($D1013,'[2]product Table data'!$A$2:$G$12,P$1,FALSE)</f>
        <v>125</v>
      </c>
      <c r="Q1013">
        <f t="shared" si="75"/>
        <v>50</v>
      </c>
      <c r="R1013" t="str">
        <f t="shared" si="76"/>
        <v>-</v>
      </c>
      <c r="S1013" t="str">
        <f t="shared" si="77"/>
        <v>Style Risk</v>
      </c>
      <c r="T1013" t="str">
        <f t="shared" si="78"/>
        <v>-</v>
      </c>
      <c r="U1013" t="str">
        <f t="shared" si="79"/>
        <v>High Value</v>
      </c>
    </row>
    <row r="1014" spans="1:21" hidden="1" x14ac:dyDescent="0.2">
      <c r="A1014" s="2">
        <v>875</v>
      </c>
      <c r="B1014" s="2" t="s">
        <v>9</v>
      </c>
      <c r="C1014" s="2" t="s">
        <v>1447</v>
      </c>
      <c r="D1014" s="2" t="s">
        <v>604</v>
      </c>
      <c r="E1014" s="2">
        <v>33125</v>
      </c>
      <c r="F1014" s="2" t="s">
        <v>1448</v>
      </c>
      <c r="G1014" s="2" t="s">
        <v>13</v>
      </c>
      <c r="H1014" s="2">
        <v>1</v>
      </c>
      <c r="I1014" s="2" t="s">
        <v>17</v>
      </c>
      <c r="J1014" s="2" t="str">
        <f>VLOOKUP(E1014,[1]LL_Hub!$A$1:$B$13,2,FALSE)</f>
        <v>Miami</v>
      </c>
      <c r="K1014" t="str">
        <f>VLOOKUP(D1014,'[2]product Table data'!$A$2:$B$12,2,FALSE)</f>
        <v>Female</v>
      </c>
      <c r="L1014" t="str">
        <f>VLOOKUP($D1014,'[2]product Table data'!$A$2:$G$12,L$1,FALSE)</f>
        <v>Fancy Sheek</v>
      </c>
      <c r="M1014" t="str">
        <f>VLOOKUP($D1014,'[2]product Table data'!$A$2:$G$12,M$1,FALSE)</f>
        <v>Iran</v>
      </c>
      <c r="N1014" t="str">
        <f>VLOOKUP($D1014,'[2]product Table data'!$A$2:$G$12,N$1,FALSE)</f>
        <v>Middle East</v>
      </c>
      <c r="O1014">
        <f>VLOOKUP($D1014,'[2]product Table data'!$A$2:$G$12,O$1,FALSE)</f>
        <v>75</v>
      </c>
      <c r="P1014">
        <f>VLOOKUP($D1014,'[2]product Table data'!$A$2:$G$12,P$1,FALSE)</f>
        <v>125</v>
      </c>
      <c r="Q1014">
        <f t="shared" si="75"/>
        <v>50</v>
      </c>
      <c r="R1014" t="str">
        <f t="shared" si="76"/>
        <v>-</v>
      </c>
      <c r="S1014" t="str">
        <f t="shared" si="77"/>
        <v>Style Risk</v>
      </c>
      <c r="T1014" t="str">
        <f t="shared" si="78"/>
        <v>-</v>
      </c>
      <c r="U1014" t="str">
        <f t="shared" si="79"/>
        <v>High Value</v>
      </c>
    </row>
    <row r="1015" spans="1:21" hidden="1" x14ac:dyDescent="0.2">
      <c r="A1015" s="2">
        <v>876</v>
      </c>
      <c r="B1015" s="2" t="s">
        <v>9</v>
      </c>
      <c r="C1015" s="2" t="s">
        <v>1449</v>
      </c>
      <c r="D1015" s="2" t="s">
        <v>604</v>
      </c>
      <c r="E1015" s="2">
        <v>33125</v>
      </c>
      <c r="F1015" s="2" t="s">
        <v>98</v>
      </c>
      <c r="G1015" s="2" t="s">
        <v>36</v>
      </c>
      <c r="H1015" s="2">
        <v>1</v>
      </c>
      <c r="I1015" s="2" t="s">
        <v>17</v>
      </c>
      <c r="J1015" s="2" t="str">
        <f>VLOOKUP(E1015,[1]LL_Hub!$A$1:$B$13,2,FALSE)</f>
        <v>Miami</v>
      </c>
      <c r="K1015" t="str">
        <f>VLOOKUP(D1015,'[2]product Table data'!$A$2:$B$12,2,FALSE)</f>
        <v>Female</v>
      </c>
      <c r="L1015" t="str">
        <f>VLOOKUP($D1015,'[2]product Table data'!$A$2:$G$12,L$1,FALSE)</f>
        <v>Fancy Sheek</v>
      </c>
      <c r="M1015" t="str">
        <f>VLOOKUP($D1015,'[2]product Table data'!$A$2:$G$12,M$1,FALSE)</f>
        <v>Iran</v>
      </c>
      <c r="N1015" t="str">
        <f>VLOOKUP($D1015,'[2]product Table data'!$A$2:$G$12,N$1,FALSE)</f>
        <v>Middle East</v>
      </c>
      <c r="O1015">
        <f>VLOOKUP($D1015,'[2]product Table data'!$A$2:$G$12,O$1,FALSE)</f>
        <v>75</v>
      </c>
      <c r="P1015">
        <f>VLOOKUP($D1015,'[2]product Table data'!$A$2:$G$12,P$1,FALSE)</f>
        <v>125</v>
      </c>
      <c r="Q1015">
        <f t="shared" si="75"/>
        <v>50</v>
      </c>
      <c r="R1015" t="str">
        <f t="shared" si="76"/>
        <v>-</v>
      </c>
      <c r="S1015" t="str">
        <f t="shared" si="77"/>
        <v>Style Risk</v>
      </c>
      <c r="T1015" t="str">
        <f t="shared" si="78"/>
        <v>-</v>
      </c>
      <c r="U1015" t="str">
        <f t="shared" si="79"/>
        <v>High Value</v>
      </c>
    </row>
    <row r="1016" spans="1:21" hidden="1" x14ac:dyDescent="0.2">
      <c r="A1016" s="2">
        <v>877</v>
      </c>
      <c r="B1016" s="2" t="s">
        <v>9</v>
      </c>
      <c r="C1016" s="2" t="s">
        <v>1450</v>
      </c>
      <c r="D1016" s="2" t="s">
        <v>604</v>
      </c>
      <c r="E1016" s="2">
        <v>33125</v>
      </c>
      <c r="F1016" s="2" t="s">
        <v>98</v>
      </c>
      <c r="G1016" s="2" t="s">
        <v>36</v>
      </c>
      <c r="H1016" s="2">
        <v>1</v>
      </c>
      <c r="I1016" s="2" t="s">
        <v>17</v>
      </c>
      <c r="J1016" s="2" t="str">
        <f>VLOOKUP(E1016,[1]LL_Hub!$A$1:$B$13,2,FALSE)</f>
        <v>Miami</v>
      </c>
      <c r="K1016" t="str">
        <f>VLOOKUP(D1016,'[2]product Table data'!$A$2:$B$12,2,FALSE)</f>
        <v>Female</v>
      </c>
      <c r="L1016" t="str">
        <f>VLOOKUP($D1016,'[2]product Table data'!$A$2:$G$12,L$1,FALSE)</f>
        <v>Fancy Sheek</v>
      </c>
      <c r="M1016" t="str">
        <f>VLOOKUP($D1016,'[2]product Table data'!$A$2:$G$12,M$1,FALSE)</f>
        <v>Iran</v>
      </c>
      <c r="N1016" t="str">
        <f>VLOOKUP($D1016,'[2]product Table data'!$A$2:$G$12,N$1,FALSE)</f>
        <v>Middle East</v>
      </c>
      <c r="O1016">
        <f>VLOOKUP($D1016,'[2]product Table data'!$A$2:$G$12,O$1,FALSE)</f>
        <v>75</v>
      </c>
      <c r="P1016">
        <f>VLOOKUP($D1016,'[2]product Table data'!$A$2:$G$12,P$1,FALSE)</f>
        <v>125</v>
      </c>
      <c r="Q1016">
        <f t="shared" si="75"/>
        <v>50</v>
      </c>
      <c r="R1016" t="str">
        <f t="shared" si="76"/>
        <v>-</v>
      </c>
      <c r="S1016" t="str">
        <f t="shared" si="77"/>
        <v>Style Risk</v>
      </c>
      <c r="T1016" t="str">
        <f t="shared" si="78"/>
        <v>-</v>
      </c>
      <c r="U1016" t="str">
        <f t="shared" si="79"/>
        <v>High Value</v>
      </c>
    </row>
    <row r="1017" spans="1:21" hidden="1" x14ac:dyDescent="0.2">
      <c r="A1017" s="2">
        <v>878</v>
      </c>
      <c r="B1017" s="2" t="s">
        <v>9</v>
      </c>
      <c r="C1017" s="2" t="s">
        <v>1451</v>
      </c>
      <c r="D1017" s="2" t="s">
        <v>968</v>
      </c>
      <c r="E1017" s="2">
        <v>33125</v>
      </c>
      <c r="F1017" s="2" t="s">
        <v>98</v>
      </c>
      <c r="G1017" s="2" t="s">
        <v>36</v>
      </c>
      <c r="H1017" s="2">
        <v>1</v>
      </c>
      <c r="I1017" s="2" t="s">
        <v>17</v>
      </c>
      <c r="J1017" s="2" t="str">
        <f>VLOOKUP(E1017,[1]LL_Hub!$A$1:$B$13,2,FALSE)</f>
        <v>Miami</v>
      </c>
      <c r="K1017" t="str">
        <f>VLOOKUP(D1017,'[2]product Table data'!$A$2:$B$12,2,FALSE)</f>
        <v>Female</v>
      </c>
      <c r="L1017" t="str">
        <f>VLOOKUP($D1017,'[2]product Table data'!$A$2:$G$12,L$1,FALSE)</f>
        <v>Fancy Sheek</v>
      </c>
      <c r="M1017" t="str">
        <f>VLOOKUP($D1017,'[2]product Table data'!$A$2:$G$12,M$1,FALSE)</f>
        <v>Azerbaijan</v>
      </c>
      <c r="N1017" t="str">
        <f>VLOOKUP($D1017,'[2]product Table data'!$A$2:$G$12,N$1,FALSE)</f>
        <v>Middle East</v>
      </c>
      <c r="O1017">
        <f>VLOOKUP($D1017,'[2]product Table data'!$A$2:$G$12,O$1,FALSE)</f>
        <v>1200</v>
      </c>
      <c r="P1017">
        <f>VLOOKUP($D1017,'[2]product Table data'!$A$2:$G$12,P$1,FALSE)</f>
        <v>2000</v>
      </c>
      <c r="Q1017">
        <f t="shared" si="75"/>
        <v>800</v>
      </c>
      <c r="R1017" t="str">
        <f t="shared" si="76"/>
        <v>-</v>
      </c>
      <c r="S1017" t="str">
        <f t="shared" si="77"/>
        <v>Style Risk</v>
      </c>
      <c r="T1017" t="str">
        <f t="shared" si="78"/>
        <v>-</v>
      </c>
      <c r="U1017" t="str">
        <f t="shared" si="79"/>
        <v>High Value</v>
      </c>
    </row>
    <row r="1018" spans="1:21" hidden="1" x14ac:dyDescent="0.2">
      <c r="A1018" s="2">
        <v>879</v>
      </c>
      <c r="B1018" s="2" t="s">
        <v>9</v>
      </c>
      <c r="C1018" s="2" t="s">
        <v>1452</v>
      </c>
      <c r="D1018" s="2" t="s">
        <v>968</v>
      </c>
      <c r="E1018" s="2">
        <v>33125</v>
      </c>
      <c r="F1018" s="2" t="s">
        <v>98</v>
      </c>
      <c r="G1018" s="2" t="s">
        <v>36</v>
      </c>
      <c r="H1018" s="2">
        <v>1</v>
      </c>
      <c r="I1018" s="2" t="s">
        <v>17</v>
      </c>
      <c r="J1018" s="2" t="str">
        <f>VLOOKUP(E1018,[1]LL_Hub!$A$1:$B$13,2,FALSE)</f>
        <v>Miami</v>
      </c>
      <c r="K1018" t="str">
        <f>VLOOKUP(D1018,'[2]product Table data'!$A$2:$B$12,2,FALSE)</f>
        <v>Female</v>
      </c>
      <c r="L1018" t="str">
        <f>VLOOKUP($D1018,'[2]product Table data'!$A$2:$G$12,L$1,FALSE)</f>
        <v>Fancy Sheek</v>
      </c>
      <c r="M1018" t="str">
        <f>VLOOKUP($D1018,'[2]product Table data'!$A$2:$G$12,M$1,FALSE)</f>
        <v>Azerbaijan</v>
      </c>
      <c r="N1018" t="str">
        <f>VLOOKUP($D1018,'[2]product Table data'!$A$2:$G$12,N$1,FALSE)</f>
        <v>Middle East</v>
      </c>
      <c r="O1018">
        <f>VLOOKUP($D1018,'[2]product Table data'!$A$2:$G$12,O$1,FALSE)</f>
        <v>1200</v>
      </c>
      <c r="P1018">
        <f>VLOOKUP($D1018,'[2]product Table data'!$A$2:$G$12,P$1,FALSE)</f>
        <v>2000</v>
      </c>
      <c r="Q1018">
        <f t="shared" si="75"/>
        <v>800</v>
      </c>
      <c r="R1018" t="str">
        <f t="shared" si="76"/>
        <v>-</v>
      </c>
      <c r="S1018" t="str">
        <f t="shared" si="77"/>
        <v>Style Risk</v>
      </c>
      <c r="T1018" t="str">
        <f t="shared" si="78"/>
        <v>-</v>
      </c>
      <c r="U1018" t="str">
        <f t="shared" si="79"/>
        <v>High Value</v>
      </c>
    </row>
    <row r="1019" spans="1:21" hidden="1" x14ac:dyDescent="0.2">
      <c r="A1019" s="2">
        <v>880</v>
      </c>
      <c r="B1019" s="2" t="s">
        <v>9</v>
      </c>
      <c r="C1019" s="2" t="s">
        <v>1453</v>
      </c>
      <c r="D1019" s="2" t="s">
        <v>968</v>
      </c>
      <c r="E1019" s="2">
        <v>33125</v>
      </c>
      <c r="F1019" s="2" t="s">
        <v>98</v>
      </c>
      <c r="G1019" s="2" t="s">
        <v>36</v>
      </c>
      <c r="H1019" s="2">
        <v>1</v>
      </c>
      <c r="I1019" s="2" t="s">
        <v>17</v>
      </c>
      <c r="J1019" s="2" t="str">
        <f>VLOOKUP(E1019,[1]LL_Hub!$A$1:$B$13,2,FALSE)</f>
        <v>Miami</v>
      </c>
      <c r="K1019" t="str">
        <f>VLOOKUP(D1019,'[2]product Table data'!$A$2:$B$12,2,FALSE)</f>
        <v>Female</v>
      </c>
      <c r="L1019" t="str">
        <f>VLOOKUP($D1019,'[2]product Table data'!$A$2:$G$12,L$1,FALSE)</f>
        <v>Fancy Sheek</v>
      </c>
      <c r="M1019" t="str">
        <f>VLOOKUP($D1019,'[2]product Table data'!$A$2:$G$12,M$1,FALSE)</f>
        <v>Azerbaijan</v>
      </c>
      <c r="N1019" t="str">
        <f>VLOOKUP($D1019,'[2]product Table data'!$A$2:$G$12,N$1,FALSE)</f>
        <v>Middle East</v>
      </c>
      <c r="O1019">
        <f>VLOOKUP($D1019,'[2]product Table data'!$A$2:$G$12,O$1,FALSE)</f>
        <v>1200</v>
      </c>
      <c r="P1019">
        <f>VLOOKUP($D1019,'[2]product Table data'!$A$2:$G$12,P$1,FALSE)</f>
        <v>2000</v>
      </c>
      <c r="Q1019">
        <f t="shared" si="75"/>
        <v>800</v>
      </c>
      <c r="R1019" t="str">
        <f t="shared" si="76"/>
        <v>-</v>
      </c>
      <c r="S1019" t="str">
        <f t="shared" si="77"/>
        <v>Style Risk</v>
      </c>
      <c r="T1019" t="str">
        <f t="shared" si="78"/>
        <v>-</v>
      </c>
      <c r="U1019" t="str">
        <f t="shared" si="79"/>
        <v>High Value</v>
      </c>
    </row>
    <row r="1020" spans="1:21" hidden="1" x14ac:dyDescent="0.2">
      <c r="A1020" s="2">
        <v>881</v>
      </c>
      <c r="B1020" s="2" t="s">
        <v>9</v>
      </c>
      <c r="C1020" s="2" t="s">
        <v>1454</v>
      </c>
      <c r="D1020" s="2" t="s">
        <v>968</v>
      </c>
      <c r="E1020" s="2">
        <v>33125</v>
      </c>
      <c r="F1020" s="2" t="s">
        <v>98</v>
      </c>
      <c r="G1020" s="2" t="s">
        <v>36</v>
      </c>
      <c r="H1020" s="2">
        <v>1</v>
      </c>
      <c r="I1020" s="2" t="s">
        <v>17</v>
      </c>
      <c r="J1020" s="2" t="str">
        <f>VLOOKUP(E1020,[1]LL_Hub!$A$1:$B$13,2,FALSE)</f>
        <v>Miami</v>
      </c>
      <c r="K1020" t="str">
        <f>VLOOKUP(D1020,'[2]product Table data'!$A$2:$B$12,2,FALSE)</f>
        <v>Female</v>
      </c>
      <c r="L1020" t="str">
        <f>VLOOKUP($D1020,'[2]product Table data'!$A$2:$G$12,L$1,FALSE)</f>
        <v>Fancy Sheek</v>
      </c>
      <c r="M1020" t="str">
        <f>VLOOKUP($D1020,'[2]product Table data'!$A$2:$G$12,M$1,FALSE)</f>
        <v>Azerbaijan</v>
      </c>
      <c r="N1020" t="str">
        <f>VLOOKUP($D1020,'[2]product Table data'!$A$2:$G$12,N$1,FALSE)</f>
        <v>Middle East</v>
      </c>
      <c r="O1020">
        <f>VLOOKUP($D1020,'[2]product Table data'!$A$2:$G$12,O$1,FALSE)</f>
        <v>1200</v>
      </c>
      <c r="P1020">
        <f>VLOOKUP($D1020,'[2]product Table data'!$A$2:$G$12,P$1,FALSE)</f>
        <v>2000</v>
      </c>
      <c r="Q1020">
        <f t="shared" si="75"/>
        <v>800</v>
      </c>
      <c r="R1020" t="str">
        <f t="shared" si="76"/>
        <v>-</v>
      </c>
      <c r="S1020" t="str">
        <f t="shared" si="77"/>
        <v>Style Risk</v>
      </c>
      <c r="T1020" t="str">
        <f t="shared" si="78"/>
        <v>-</v>
      </c>
      <c r="U1020" t="str">
        <f t="shared" si="79"/>
        <v>High Value</v>
      </c>
    </row>
    <row r="1021" spans="1:21" hidden="1" x14ac:dyDescent="0.2">
      <c r="A1021" s="2">
        <v>882</v>
      </c>
      <c r="B1021" s="2" t="s">
        <v>9</v>
      </c>
      <c r="C1021" s="2" t="s">
        <v>1455</v>
      </c>
      <c r="D1021" s="2" t="s">
        <v>968</v>
      </c>
      <c r="E1021" s="2">
        <v>33125</v>
      </c>
      <c r="F1021" s="2" t="s">
        <v>98</v>
      </c>
      <c r="G1021" s="2" t="s">
        <v>36</v>
      </c>
      <c r="H1021" s="2">
        <v>1</v>
      </c>
      <c r="I1021" s="2" t="s">
        <v>17</v>
      </c>
      <c r="J1021" s="2" t="str">
        <f>VLOOKUP(E1021,[1]LL_Hub!$A$1:$B$13,2,FALSE)</f>
        <v>Miami</v>
      </c>
      <c r="K1021" t="str">
        <f>VLOOKUP(D1021,'[2]product Table data'!$A$2:$B$12,2,FALSE)</f>
        <v>Female</v>
      </c>
      <c r="L1021" t="str">
        <f>VLOOKUP($D1021,'[2]product Table data'!$A$2:$G$12,L$1,FALSE)</f>
        <v>Fancy Sheek</v>
      </c>
      <c r="M1021" t="str">
        <f>VLOOKUP($D1021,'[2]product Table data'!$A$2:$G$12,M$1,FALSE)</f>
        <v>Azerbaijan</v>
      </c>
      <c r="N1021" t="str">
        <f>VLOOKUP($D1021,'[2]product Table data'!$A$2:$G$12,N$1,FALSE)</f>
        <v>Middle East</v>
      </c>
      <c r="O1021">
        <f>VLOOKUP($D1021,'[2]product Table data'!$A$2:$G$12,O$1,FALSE)</f>
        <v>1200</v>
      </c>
      <c r="P1021">
        <f>VLOOKUP($D1021,'[2]product Table data'!$A$2:$G$12,P$1,FALSE)</f>
        <v>2000</v>
      </c>
      <c r="Q1021">
        <f t="shared" si="75"/>
        <v>800</v>
      </c>
      <c r="R1021" t="str">
        <f t="shared" si="76"/>
        <v>-</v>
      </c>
      <c r="S1021" t="str">
        <f t="shared" si="77"/>
        <v>Style Risk</v>
      </c>
      <c r="T1021" t="str">
        <f t="shared" si="78"/>
        <v>-</v>
      </c>
      <c r="U1021" t="str">
        <f t="shared" si="79"/>
        <v>High Value</v>
      </c>
    </row>
    <row r="1022" spans="1:21" hidden="1" x14ac:dyDescent="0.2">
      <c r="A1022" s="2">
        <v>883</v>
      </c>
      <c r="B1022" s="2" t="s">
        <v>9</v>
      </c>
      <c r="C1022" s="2" t="s">
        <v>1456</v>
      </c>
      <c r="D1022" s="2" t="s">
        <v>968</v>
      </c>
      <c r="E1022" s="2">
        <v>33125</v>
      </c>
      <c r="F1022" s="2" t="s">
        <v>98</v>
      </c>
      <c r="G1022" s="2" t="s">
        <v>36</v>
      </c>
      <c r="H1022" s="2">
        <v>1</v>
      </c>
      <c r="I1022" s="2" t="s">
        <v>17</v>
      </c>
      <c r="J1022" s="2" t="str">
        <f>VLOOKUP(E1022,[1]LL_Hub!$A$1:$B$13,2,FALSE)</f>
        <v>Miami</v>
      </c>
      <c r="K1022" t="str">
        <f>VLOOKUP(D1022,'[2]product Table data'!$A$2:$B$12,2,FALSE)</f>
        <v>Female</v>
      </c>
      <c r="L1022" t="str">
        <f>VLOOKUP($D1022,'[2]product Table data'!$A$2:$G$12,L$1,FALSE)</f>
        <v>Fancy Sheek</v>
      </c>
      <c r="M1022" t="str">
        <f>VLOOKUP($D1022,'[2]product Table data'!$A$2:$G$12,M$1,FALSE)</f>
        <v>Azerbaijan</v>
      </c>
      <c r="N1022" t="str">
        <f>VLOOKUP($D1022,'[2]product Table data'!$A$2:$G$12,N$1,FALSE)</f>
        <v>Middle East</v>
      </c>
      <c r="O1022">
        <f>VLOOKUP($D1022,'[2]product Table data'!$A$2:$G$12,O$1,FALSE)</f>
        <v>1200</v>
      </c>
      <c r="P1022">
        <f>VLOOKUP($D1022,'[2]product Table data'!$A$2:$G$12,P$1,FALSE)</f>
        <v>2000</v>
      </c>
      <c r="Q1022">
        <f t="shared" si="75"/>
        <v>800</v>
      </c>
      <c r="R1022" t="str">
        <f t="shared" si="76"/>
        <v>-</v>
      </c>
      <c r="S1022" t="str">
        <f t="shared" si="77"/>
        <v>Style Risk</v>
      </c>
      <c r="T1022" t="str">
        <f t="shared" si="78"/>
        <v>-</v>
      </c>
      <c r="U1022" t="str">
        <f t="shared" si="79"/>
        <v>High Value</v>
      </c>
    </row>
    <row r="1023" spans="1:21" hidden="1" x14ac:dyDescent="0.2">
      <c r="A1023" s="2">
        <v>884</v>
      </c>
      <c r="B1023" s="2" t="s">
        <v>9</v>
      </c>
      <c r="C1023" s="2" t="s">
        <v>1457</v>
      </c>
      <c r="D1023" s="2" t="s">
        <v>968</v>
      </c>
      <c r="E1023" s="2">
        <v>33125</v>
      </c>
      <c r="F1023" s="2" t="s">
        <v>98</v>
      </c>
      <c r="G1023" s="2" t="s">
        <v>36</v>
      </c>
      <c r="H1023" s="2">
        <v>1</v>
      </c>
      <c r="I1023" s="2" t="s">
        <v>17</v>
      </c>
      <c r="J1023" s="2" t="str">
        <f>VLOOKUP(E1023,[1]LL_Hub!$A$1:$B$13,2,FALSE)</f>
        <v>Miami</v>
      </c>
      <c r="K1023" t="str">
        <f>VLOOKUP(D1023,'[2]product Table data'!$A$2:$B$12,2,FALSE)</f>
        <v>Female</v>
      </c>
      <c r="L1023" t="str">
        <f>VLOOKUP($D1023,'[2]product Table data'!$A$2:$G$12,L$1,FALSE)</f>
        <v>Fancy Sheek</v>
      </c>
      <c r="M1023" t="str">
        <f>VLOOKUP($D1023,'[2]product Table data'!$A$2:$G$12,M$1,FALSE)</f>
        <v>Azerbaijan</v>
      </c>
      <c r="N1023" t="str">
        <f>VLOOKUP($D1023,'[2]product Table data'!$A$2:$G$12,N$1,FALSE)</f>
        <v>Middle East</v>
      </c>
      <c r="O1023">
        <f>VLOOKUP($D1023,'[2]product Table data'!$A$2:$G$12,O$1,FALSE)</f>
        <v>1200</v>
      </c>
      <c r="P1023">
        <f>VLOOKUP($D1023,'[2]product Table data'!$A$2:$G$12,P$1,FALSE)</f>
        <v>2000</v>
      </c>
      <c r="Q1023">
        <f t="shared" si="75"/>
        <v>800</v>
      </c>
      <c r="R1023" t="str">
        <f t="shared" si="76"/>
        <v>-</v>
      </c>
      <c r="S1023" t="str">
        <f t="shared" si="77"/>
        <v>Style Risk</v>
      </c>
      <c r="T1023" t="str">
        <f t="shared" si="78"/>
        <v>-</v>
      </c>
      <c r="U1023" t="str">
        <f t="shared" si="79"/>
        <v>High Value</v>
      </c>
    </row>
    <row r="1024" spans="1:21" hidden="1" x14ac:dyDescent="0.2">
      <c r="A1024" s="2">
        <v>885</v>
      </c>
      <c r="B1024" s="2" t="s">
        <v>9</v>
      </c>
      <c r="C1024" s="2" t="s">
        <v>1458</v>
      </c>
      <c r="D1024" s="2" t="s">
        <v>968</v>
      </c>
      <c r="E1024" s="2">
        <v>33125</v>
      </c>
      <c r="F1024" s="2" t="s">
        <v>98</v>
      </c>
      <c r="G1024" s="2" t="s">
        <v>36</v>
      </c>
      <c r="H1024" s="2">
        <v>1</v>
      </c>
      <c r="I1024" s="2" t="s">
        <v>17</v>
      </c>
      <c r="J1024" s="2" t="str">
        <f>VLOOKUP(E1024,[1]LL_Hub!$A$1:$B$13,2,FALSE)</f>
        <v>Miami</v>
      </c>
      <c r="K1024" t="str">
        <f>VLOOKUP(D1024,'[2]product Table data'!$A$2:$B$12,2,FALSE)</f>
        <v>Female</v>
      </c>
      <c r="L1024" t="str">
        <f>VLOOKUP($D1024,'[2]product Table data'!$A$2:$G$12,L$1,FALSE)</f>
        <v>Fancy Sheek</v>
      </c>
      <c r="M1024" t="str">
        <f>VLOOKUP($D1024,'[2]product Table data'!$A$2:$G$12,M$1,FALSE)</f>
        <v>Azerbaijan</v>
      </c>
      <c r="N1024" t="str">
        <f>VLOOKUP($D1024,'[2]product Table data'!$A$2:$G$12,N$1,FALSE)</f>
        <v>Middle East</v>
      </c>
      <c r="O1024">
        <f>VLOOKUP($D1024,'[2]product Table data'!$A$2:$G$12,O$1,FALSE)</f>
        <v>1200</v>
      </c>
      <c r="P1024">
        <f>VLOOKUP($D1024,'[2]product Table data'!$A$2:$G$12,P$1,FALSE)</f>
        <v>2000</v>
      </c>
      <c r="Q1024">
        <f t="shared" si="75"/>
        <v>800</v>
      </c>
      <c r="R1024" t="str">
        <f t="shared" si="76"/>
        <v>-</v>
      </c>
      <c r="S1024" t="str">
        <f t="shared" si="77"/>
        <v>Style Risk</v>
      </c>
      <c r="T1024" t="str">
        <f t="shared" si="78"/>
        <v>-</v>
      </c>
      <c r="U1024" t="str">
        <f t="shared" si="79"/>
        <v>High Value</v>
      </c>
    </row>
    <row r="1025" spans="1:21" hidden="1" x14ac:dyDescent="0.2">
      <c r="A1025" s="2">
        <v>886</v>
      </c>
      <c r="B1025" s="2" t="s">
        <v>9</v>
      </c>
      <c r="C1025" s="2" t="s">
        <v>1459</v>
      </c>
      <c r="D1025" s="2" t="s">
        <v>968</v>
      </c>
      <c r="E1025" s="2">
        <v>33125</v>
      </c>
      <c r="F1025" s="2" t="s">
        <v>1460</v>
      </c>
      <c r="G1025" s="2" t="s">
        <v>13</v>
      </c>
      <c r="H1025" s="2">
        <v>1</v>
      </c>
      <c r="I1025" s="2" t="s">
        <v>17</v>
      </c>
      <c r="J1025" s="2" t="str">
        <f>VLOOKUP(E1025,[1]LL_Hub!$A$1:$B$13,2,FALSE)</f>
        <v>Miami</v>
      </c>
      <c r="K1025" t="str">
        <f>VLOOKUP(D1025,'[2]product Table data'!$A$2:$B$12,2,FALSE)</f>
        <v>Female</v>
      </c>
      <c r="L1025" t="str">
        <f>VLOOKUP($D1025,'[2]product Table data'!$A$2:$G$12,L$1,FALSE)</f>
        <v>Fancy Sheek</v>
      </c>
      <c r="M1025" t="str">
        <f>VLOOKUP($D1025,'[2]product Table data'!$A$2:$G$12,M$1,FALSE)</f>
        <v>Azerbaijan</v>
      </c>
      <c r="N1025" t="str">
        <f>VLOOKUP($D1025,'[2]product Table data'!$A$2:$G$12,N$1,FALSE)</f>
        <v>Middle East</v>
      </c>
      <c r="O1025">
        <f>VLOOKUP($D1025,'[2]product Table data'!$A$2:$G$12,O$1,FALSE)</f>
        <v>1200</v>
      </c>
      <c r="P1025">
        <f>VLOOKUP($D1025,'[2]product Table data'!$A$2:$G$12,P$1,FALSE)</f>
        <v>2000</v>
      </c>
      <c r="Q1025">
        <f t="shared" si="75"/>
        <v>800</v>
      </c>
      <c r="R1025" t="str">
        <f t="shared" si="76"/>
        <v>-</v>
      </c>
      <c r="S1025" t="str">
        <f t="shared" si="77"/>
        <v>Style Risk</v>
      </c>
      <c r="T1025" t="str">
        <f t="shared" si="78"/>
        <v>-</v>
      </c>
      <c r="U1025" t="str">
        <f t="shared" si="79"/>
        <v>High Value</v>
      </c>
    </row>
    <row r="1026" spans="1:21" hidden="1" x14ac:dyDescent="0.2">
      <c r="A1026" s="2">
        <v>887</v>
      </c>
      <c r="B1026" s="2" t="s">
        <v>9</v>
      </c>
      <c r="C1026" s="2" t="s">
        <v>1461</v>
      </c>
      <c r="D1026" s="2" t="s">
        <v>968</v>
      </c>
      <c r="E1026" s="2">
        <v>33125</v>
      </c>
      <c r="F1026" s="2" t="s">
        <v>1462</v>
      </c>
      <c r="G1026" s="2" t="s">
        <v>13</v>
      </c>
      <c r="H1026" s="2">
        <v>1</v>
      </c>
      <c r="I1026" s="2" t="s">
        <v>17</v>
      </c>
      <c r="J1026" s="2" t="str">
        <f>VLOOKUP(E1026,[1]LL_Hub!$A$1:$B$13,2,FALSE)</f>
        <v>Miami</v>
      </c>
      <c r="K1026" t="str">
        <f>VLOOKUP(D1026,'[2]product Table data'!$A$2:$B$12,2,FALSE)</f>
        <v>Female</v>
      </c>
      <c r="L1026" t="str">
        <f>VLOOKUP($D1026,'[2]product Table data'!$A$2:$G$12,L$1,FALSE)</f>
        <v>Fancy Sheek</v>
      </c>
      <c r="M1026" t="str">
        <f>VLOOKUP($D1026,'[2]product Table data'!$A$2:$G$12,M$1,FALSE)</f>
        <v>Azerbaijan</v>
      </c>
      <c r="N1026" t="str">
        <f>VLOOKUP($D1026,'[2]product Table data'!$A$2:$G$12,N$1,FALSE)</f>
        <v>Middle East</v>
      </c>
      <c r="O1026">
        <f>VLOOKUP($D1026,'[2]product Table data'!$A$2:$G$12,O$1,FALSE)</f>
        <v>1200</v>
      </c>
      <c r="P1026">
        <f>VLOOKUP($D1026,'[2]product Table data'!$A$2:$G$12,P$1,FALSE)</f>
        <v>2000</v>
      </c>
      <c r="Q1026">
        <f t="shared" si="75"/>
        <v>800</v>
      </c>
      <c r="R1026" t="str">
        <f t="shared" si="76"/>
        <v>-</v>
      </c>
      <c r="S1026" t="str">
        <f t="shared" si="77"/>
        <v>Style Risk</v>
      </c>
      <c r="T1026" t="str">
        <f t="shared" si="78"/>
        <v>-</v>
      </c>
      <c r="U1026" t="str">
        <f t="shared" si="79"/>
        <v>High Value</v>
      </c>
    </row>
    <row r="1027" spans="1:21" hidden="1" x14ac:dyDescent="0.2">
      <c r="A1027" s="2">
        <v>888</v>
      </c>
      <c r="B1027" s="2" t="s">
        <v>9</v>
      </c>
      <c r="C1027" s="2" t="s">
        <v>1463</v>
      </c>
      <c r="D1027" s="2" t="s">
        <v>968</v>
      </c>
      <c r="E1027" s="2">
        <v>33125</v>
      </c>
      <c r="F1027" s="2" t="s">
        <v>1464</v>
      </c>
      <c r="G1027" s="2" t="s">
        <v>13</v>
      </c>
      <c r="H1027" s="2">
        <v>1</v>
      </c>
      <c r="I1027" s="2" t="s">
        <v>17</v>
      </c>
      <c r="J1027" s="2" t="str">
        <f>VLOOKUP(E1027,[1]LL_Hub!$A$1:$B$13,2,FALSE)</f>
        <v>Miami</v>
      </c>
      <c r="K1027" t="str">
        <f>VLOOKUP(D1027,'[2]product Table data'!$A$2:$B$12,2,FALSE)</f>
        <v>Female</v>
      </c>
      <c r="L1027" t="str">
        <f>VLOOKUP($D1027,'[2]product Table data'!$A$2:$G$12,L$1,FALSE)</f>
        <v>Fancy Sheek</v>
      </c>
      <c r="M1027" t="str">
        <f>VLOOKUP($D1027,'[2]product Table data'!$A$2:$G$12,M$1,FALSE)</f>
        <v>Azerbaijan</v>
      </c>
      <c r="N1027" t="str">
        <f>VLOOKUP($D1027,'[2]product Table data'!$A$2:$G$12,N$1,FALSE)</f>
        <v>Middle East</v>
      </c>
      <c r="O1027">
        <f>VLOOKUP($D1027,'[2]product Table data'!$A$2:$G$12,O$1,FALSE)</f>
        <v>1200</v>
      </c>
      <c r="P1027">
        <f>VLOOKUP($D1027,'[2]product Table data'!$A$2:$G$12,P$1,FALSE)</f>
        <v>2000</v>
      </c>
      <c r="Q1027">
        <f t="shared" ref="Q1027:Q1090" si="80">P1027-O1027</f>
        <v>800</v>
      </c>
      <c r="R1027" t="str">
        <f t="shared" ref="R1027:R1090" si="81">IF(OR(J1027="Los Angeles",J1027="Denver"),"Hub Risk","-")</f>
        <v>-</v>
      </c>
      <c r="S1027" t="str">
        <f t="shared" ref="S1027:S1090" si="82">IF(OR(L1027="Casual n Light",L1027="Fancy Sheek"),"Style Risk","-")</f>
        <v>Style Risk</v>
      </c>
      <c r="T1027" t="str">
        <f t="shared" ref="T1027:T1090" si="83">IF(AND(R1027="Hub Risk", S1027="Style Risk"), "Risk", "-")</f>
        <v>-</v>
      </c>
      <c r="U1027" t="str">
        <f t="shared" ref="U1027:U1090" si="84">IF(Q1027&lt;=5, "Low Value", "High Value")</f>
        <v>High Value</v>
      </c>
    </row>
    <row r="1028" spans="1:21" hidden="1" x14ac:dyDescent="0.2">
      <c r="A1028" s="2">
        <v>889</v>
      </c>
      <c r="B1028" s="2" t="s">
        <v>9</v>
      </c>
      <c r="C1028" s="2" t="s">
        <v>1465</v>
      </c>
      <c r="D1028" s="2" t="s">
        <v>604</v>
      </c>
      <c r="E1028" s="2">
        <v>33125</v>
      </c>
      <c r="F1028" s="2" t="s">
        <v>1466</v>
      </c>
      <c r="G1028" s="2" t="s">
        <v>13</v>
      </c>
      <c r="H1028" s="2">
        <v>1</v>
      </c>
      <c r="I1028" s="2" t="s">
        <v>17</v>
      </c>
      <c r="J1028" s="2" t="str">
        <f>VLOOKUP(E1028,[1]LL_Hub!$A$1:$B$13,2,FALSE)</f>
        <v>Miami</v>
      </c>
      <c r="K1028" t="str">
        <f>VLOOKUP(D1028,'[2]product Table data'!$A$2:$B$12,2,FALSE)</f>
        <v>Female</v>
      </c>
      <c r="L1028" t="str">
        <f>VLOOKUP($D1028,'[2]product Table data'!$A$2:$G$12,L$1,FALSE)</f>
        <v>Fancy Sheek</v>
      </c>
      <c r="M1028" t="str">
        <f>VLOOKUP($D1028,'[2]product Table data'!$A$2:$G$12,M$1,FALSE)</f>
        <v>Iran</v>
      </c>
      <c r="N1028" t="str">
        <f>VLOOKUP($D1028,'[2]product Table data'!$A$2:$G$12,N$1,FALSE)</f>
        <v>Middle East</v>
      </c>
      <c r="O1028">
        <f>VLOOKUP($D1028,'[2]product Table data'!$A$2:$G$12,O$1,FALSE)</f>
        <v>75</v>
      </c>
      <c r="P1028">
        <f>VLOOKUP($D1028,'[2]product Table data'!$A$2:$G$12,P$1,FALSE)</f>
        <v>125</v>
      </c>
      <c r="Q1028">
        <f t="shared" si="80"/>
        <v>50</v>
      </c>
      <c r="R1028" t="str">
        <f t="shared" si="81"/>
        <v>-</v>
      </c>
      <c r="S1028" t="str">
        <f t="shared" si="82"/>
        <v>Style Risk</v>
      </c>
      <c r="T1028" t="str">
        <f t="shared" si="83"/>
        <v>-</v>
      </c>
      <c r="U1028" t="str">
        <f t="shared" si="84"/>
        <v>High Value</v>
      </c>
    </row>
    <row r="1029" spans="1:21" hidden="1" x14ac:dyDescent="0.2">
      <c r="A1029" s="2">
        <v>890</v>
      </c>
      <c r="B1029" s="2" t="s">
        <v>9</v>
      </c>
      <c r="C1029" s="2" t="s">
        <v>1467</v>
      </c>
      <c r="D1029" s="2" t="s">
        <v>604</v>
      </c>
      <c r="E1029" s="2">
        <v>33125</v>
      </c>
      <c r="F1029" s="2" t="s">
        <v>1362</v>
      </c>
      <c r="G1029" s="2" t="s">
        <v>36</v>
      </c>
      <c r="H1029" s="2">
        <v>1</v>
      </c>
      <c r="I1029" s="2" t="s">
        <v>17</v>
      </c>
      <c r="J1029" s="2" t="str">
        <f>VLOOKUP(E1029,[1]LL_Hub!$A$1:$B$13,2,FALSE)</f>
        <v>Miami</v>
      </c>
      <c r="K1029" t="str">
        <f>VLOOKUP(D1029,'[2]product Table data'!$A$2:$B$12,2,FALSE)</f>
        <v>Female</v>
      </c>
      <c r="L1029" t="str">
        <f>VLOOKUP($D1029,'[2]product Table data'!$A$2:$G$12,L$1,FALSE)</f>
        <v>Fancy Sheek</v>
      </c>
      <c r="M1029" t="str">
        <f>VLOOKUP($D1029,'[2]product Table data'!$A$2:$G$12,M$1,FALSE)</f>
        <v>Iran</v>
      </c>
      <c r="N1029" t="str">
        <f>VLOOKUP($D1029,'[2]product Table data'!$A$2:$G$12,N$1,FALSE)</f>
        <v>Middle East</v>
      </c>
      <c r="O1029">
        <f>VLOOKUP($D1029,'[2]product Table data'!$A$2:$G$12,O$1,FALSE)</f>
        <v>75</v>
      </c>
      <c r="P1029">
        <f>VLOOKUP($D1029,'[2]product Table data'!$A$2:$G$12,P$1,FALSE)</f>
        <v>125</v>
      </c>
      <c r="Q1029">
        <f t="shared" si="80"/>
        <v>50</v>
      </c>
      <c r="R1029" t="str">
        <f t="shared" si="81"/>
        <v>-</v>
      </c>
      <c r="S1029" t="str">
        <f t="shared" si="82"/>
        <v>Style Risk</v>
      </c>
      <c r="T1029" t="str">
        <f t="shared" si="83"/>
        <v>-</v>
      </c>
      <c r="U1029" t="str">
        <f t="shared" si="84"/>
        <v>High Value</v>
      </c>
    </row>
    <row r="1030" spans="1:21" hidden="1" x14ac:dyDescent="0.2">
      <c r="A1030" s="2">
        <v>891</v>
      </c>
      <c r="B1030" s="2" t="s">
        <v>9</v>
      </c>
      <c r="C1030" s="2" t="s">
        <v>1468</v>
      </c>
      <c r="D1030" s="2" t="s">
        <v>604</v>
      </c>
      <c r="E1030" s="2">
        <v>33125</v>
      </c>
      <c r="F1030" s="2" t="s">
        <v>1362</v>
      </c>
      <c r="G1030" s="2" t="s">
        <v>36</v>
      </c>
      <c r="H1030" s="2">
        <v>1</v>
      </c>
      <c r="I1030" s="2" t="s">
        <v>17</v>
      </c>
      <c r="J1030" s="2" t="str">
        <f>VLOOKUP(E1030,[1]LL_Hub!$A$1:$B$13,2,FALSE)</f>
        <v>Miami</v>
      </c>
      <c r="K1030" t="str">
        <f>VLOOKUP(D1030,'[2]product Table data'!$A$2:$B$12,2,FALSE)</f>
        <v>Female</v>
      </c>
      <c r="L1030" t="str">
        <f>VLOOKUP($D1030,'[2]product Table data'!$A$2:$G$12,L$1,FALSE)</f>
        <v>Fancy Sheek</v>
      </c>
      <c r="M1030" t="str">
        <f>VLOOKUP($D1030,'[2]product Table data'!$A$2:$G$12,M$1,FALSE)</f>
        <v>Iran</v>
      </c>
      <c r="N1030" t="str">
        <f>VLOOKUP($D1030,'[2]product Table data'!$A$2:$G$12,N$1,FALSE)</f>
        <v>Middle East</v>
      </c>
      <c r="O1030">
        <f>VLOOKUP($D1030,'[2]product Table data'!$A$2:$G$12,O$1,FALSE)</f>
        <v>75</v>
      </c>
      <c r="P1030">
        <f>VLOOKUP($D1030,'[2]product Table data'!$A$2:$G$12,P$1,FALSE)</f>
        <v>125</v>
      </c>
      <c r="Q1030">
        <f t="shared" si="80"/>
        <v>50</v>
      </c>
      <c r="R1030" t="str">
        <f t="shared" si="81"/>
        <v>-</v>
      </c>
      <c r="S1030" t="str">
        <f t="shared" si="82"/>
        <v>Style Risk</v>
      </c>
      <c r="T1030" t="str">
        <f t="shared" si="83"/>
        <v>-</v>
      </c>
      <c r="U1030" t="str">
        <f t="shared" si="84"/>
        <v>High Value</v>
      </c>
    </row>
    <row r="1031" spans="1:21" hidden="1" x14ac:dyDescent="0.2">
      <c r="A1031" s="2">
        <v>892</v>
      </c>
      <c r="B1031" s="2" t="s">
        <v>9</v>
      </c>
      <c r="C1031" s="2" t="s">
        <v>1469</v>
      </c>
      <c r="D1031" s="2" t="s">
        <v>604</v>
      </c>
      <c r="E1031" s="2">
        <v>33125</v>
      </c>
      <c r="F1031" s="2" t="s">
        <v>1362</v>
      </c>
      <c r="G1031" s="2" t="s">
        <v>36</v>
      </c>
      <c r="H1031" s="2">
        <v>1</v>
      </c>
      <c r="I1031" s="2" t="s">
        <v>17</v>
      </c>
      <c r="J1031" s="2" t="str">
        <f>VLOOKUP(E1031,[1]LL_Hub!$A$1:$B$13,2,FALSE)</f>
        <v>Miami</v>
      </c>
      <c r="K1031" t="str">
        <f>VLOOKUP(D1031,'[2]product Table data'!$A$2:$B$12,2,FALSE)</f>
        <v>Female</v>
      </c>
      <c r="L1031" t="str">
        <f>VLOOKUP($D1031,'[2]product Table data'!$A$2:$G$12,L$1,FALSE)</f>
        <v>Fancy Sheek</v>
      </c>
      <c r="M1031" t="str">
        <f>VLOOKUP($D1031,'[2]product Table data'!$A$2:$G$12,M$1,FALSE)</f>
        <v>Iran</v>
      </c>
      <c r="N1031" t="str">
        <f>VLOOKUP($D1031,'[2]product Table data'!$A$2:$G$12,N$1,FALSE)</f>
        <v>Middle East</v>
      </c>
      <c r="O1031">
        <f>VLOOKUP($D1031,'[2]product Table data'!$A$2:$G$12,O$1,FALSE)</f>
        <v>75</v>
      </c>
      <c r="P1031">
        <f>VLOOKUP($D1031,'[2]product Table data'!$A$2:$G$12,P$1,FALSE)</f>
        <v>125</v>
      </c>
      <c r="Q1031">
        <f t="shared" si="80"/>
        <v>50</v>
      </c>
      <c r="R1031" t="str">
        <f t="shared" si="81"/>
        <v>-</v>
      </c>
      <c r="S1031" t="str">
        <f t="shared" si="82"/>
        <v>Style Risk</v>
      </c>
      <c r="T1031" t="str">
        <f t="shared" si="83"/>
        <v>-</v>
      </c>
      <c r="U1031" t="str">
        <f t="shared" si="84"/>
        <v>High Value</v>
      </c>
    </row>
    <row r="1032" spans="1:21" hidden="1" x14ac:dyDescent="0.2">
      <c r="A1032" s="2">
        <v>893</v>
      </c>
      <c r="B1032" s="2" t="s">
        <v>9</v>
      </c>
      <c r="C1032" s="2" t="s">
        <v>1470</v>
      </c>
      <c r="D1032" s="2" t="s">
        <v>604</v>
      </c>
      <c r="E1032" s="2">
        <v>33125</v>
      </c>
      <c r="F1032" s="2" t="s">
        <v>1471</v>
      </c>
      <c r="G1032" s="2" t="s">
        <v>13</v>
      </c>
      <c r="H1032" s="2">
        <v>1</v>
      </c>
      <c r="I1032" s="2" t="s">
        <v>17</v>
      </c>
      <c r="J1032" s="2" t="str">
        <f>VLOOKUP(E1032,[1]LL_Hub!$A$1:$B$13,2,FALSE)</f>
        <v>Miami</v>
      </c>
      <c r="K1032" t="str">
        <f>VLOOKUP(D1032,'[2]product Table data'!$A$2:$B$12,2,FALSE)</f>
        <v>Female</v>
      </c>
      <c r="L1032" t="str">
        <f>VLOOKUP($D1032,'[2]product Table data'!$A$2:$G$12,L$1,FALSE)</f>
        <v>Fancy Sheek</v>
      </c>
      <c r="M1032" t="str">
        <f>VLOOKUP($D1032,'[2]product Table data'!$A$2:$G$12,M$1,FALSE)</f>
        <v>Iran</v>
      </c>
      <c r="N1032" t="str">
        <f>VLOOKUP($D1032,'[2]product Table data'!$A$2:$G$12,N$1,FALSE)</f>
        <v>Middle East</v>
      </c>
      <c r="O1032">
        <f>VLOOKUP($D1032,'[2]product Table data'!$A$2:$G$12,O$1,FALSE)</f>
        <v>75</v>
      </c>
      <c r="P1032">
        <f>VLOOKUP($D1032,'[2]product Table data'!$A$2:$G$12,P$1,FALSE)</f>
        <v>125</v>
      </c>
      <c r="Q1032">
        <f t="shared" si="80"/>
        <v>50</v>
      </c>
      <c r="R1032" t="str">
        <f t="shared" si="81"/>
        <v>-</v>
      </c>
      <c r="S1032" t="str">
        <f t="shared" si="82"/>
        <v>Style Risk</v>
      </c>
      <c r="T1032" t="str">
        <f t="shared" si="83"/>
        <v>-</v>
      </c>
      <c r="U1032" t="str">
        <f t="shared" si="84"/>
        <v>High Value</v>
      </c>
    </row>
    <row r="1033" spans="1:21" hidden="1" x14ac:dyDescent="0.2">
      <c r="A1033" s="2">
        <v>894</v>
      </c>
      <c r="B1033" s="2" t="s">
        <v>9</v>
      </c>
      <c r="C1033" s="2" t="s">
        <v>1472</v>
      </c>
      <c r="D1033" s="2" t="s">
        <v>604</v>
      </c>
      <c r="E1033" s="2">
        <v>33125</v>
      </c>
      <c r="F1033" s="2" t="s">
        <v>1473</v>
      </c>
      <c r="G1033" s="2" t="s">
        <v>13</v>
      </c>
      <c r="H1033" s="2">
        <v>1</v>
      </c>
      <c r="I1033" s="2" t="s">
        <v>17</v>
      </c>
      <c r="J1033" s="2" t="str">
        <f>VLOOKUP(E1033,[1]LL_Hub!$A$1:$B$13,2,FALSE)</f>
        <v>Miami</v>
      </c>
      <c r="K1033" t="str">
        <f>VLOOKUP(D1033,'[2]product Table data'!$A$2:$B$12,2,FALSE)</f>
        <v>Female</v>
      </c>
      <c r="L1033" t="str">
        <f>VLOOKUP($D1033,'[2]product Table data'!$A$2:$G$12,L$1,FALSE)</f>
        <v>Fancy Sheek</v>
      </c>
      <c r="M1033" t="str">
        <f>VLOOKUP($D1033,'[2]product Table data'!$A$2:$G$12,M$1,FALSE)</f>
        <v>Iran</v>
      </c>
      <c r="N1033" t="str">
        <f>VLOOKUP($D1033,'[2]product Table data'!$A$2:$G$12,N$1,FALSE)</f>
        <v>Middle East</v>
      </c>
      <c r="O1033">
        <f>VLOOKUP($D1033,'[2]product Table data'!$A$2:$G$12,O$1,FALSE)</f>
        <v>75</v>
      </c>
      <c r="P1033">
        <f>VLOOKUP($D1033,'[2]product Table data'!$A$2:$G$12,P$1,FALSE)</f>
        <v>125</v>
      </c>
      <c r="Q1033">
        <f t="shared" si="80"/>
        <v>50</v>
      </c>
      <c r="R1033" t="str">
        <f t="shared" si="81"/>
        <v>-</v>
      </c>
      <c r="S1033" t="str">
        <f t="shared" si="82"/>
        <v>Style Risk</v>
      </c>
      <c r="T1033" t="str">
        <f t="shared" si="83"/>
        <v>-</v>
      </c>
      <c r="U1033" t="str">
        <f t="shared" si="84"/>
        <v>High Value</v>
      </c>
    </row>
    <row r="1034" spans="1:21" hidden="1" x14ac:dyDescent="0.2">
      <c r="A1034" s="2">
        <v>895</v>
      </c>
      <c r="B1034" s="2" t="s">
        <v>9</v>
      </c>
      <c r="C1034" s="2" t="s">
        <v>1474</v>
      </c>
      <c r="D1034" s="2" t="s">
        <v>604</v>
      </c>
      <c r="E1034" s="2">
        <v>33125</v>
      </c>
      <c r="F1034" s="2" t="s">
        <v>1475</v>
      </c>
      <c r="G1034" s="2" t="s">
        <v>13</v>
      </c>
      <c r="H1034" s="2">
        <v>1</v>
      </c>
      <c r="I1034" s="2" t="s">
        <v>17</v>
      </c>
      <c r="J1034" s="2" t="str">
        <f>VLOOKUP(E1034,[1]LL_Hub!$A$1:$B$13,2,FALSE)</f>
        <v>Miami</v>
      </c>
      <c r="K1034" t="str">
        <f>VLOOKUP(D1034,'[2]product Table data'!$A$2:$B$12,2,FALSE)</f>
        <v>Female</v>
      </c>
      <c r="L1034" t="str">
        <f>VLOOKUP($D1034,'[2]product Table data'!$A$2:$G$12,L$1,FALSE)</f>
        <v>Fancy Sheek</v>
      </c>
      <c r="M1034" t="str">
        <f>VLOOKUP($D1034,'[2]product Table data'!$A$2:$G$12,M$1,FALSE)</f>
        <v>Iran</v>
      </c>
      <c r="N1034" t="str">
        <f>VLOOKUP($D1034,'[2]product Table data'!$A$2:$G$12,N$1,FALSE)</f>
        <v>Middle East</v>
      </c>
      <c r="O1034">
        <f>VLOOKUP($D1034,'[2]product Table data'!$A$2:$G$12,O$1,FALSE)</f>
        <v>75</v>
      </c>
      <c r="P1034">
        <f>VLOOKUP($D1034,'[2]product Table data'!$A$2:$G$12,P$1,FALSE)</f>
        <v>125</v>
      </c>
      <c r="Q1034">
        <f t="shared" si="80"/>
        <v>50</v>
      </c>
      <c r="R1034" t="str">
        <f t="shared" si="81"/>
        <v>-</v>
      </c>
      <c r="S1034" t="str">
        <f t="shared" si="82"/>
        <v>Style Risk</v>
      </c>
      <c r="T1034" t="str">
        <f t="shared" si="83"/>
        <v>-</v>
      </c>
      <c r="U1034" t="str">
        <f t="shared" si="84"/>
        <v>High Value</v>
      </c>
    </row>
    <row r="1035" spans="1:21" hidden="1" x14ac:dyDescent="0.2">
      <c r="A1035" s="2">
        <v>896</v>
      </c>
      <c r="B1035" s="2" t="s">
        <v>9</v>
      </c>
      <c r="C1035" s="2" t="s">
        <v>1476</v>
      </c>
      <c r="D1035" s="2" t="s">
        <v>604</v>
      </c>
      <c r="E1035" s="2">
        <v>33125</v>
      </c>
      <c r="F1035" s="2" t="s">
        <v>1477</v>
      </c>
      <c r="G1035" s="2" t="s">
        <v>13</v>
      </c>
      <c r="H1035" s="2">
        <v>1</v>
      </c>
      <c r="I1035" s="2" t="s">
        <v>17</v>
      </c>
      <c r="J1035" s="2" t="str">
        <f>VLOOKUP(E1035,[1]LL_Hub!$A$1:$B$13,2,FALSE)</f>
        <v>Miami</v>
      </c>
      <c r="K1035" t="str">
        <f>VLOOKUP(D1035,'[2]product Table data'!$A$2:$B$12,2,FALSE)</f>
        <v>Female</v>
      </c>
      <c r="L1035" t="str">
        <f>VLOOKUP($D1035,'[2]product Table data'!$A$2:$G$12,L$1,FALSE)</f>
        <v>Fancy Sheek</v>
      </c>
      <c r="M1035" t="str">
        <f>VLOOKUP($D1035,'[2]product Table data'!$A$2:$G$12,M$1,FALSE)</f>
        <v>Iran</v>
      </c>
      <c r="N1035" t="str">
        <f>VLOOKUP($D1035,'[2]product Table data'!$A$2:$G$12,N$1,FALSE)</f>
        <v>Middle East</v>
      </c>
      <c r="O1035">
        <f>VLOOKUP($D1035,'[2]product Table data'!$A$2:$G$12,O$1,FALSE)</f>
        <v>75</v>
      </c>
      <c r="P1035">
        <f>VLOOKUP($D1035,'[2]product Table data'!$A$2:$G$12,P$1,FALSE)</f>
        <v>125</v>
      </c>
      <c r="Q1035">
        <f t="shared" si="80"/>
        <v>50</v>
      </c>
      <c r="R1035" t="str">
        <f t="shared" si="81"/>
        <v>-</v>
      </c>
      <c r="S1035" t="str">
        <f t="shared" si="82"/>
        <v>Style Risk</v>
      </c>
      <c r="T1035" t="str">
        <f t="shared" si="83"/>
        <v>-</v>
      </c>
      <c r="U1035" t="str">
        <f t="shared" si="84"/>
        <v>High Value</v>
      </c>
    </row>
    <row r="1036" spans="1:21" hidden="1" x14ac:dyDescent="0.2">
      <c r="A1036" s="2">
        <v>897</v>
      </c>
      <c r="B1036" s="2" t="s">
        <v>9</v>
      </c>
      <c r="C1036" s="2" t="s">
        <v>1478</v>
      </c>
      <c r="D1036" s="2" t="s">
        <v>604</v>
      </c>
      <c r="E1036" s="2">
        <v>33125</v>
      </c>
      <c r="F1036" s="2" t="s">
        <v>98</v>
      </c>
      <c r="G1036" s="2" t="s">
        <v>36</v>
      </c>
      <c r="H1036" s="2">
        <v>1</v>
      </c>
      <c r="I1036" s="2" t="s">
        <v>17</v>
      </c>
      <c r="J1036" s="2" t="str">
        <f>VLOOKUP(E1036,[1]LL_Hub!$A$1:$B$13,2,FALSE)</f>
        <v>Miami</v>
      </c>
      <c r="K1036" t="str">
        <f>VLOOKUP(D1036,'[2]product Table data'!$A$2:$B$12,2,FALSE)</f>
        <v>Female</v>
      </c>
      <c r="L1036" t="str">
        <f>VLOOKUP($D1036,'[2]product Table data'!$A$2:$G$12,L$1,FALSE)</f>
        <v>Fancy Sheek</v>
      </c>
      <c r="M1036" t="str">
        <f>VLOOKUP($D1036,'[2]product Table data'!$A$2:$G$12,M$1,FALSE)</f>
        <v>Iran</v>
      </c>
      <c r="N1036" t="str">
        <f>VLOOKUP($D1036,'[2]product Table data'!$A$2:$G$12,N$1,FALSE)</f>
        <v>Middle East</v>
      </c>
      <c r="O1036">
        <f>VLOOKUP($D1036,'[2]product Table data'!$A$2:$G$12,O$1,FALSE)</f>
        <v>75</v>
      </c>
      <c r="P1036">
        <f>VLOOKUP($D1036,'[2]product Table data'!$A$2:$G$12,P$1,FALSE)</f>
        <v>125</v>
      </c>
      <c r="Q1036">
        <f t="shared" si="80"/>
        <v>50</v>
      </c>
      <c r="R1036" t="str">
        <f t="shared" si="81"/>
        <v>-</v>
      </c>
      <c r="S1036" t="str">
        <f t="shared" si="82"/>
        <v>Style Risk</v>
      </c>
      <c r="T1036" t="str">
        <f t="shared" si="83"/>
        <v>-</v>
      </c>
      <c r="U1036" t="str">
        <f t="shared" si="84"/>
        <v>High Value</v>
      </c>
    </row>
    <row r="1037" spans="1:21" hidden="1" x14ac:dyDescent="0.2">
      <c r="A1037" s="2">
        <v>898</v>
      </c>
      <c r="B1037" s="2" t="s">
        <v>9</v>
      </c>
      <c r="C1037" s="2" t="s">
        <v>1479</v>
      </c>
      <c r="D1037" s="2" t="s">
        <v>604</v>
      </c>
      <c r="E1037" s="2">
        <v>33125</v>
      </c>
      <c r="F1037" s="2" t="s">
        <v>98</v>
      </c>
      <c r="G1037" s="2" t="s">
        <v>36</v>
      </c>
      <c r="H1037" s="2">
        <v>1</v>
      </c>
      <c r="I1037" s="2" t="s">
        <v>17</v>
      </c>
      <c r="J1037" s="2" t="str">
        <f>VLOOKUP(E1037,[1]LL_Hub!$A$1:$B$13,2,FALSE)</f>
        <v>Miami</v>
      </c>
      <c r="K1037" t="str">
        <f>VLOOKUP(D1037,'[2]product Table data'!$A$2:$B$12,2,FALSE)</f>
        <v>Female</v>
      </c>
      <c r="L1037" t="str">
        <f>VLOOKUP($D1037,'[2]product Table data'!$A$2:$G$12,L$1,FALSE)</f>
        <v>Fancy Sheek</v>
      </c>
      <c r="M1037" t="str">
        <f>VLOOKUP($D1037,'[2]product Table data'!$A$2:$G$12,M$1,FALSE)</f>
        <v>Iran</v>
      </c>
      <c r="N1037" t="str">
        <f>VLOOKUP($D1037,'[2]product Table data'!$A$2:$G$12,N$1,FALSE)</f>
        <v>Middle East</v>
      </c>
      <c r="O1037">
        <f>VLOOKUP($D1037,'[2]product Table data'!$A$2:$G$12,O$1,FALSE)</f>
        <v>75</v>
      </c>
      <c r="P1037">
        <f>VLOOKUP($D1037,'[2]product Table data'!$A$2:$G$12,P$1,FALSE)</f>
        <v>125</v>
      </c>
      <c r="Q1037">
        <f t="shared" si="80"/>
        <v>50</v>
      </c>
      <c r="R1037" t="str">
        <f t="shared" si="81"/>
        <v>-</v>
      </c>
      <c r="S1037" t="str">
        <f t="shared" si="82"/>
        <v>Style Risk</v>
      </c>
      <c r="T1037" t="str">
        <f t="shared" si="83"/>
        <v>-</v>
      </c>
      <c r="U1037" t="str">
        <f t="shared" si="84"/>
        <v>High Value</v>
      </c>
    </row>
    <row r="1038" spans="1:21" hidden="1" x14ac:dyDescent="0.2">
      <c r="A1038" s="2">
        <v>899</v>
      </c>
      <c r="B1038" s="2" t="s">
        <v>9</v>
      </c>
      <c r="C1038" s="2" t="s">
        <v>1480</v>
      </c>
      <c r="D1038" s="2" t="s">
        <v>604</v>
      </c>
      <c r="E1038" s="2">
        <v>33125</v>
      </c>
      <c r="F1038" s="2" t="s">
        <v>98</v>
      </c>
      <c r="G1038" s="2" t="s">
        <v>36</v>
      </c>
      <c r="H1038" s="2">
        <v>1</v>
      </c>
      <c r="I1038" s="2" t="s">
        <v>17</v>
      </c>
      <c r="J1038" s="2" t="str">
        <f>VLOOKUP(E1038,[1]LL_Hub!$A$1:$B$13,2,FALSE)</f>
        <v>Miami</v>
      </c>
      <c r="K1038" t="str">
        <f>VLOOKUP(D1038,'[2]product Table data'!$A$2:$B$12,2,FALSE)</f>
        <v>Female</v>
      </c>
      <c r="L1038" t="str">
        <f>VLOOKUP($D1038,'[2]product Table data'!$A$2:$G$12,L$1,FALSE)</f>
        <v>Fancy Sheek</v>
      </c>
      <c r="M1038" t="str">
        <f>VLOOKUP($D1038,'[2]product Table data'!$A$2:$G$12,M$1,FALSE)</f>
        <v>Iran</v>
      </c>
      <c r="N1038" t="str">
        <f>VLOOKUP($D1038,'[2]product Table data'!$A$2:$G$12,N$1,FALSE)</f>
        <v>Middle East</v>
      </c>
      <c r="O1038">
        <f>VLOOKUP($D1038,'[2]product Table data'!$A$2:$G$12,O$1,FALSE)</f>
        <v>75</v>
      </c>
      <c r="P1038">
        <f>VLOOKUP($D1038,'[2]product Table data'!$A$2:$G$12,P$1,FALSE)</f>
        <v>125</v>
      </c>
      <c r="Q1038">
        <f t="shared" si="80"/>
        <v>50</v>
      </c>
      <c r="R1038" t="str">
        <f t="shared" si="81"/>
        <v>-</v>
      </c>
      <c r="S1038" t="str">
        <f t="shared" si="82"/>
        <v>Style Risk</v>
      </c>
      <c r="T1038" t="str">
        <f t="shared" si="83"/>
        <v>-</v>
      </c>
      <c r="U1038" t="str">
        <f t="shared" si="84"/>
        <v>High Value</v>
      </c>
    </row>
    <row r="1039" spans="1:21" hidden="1" x14ac:dyDescent="0.2">
      <c r="A1039" s="2">
        <v>900</v>
      </c>
      <c r="B1039" s="2" t="s">
        <v>9</v>
      </c>
      <c r="C1039" s="2" t="s">
        <v>1481</v>
      </c>
      <c r="D1039" s="2" t="s">
        <v>604</v>
      </c>
      <c r="E1039" s="2">
        <v>33125</v>
      </c>
      <c r="F1039" s="2" t="s">
        <v>98</v>
      </c>
      <c r="G1039" s="2" t="s">
        <v>36</v>
      </c>
      <c r="H1039" s="2">
        <v>1</v>
      </c>
      <c r="I1039" s="2" t="s">
        <v>17</v>
      </c>
      <c r="J1039" s="2" t="str">
        <f>VLOOKUP(E1039,[1]LL_Hub!$A$1:$B$13,2,FALSE)</f>
        <v>Miami</v>
      </c>
      <c r="K1039" t="str">
        <f>VLOOKUP(D1039,'[2]product Table data'!$A$2:$B$12,2,FALSE)</f>
        <v>Female</v>
      </c>
      <c r="L1039" t="str">
        <f>VLOOKUP($D1039,'[2]product Table data'!$A$2:$G$12,L$1,FALSE)</f>
        <v>Fancy Sheek</v>
      </c>
      <c r="M1039" t="str">
        <f>VLOOKUP($D1039,'[2]product Table data'!$A$2:$G$12,M$1,FALSE)</f>
        <v>Iran</v>
      </c>
      <c r="N1039" t="str">
        <f>VLOOKUP($D1039,'[2]product Table data'!$A$2:$G$12,N$1,FALSE)</f>
        <v>Middle East</v>
      </c>
      <c r="O1039">
        <f>VLOOKUP($D1039,'[2]product Table data'!$A$2:$G$12,O$1,FALSE)</f>
        <v>75</v>
      </c>
      <c r="P1039">
        <f>VLOOKUP($D1039,'[2]product Table data'!$A$2:$G$12,P$1,FALSE)</f>
        <v>125</v>
      </c>
      <c r="Q1039">
        <f t="shared" si="80"/>
        <v>50</v>
      </c>
      <c r="R1039" t="str">
        <f t="shared" si="81"/>
        <v>-</v>
      </c>
      <c r="S1039" t="str">
        <f t="shared" si="82"/>
        <v>Style Risk</v>
      </c>
      <c r="T1039" t="str">
        <f t="shared" si="83"/>
        <v>-</v>
      </c>
      <c r="U1039" t="str">
        <f t="shared" si="84"/>
        <v>High Value</v>
      </c>
    </row>
    <row r="1040" spans="1:21" hidden="1" x14ac:dyDescent="0.2">
      <c r="A1040" s="2">
        <v>901</v>
      </c>
      <c r="B1040" s="2" t="s">
        <v>9</v>
      </c>
      <c r="C1040" s="2" t="s">
        <v>1482</v>
      </c>
      <c r="D1040" s="2" t="s">
        <v>604</v>
      </c>
      <c r="E1040" s="2">
        <v>33125</v>
      </c>
      <c r="F1040" s="2" t="s">
        <v>98</v>
      </c>
      <c r="G1040" s="2" t="s">
        <v>36</v>
      </c>
      <c r="H1040" s="2">
        <v>1</v>
      </c>
      <c r="I1040" s="2" t="s">
        <v>17</v>
      </c>
      <c r="J1040" s="2" t="str">
        <f>VLOOKUP(E1040,[1]LL_Hub!$A$1:$B$13,2,FALSE)</f>
        <v>Miami</v>
      </c>
      <c r="K1040" t="str">
        <f>VLOOKUP(D1040,'[2]product Table data'!$A$2:$B$12,2,FALSE)</f>
        <v>Female</v>
      </c>
      <c r="L1040" t="str">
        <f>VLOOKUP($D1040,'[2]product Table data'!$A$2:$G$12,L$1,FALSE)</f>
        <v>Fancy Sheek</v>
      </c>
      <c r="M1040" t="str">
        <f>VLOOKUP($D1040,'[2]product Table data'!$A$2:$G$12,M$1,FALSE)</f>
        <v>Iran</v>
      </c>
      <c r="N1040" t="str">
        <f>VLOOKUP($D1040,'[2]product Table data'!$A$2:$G$12,N$1,FALSE)</f>
        <v>Middle East</v>
      </c>
      <c r="O1040">
        <f>VLOOKUP($D1040,'[2]product Table data'!$A$2:$G$12,O$1,FALSE)</f>
        <v>75</v>
      </c>
      <c r="P1040">
        <f>VLOOKUP($D1040,'[2]product Table data'!$A$2:$G$12,P$1,FALSE)</f>
        <v>125</v>
      </c>
      <c r="Q1040">
        <f t="shared" si="80"/>
        <v>50</v>
      </c>
      <c r="R1040" t="str">
        <f t="shared" si="81"/>
        <v>-</v>
      </c>
      <c r="S1040" t="str">
        <f t="shared" si="82"/>
        <v>Style Risk</v>
      </c>
      <c r="T1040" t="str">
        <f t="shared" si="83"/>
        <v>-</v>
      </c>
      <c r="U1040" t="str">
        <f t="shared" si="84"/>
        <v>High Value</v>
      </c>
    </row>
    <row r="1041" spans="1:21" hidden="1" x14ac:dyDescent="0.2">
      <c r="A1041" s="2">
        <v>902</v>
      </c>
      <c r="B1041" s="2" t="s">
        <v>9</v>
      </c>
      <c r="C1041" s="2" t="s">
        <v>1483</v>
      </c>
      <c r="D1041" s="2" t="s">
        <v>968</v>
      </c>
      <c r="E1041" s="2">
        <v>33125</v>
      </c>
      <c r="F1041" s="2" t="s">
        <v>98</v>
      </c>
      <c r="G1041" s="2" t="s">
        <v>36</v>
      </c>
      <c r="H1041" s="2">
        <v>1</v>
      </c>
      <c r="I1041" s="2" t="s">
        <v>17</v>
      </c>
      <c r="J1041" s="2" t="str">
        <f>VLOOKUP(E1041,[1]LL_Hub!$A$1:$B$13,2,FALSE)</f>
        <v>Miami</v>
      </c>
      <c r="K1041" t="str">
        <f>VLOOKUP(D1041,'[2]product Table data'!$A$2:$B$12,2,FALSE)</f>
        <v>Female</v>
      </c>
      <c r="L1041" t="str">
        <f>VLOOKUP($D1041,'[2]product Table data'!$A$2:$G$12,L$1,FALSE)</f>
        <v>Fancy Sheek</v>
      </c>
      <c r="M1041" t="str">
        <f>VLOOKUP($D1041,'[2]product Table data'!$A$2:$G$12,M$1,FALSE)</f>
        <v>Azerbaijan</v>
      </c>
      <c r="N1041" t="str">
        <f>VLOOKUP($D1041,'[2]product Table data'!$A$2:$G$12,N$1,FALSE)</f>
        <v>Middle East</v>
      </c>
      <c r="O1041">
        <f>VLOOKUP($D1041,'[2]product Table data'!$A$2:$G$12,O$1,FALSE)</f>
        <v>1200</v>
      </c>
      <c r="P1041">
        <f>VLOOKUP($D1041,'[2]product Table data'!$A$2:$G$12,P$1,FALSE)</f>
        <v>2000</v>
      </c>
      <c r="Q1041">
        <f t="shared" si="80"/>
        <v>800</v>
      </c>
      <c r="R1041" t="str">
        <f t="shared" si="81"/>
        <v>-</v>
      </c>
      <c r="S1041" t="str">
        <f t="shared" si="82"/>
        <v>Style Risk</v>
      </c>
      <c r="T1041" t="str">
        <f t="shared" si="83"/>
        <v>-</v>
      </c>
      <c r="U1041" t="str">
        <f t="shared" si="84"/>
        <v>High Value</v>
      </c>
    </row>
    <row r="1042" spans="1:21" hidden="1" x14ac:dyDescent="0.2">
      <c r="A1042" s="2">
        <v>903</v>
      </c>
      <c r="B1042" s="2" t="s">
        <v>9</v>
      </c>
      <c r="C1042" s="2" t="s">
        <v>1484</v>
      </c>
      <c r="D1042" s="2" t="s">
        <v>604</v>
      </c>
      <c r="E1042" s="2">
        <v>33125</v>
      </c>
      <c r="F1042" s="2" t="s">
        <v>98</v>
      </c>
      <c r="G1042" s="2" t="s">
        <v>36</v>
      </c>
      <c r="H1042" s="2">
        <v>1</v>
      </c>
      <c r="I1042" s="2" t="s">
        <v>17</v>
      </c>
      <c r="J1042" s="2" t="str">
        <f>VLOOKUP(E1042,[1]LL_Hub!$A$1:$B$13,2,FALSE)</f>
        <v>Miami</v>
      </c>
      <c r="K1042" t="str">
        <f>VLOOKUP(D1042,'[2]product Table data'!$A$2:$B$12,2,FALSE)</f>
        <v>Female</v>
      </c>
      <c r="L1042" t="str">
        <f>VLOOKUP($D1042,'[2]product Table data'!$A$2:$G$12,L$1,FALSE)</f>
        <v>Fancy Sheek</v>
      </c>
      <c r="M1042" t="str">
        <f>VLOOKUP($D1042,'[2]product Table data'!$A$2:$G$12,M$1,FALSE)</f>
        <v>Iran</v>
      </c>
      <c r="N1042" t="str">
        <f>VLOOKUP($D1042,'[2]product Table data'!$A$2:$G$12,N$1,FALSE)</f>
        <v>Middle East</v>
      </c>
      <c r="O1042">
        <f>VLOOKUP($D1042,'[2]product Table data'!$A$2:$G$12,O$1,FALSE)</f>
        <v>75</v>
      </c>
      <c r="P1042">
        <f>VLOOKUP($D1042,'[2]product Table data'!$A$2:$G$12,P$1,FALSE)</f>
        <v>125</v>
      </c>
      <c r="Q1042">
        <f t="shared" si="80"/>
        <v>50</v>
      </c>
      <c r="R1042" t="str">
        <f t="shared" si="81"/>
        <v>-</v>
      </c>
      <c r="S1042" t="str">
        <f t="shared" si="82"/>
        <v>Style Risk</v>
      </c>
      <c r="T1042" t="str">
        <f t="shared" si="83"/>
        <v>-</v>
      </c>
      <c r="U1042" t="str">
        <f t="shared" si="84"/>
        <v>High Value</v>
      </c>
    </row>
    <row r="1043" spans="1:21" hidden="1" x14ac:dyDescent="0.2">
      <c r="A1043" s="2">
        <v>904</v>
      </c>
      <c r="B1043" s="2" t="s">
        <v>9</v>
      </c>
      <c r="C1043" s="2" t="s">
        <v>1485</v>
      </c>
      <c r="D1043" s="2" t="s">
        <v>604</v>
      </c>
      <c r="E1043" s="2">
        <v>33125</v>
      </c>
      <c r="F1043" s="2" t="s">
        <v>98</v>
      </c>
      <c r="G1043" s="2" t="s">
        <v>36</v>
      </c>
      <c r="H1043" s="2">
        <v>1</v>
      </c>
      <c r="I1043" s="2" t="s">
        <v>17</v>
      </c>
      <c r="J1043" s="2" t="str">
        <f>VLOOKUP(E1043,[1]LL_Hub!$A$1:$B$13,2,FALSE)</f>
        <v>Miami</v>
      </c>
      <c r="K1043" t="str">
        <f>VLOOKUP(D1043,'[2]product Table data'!$A$2:$B$12,2,FALSE)</f>
        <v>Female</v>
      </c>
      <c r="L1043" t="str">
        <f>VLOOKUP($D1043,'[2]product Table data'!$A$2:$G$12,L$1,FALSE)</f>
        <v>Fancy Sheek</v>
      </c>
      <c r="M1043" t="str">
        <f>VLOOKUP($D1043,'[2]product Table data'!$A$2:$G$12,M$1,FALSE)</f>
        <v>Iran</v>
      </c>
      <c r="N1043" t="str">
        <f>VLOOKUP($D1043,'[2]product Table data'!$A$2:$G$12,N$1,FALSE)</f>
        <v>Middle East</v>
      </c>
      <c r="O1043">
        <f>VLOOKUP($D1043,'[2]product Table data'!$A$2:$G$12,O$1,FALSE)</f>
        <v>75</v>
      </c>
      <c r="P1043">
        <f>VLOOKUP($D1043,'[2]product Table data'!$A$2:$G$12,P$1,FALSE)</f>
        <v>125</v>
      </c>
      <c r="Q1043">
        <f t="shared" si="80"/>
        <v>50</v>
      </c>
      <c r="R1043" t="str">
        <f t="shared" si="81"/>
        <v>-</v>
      </c>
      <c r="S1043" t="str">
        <f t="shared" si="82"/>
        <v>Style Risk</v>
      </c>
      <c r="T1043" t="str">
        <f t="shared" si="83"/>
        <v>-</v>
      </c>
      <c r="U1043" t="str">
        <f t="shared" si="84"/>
        <v>High Value</v>
      </c>
    </row>
    <row r="1044" spans="1:21" hidden="1" x14ac:dyDescent="0.2">
      <c r="A1044" s="2">
        <v>905</v>
      </c>
      <c r="B1044" s="2" t="s">
        <v>9</v>
      </c>
      <c r="C1044" s="2" t="s">
        <v>1486</v>
      </c>
      <c r="D1044" s="2" t="s">
        <v>604</v>
      </c>
      <c r="E1044" s="2">
        <v>33125</v>
      </c>
      <c r="F1044" s="2" t="s">
        <v>98</v>
      </c>
      <c r="G1044" s="2" t="s">
        <v>36</v>
      </c>
      <c r="H1044" s="2">
        <v>1</v>
      </c>
      <c r="I1044" s="2" t="s">
        <v>17</v>
      </c>
      <c r="J1044" s="2" t="str">
        <f>VLOOKUP(E1044,[1]LL_Hub!$A$1:$B$13,2,FALSE)</f>
        <v>Miami</v>
      </c>
      <c r="K1044" t="str">
        <f>VLOOKUP(D1044,'[2]product Table data'!$A$2:$B$12,2,FALSE)</f>
        <v>Female</v>
      </c>
      <c r="L1044" t="str">
        <f>VLOOKUP($D1044,'[2]product Table data'!$A$2:$G$12,L$1,FALSE)</f>
        <v>Fancy Sheek</v>
      </c>
      <c r="M1044" t="str">
        <f>VLOOKUP($D1044,'[2]product Table data'!$A$2:$G$12,M$1,FALSE)</f>
        <v>Iran</v>
      </c>
      <c r="N1044" t="str">
        <f>VLOOKUP($D1044,'[2]product Table data'!$A$2:$G$12,N$1,FALSE)</f>
        <v>Middle East</v>
      </c>
      <c r="O1044">
        <f>VLOOKUP($D1044,'[2]product Table data'!$A$2:$G$12,O$1,FALSE)</f>
        <v>75</v>
      </c>
      <c r="P1044">
        <f>VLOOKUP($D1044,'[2]product Table data'!$A$2:$G$12,P$1,FALSE)</f>
        <v>125</v>
      </c>
      <c r="Q1044">
        <f t="shared" si="80"/>
        <v>50</v>
      </c>
      <c r="R1044" t="str">
        <f t="shared" si="81"/>
        <v>-</v>
      </c>
      <c r="S1044" t="str">
        <f t="shared" si="82"/>
        <v>Style Risk</v>
      </c>
      <c r="T1044" t="str">
        <f t="shared" si="83"/>
        <v>-</v>
      </c>
      <c r="U1044" t="str">
        <f t="shared" si="84"/>
        <v>High Value</v>
      </c>
    </row>
    <row r="1045" spans="1:21" hidden="1" x14ac:dyDescent="0.2">
      <c r="A1045" s="2">
        <v>906</v>
      </c>
      <c r="B1045" s="2" t="s">
        <v>9</v>
      </c>
      <c r="C1045" s="2" t="s">
        <v>1487</v>
      </c>
      <c r="D1045" s="2" t="s">
        <v>604</v>
      </c>
      <c r="E1045" s="2">
        <v>33125</v>
      </c>
      <c r="F1045" s="2" t="s">
        <v>98</v>
      </c>
      <c r="G1045" s="2" t="s">
        <v>36</v>
      </c>
      <c r="H1045" s="2">
        <v>1</v>
      </c>
      <c r="I1045" s="2" t="s">
        <v>17</v>
      </c>
      <c r="J1045" s="2" t="str">
        <f>VLOOKUP(E1045,[1]LL_Hub!$A$1:$B$13,2,FALSE)</f>
        <v>Miami</v>
      </c>
      <c r="K1045" t="str">
        <f>VLOOKUP(D1045,'[2]product Table data'!$A$2:$B$12,2,FALSE)</f>
        <v>Female</v>
      </c>
      <c r="L1045" t="str">
        <f>VLOOKUP($D1045,'[2]product Table data'!$A$2:$G$12,L$1,FALSE)</f>
        <v>Fancy Sheek</v>
      </c>
      <c r="M1045" t="str">
        <f>VLOOKUP($D1045,'[2]product Table data'!$A$2:$G$12,M$1,FALSE)</f>
        <v>Iran</v>
      </c>
      <c r="N1045" t="str">
        <f>VLOOKUP($D1045,'[2]product Table data'!$A$2:$G$12,N$1,FALSE)</f>
        <v>Middle East</v>
      </c>
      <c r="O1045">
        <f>VLOOKUP($D1045,'[2]product Table data'!$A$2:$G$12,O$1,FALSE)</f>
        <v>75</v>
      </c>
      <c r="P1045">
        <f>VLOOKUP($D1045,'[2]product Table data'!$A$2:$G$12,P$1,FALSE)</f>
        <v>125</v>
      </c>
      <c r="Q1045">
        <f t="shared" si="80"/>
        <v>50</v>
      </c>
      <c r="R1045" t="str">
        <f t="shared" si="81"/>
        <v>-</v>
      </c>
      <c r="S1045" t="str">
        <f t="shared" si="82"/>
        <v>Style Risk</v>
      </c>
      <c r="T1045" t="str">
        <f t="shared" si="83"/>
        <v>-</v>
      </c>
      <c r="U1045" t="str">
        <f t="shared" si="84"/>
        <v>High Value</v>
      </c>
    </row>
    <row r="1046" spans="1:21" hidden="1" x14ac:dyDescent="0.2">
      <c r="A1046" s="2">
        <v>907</v>
      </c>
      <c r="B1046" s="2" t="s">
        <v>9</v>
      </c>
      <c r="C1046" s="2" t="s">
        <v>1488</v>
      </c>
      <c r="D1046" s="2" t="s">
        <v>604</v>
      </c>
      <c r="E1046" s="2">
        <v>33125</v>
      </c>
      <c r="F1046" s="2" t="s">
        <v>98</v>
      </c>
      <c r="G1046" s="2" t="s">
        <v>36</v>
      </c>
      <c r="H1046" s="2">
        <v>1</v>
      </c>
      <c r="I1046" s="2" t="s">
        <v>17</v>
      </c>
      <c r="J1046" s="2" t="str">
        <f>VLOOKUP(E1046,[1]LL_Hub!$A$1:$B$13,2,FALSE)</f>
        <v>Miami</v>
      </c>
      <c r="K1046" t="str">
        <f>VLOOKUP(D1046,'[2]product Table data'!$A$2:$B$12,2,FALSE)</f>
        <v>Female</v>
      </c>
      <c r="L1046" t="str">
        <f>VLOOKUP($D1046,'[2]product Table data'!$A$2:$G$12,L$1,FALSE)</f>
        <v>Fancy Sheek</v>
      </c>
      <c r="M1046" t="str">
        <f>VLOOKUP($D1046,'[2]product Table data'!$A$2:$G$12,M$1,FALSE)</f>
        <v>Iran</v>
      </c>
      <c r="N1046" t="str">
        <f>VLOOKUP($D1046,'[2]product Table data'!$A$2:$G$12,N$1,FALSE)</f>
        <v>Middle East</v>
      </c>
      <c r="O1046">
        <f>VLOOKUP($D1046,'[2]product Table data'!$A$2:$G$12,O$1,FALSE)</f>
        <v>75</v>
      </c>
      <c r="P1046">
        <f>VLOOKUP($D1046,'[2]product Table data'!$A$2:$G$12,P$1,FALSE)</f>
        <v>125</v>
      </c>
      <c r="Q1046">
        <f t="shared" si="80"/>
        <v>50</v>
      </c>
      <c r="R1046" t="str">
        <f t="shared" si="81"/>
        <v>-</v>
      </c>
      <c r="S1046" t="str">
        <f t="shared" si="82"/>
        <v>Style Risk</v>
      </c>
      <c r="T1046" t="str">
        <f t="shared" si="83"/>
        <v>-</v>
      </c>
      <c r="U1046" t="str">
        <f t="shared" si="84"/>
        <v>High Value</v>
      </c>
    </row>
    <row r="1047" spans="1:21" hidden="1" x14ac:dyDescent="0.2">
      <c r="A1047" s="2">
        <v>908</v>
      </c>
      <c r="B1047" s="2" t="s">
        <v>9</v>
      </c>
      <c r="C1047" s="2" t="s">
        <v>1489</v>
      </c>
      <c r="D1047" s="2" t="s">
        <v>604</v>
      </c>
      <c r="E1047" s="2">
        <v>33125</v>
      </c>
      <c r="F1047" s="2" t="s">
        <v>1490</v>
      </c>
      <c r="G1047" s="2" t="s">
        <v>13</v>
      </c>
      <c r="H1047" s="2">
        <v>1</v>
      </c>
      <c r="I1047" s="2" t="s">
        <v>17</v>
      </c>
      <c r="J1047" s="2" t="str">
        <f>VLOOKUP(E1047,[1]LL_Hub!$A$1:$B$13,2,FALSE)</f>
        <v>Miami</v>
      </c>
      <c r="K1047" t="str">
        <f>VLOOKUP(D1047,'[2]product Table data'!$A$2:$B$12,2,FALSE)</f>
        <v>Female</v>
      </c>
      <c r="L1047" t="str">
        <f>VLOOKUP($D1047,'[2]product Table data'!$A$2:$G$12,L$1,FALSE)</f>
        <v>Fancy Sheek</v>
      </c>
      <c r="M1047" t="str">
        <f>VLOOKUP($D1047,'[2]product Table data'!$A$2:$G$12,M$1,FALSE)</f>
        <v>Iran</v>
      </c>
      <c r="N1047" t="str">
        <f>VLOOKUP($D1047,'[2]product Table data'!$A$2:$G$12,N$1,FALSE)</f>
        <v>Middle East</v>
      </c>
      <c r="O1047">
        <f>VLOOKUP($D1047,'[2]product Table data'!$A$2:$G$12,O$1,FALSE)</f>
        <v>75</v>
      </c>
      <c r="P1047">
        <f>VLOOKUP($D1047,'[2]product Table data'!$A$2:$G$12,P$1,FALSE)</f>
        <v>125</v>
      </c>
      <c r="Q1047">
        <f t="shared" si="80"/>
        <v>50</v>
      </c>
      <c r="R1047" t="str">
        <f t="shared" si="81"/>
        <v>-</v>
      </c>
      <c r="S1047" t="str">
        <f t="shared" si="82"/>
        <v>Style Risk</v>
      </c>
      <c r="T1047" t="str">
        <f t="shared" si="83"/>
        <v>-</v>
      </c>
      <c r="U1047" t="str">
        <f t="shared" si="84"/>
        <v>High Value</v>
      </c>
    </row>
    <row r="1048" spans="1:21" hidden="1" x14ac:dyDescent="0.2">
      <c r="A1048" s="2">
        <v>909</v>
      </c>
      <c r="B1048" s="2" t="s">
        <v>9</v>
      </c>
      <c r="C1048" s="2" t="s">
        <v>1491</v>
      </c>
      <c r="D1048" s="2" t="s">
        <v>604</v>
      </c>
      <c r="E1048" s="2">
        <v>33125</v>
      </c>
      <c r="F1048" s="2" t="s">
        <v>1492</v>
      </c>
      <c r="G1048" s="2" t="s">
        <v>13</v>
      </c>
      <c r="H1048" s="2">
        <v>1</v>
      </c>
      <c r="I1048" s="2" t="s">
        <v>17</v>
      </c>
      <c r="J1048" s="2" t="str">
        <f>VLOOKUP(E1048,[1]LL_Hub!$A$1:$B$13,2,FALSE)</f>
        <v>Miami</v>
      </c>
      <c r="K1048" t="str">
        <f>VLOOKUP(D1048,'[2]product Table data'!$A$2:$B$12,2,FALSE)</f>
        <v>Female</v>
      </c>
      <c r="L1048" t="str">
        <f>VLOOKUP($D1048,'[2]product Table data'!$A$2:$G$12,L$1,FALSE)</f>
        <v>Fancy Sheek</v>
      </c>
      <c r="M1048" t="str">
        <f>VLOOKUP($D1048,'[2]product Table data'!$A$2:$G$12,M$1,FALSE)</f>
        <v>Iran</v>
      </c>
      <c r="N1048" t="str">
        <f>VLOOKUP($D1048,'[2]product Table data'!$A$2:$G$12,N$1,FALSE)</f>
        <v>Middle East</v>
      </c>
      <c r="O1048">
        <f>VLOOKUP($D1048,'[2]product Table data'!$A$2:$G$12,O$1,FALSE)</f>
        <v>75</v>
      </c>
      <c r="P1048">
        <f>VLOOKUP($D1048,'[2]product Table data'!$A$2:$G$12,P$1,FALSE)</f>
        <v>125</v>
      </c>
      <c r="Q1048">
        <f t="shared" si="80"/>
        <v>50</v>
      </c>
      <c r="R1048" t="str">
        <f t="shared" si="81"/>
        <v>-</v>
      </c>
      <c r="S1048" t="str">
        <f t="shared" si="82"/>
        <v>Style Risk</v>
      </c>
      <c r="T1048" t="str">
        <f t="shared" si="83"/>
        <v>-</v>
      </c>
      <c r="U1048" t="str">
        <f t="shared" si="84"/>
        <v>High Value</v>
      </c>
    </row>
    <row r="1049" spans="1:21" hidden="1" x14ac:dyDescent="0.2">
      <c r="A1049" s="2">
        <v>910</v>
      </c>
      <c r="B1049" s="2" t="s">
        <v>9</v>
      </c>
      <c r="C1049" s="2" t="s">
        <v>1493</v>
      </c>
      <c r="D1049" s="2" t="s">
        <v>604</v>
      </c>
      <c r="E1049" s="2">
        <v>33125</v>
      </c>
      <c r="F1049" s="2" t="s">
        <v>1494</v>
      </c>
      <c r="G1049" s="2" t="s">
        <v>13</v>
      </c>
      <c r="H1049" s="2">
        <v>1</v>
      </c>
      <c r="I1049" s="2" t="s">
        <v>17</v>
      </c>
      <c r="J1049" s="2" t="str">
        <f>VLOOKUP(E1049,[1]LL_Hub!$A$1:$B$13,2,FALSE)</f>
        <v>Miami</v>
      </c>
      <c r="K1049" t="str">
        <f>VLOOKUP(D1049,'[2]product Table data'!$A$2:$B$12,2,FALSE)</f>
        <v>Female</v>
      </c>
      <c r="L1049" t="str">
        <f>VLOOKUP($D1049,'[2]product Table data'!$A$2:$G$12,L$1,FALSE)</f>
        <v>Fancy Sheek</v>
      </c>
      <c r="M1049" t="str">
        <f>VLOOKUP($D1049,'[2]product Table data'!$A$2:$G$12,M$1,FALSE)</f>
        <v>Iran</v>
      </c>
      <c r="N1049" t="str">
        <f>VLOOKUP($D1049,'[2]product Table data'!$A$2:$G$12,N$1,FALSE)</f>
        <v>Middle East</v>
      </c>
      <c r="O1049">
        <f>VLOOKUP($D1049,'[2]product Table data'!$A$2:$G$12,O$1,FALSE)</f>
        <v>75</v>
      </c>
      <c r="P1049">
        <f>VLOOKUP($D1049,'[2]product Table data'!$A$2:$G$12,P$1,FALSE)</f>
        <v>125</v>
      </c>
      <c r="Q1049">
        <f t="shared" si="80"/>
        <v>50</v>
      </c>
      <c r="R1049" t="str">
        <f t="shared" si="81"/>
        <v>-</v>
      </c>
      <c r="S1049" t="str">
        <f t="shared" si="82"/>
        <v>Style Risk</v>
      </c>
      <c r="T1049" t="str">
        <f t="shared" si="83"/>
        <v>-</v>
      </c>
      <c r="U1049" t="str">
        <f t="shared" si="84"/>
        <v>High Value</v>
      </c>
    </row>
    <row r="1050" spans="1:21" hidden="1" x14ac:dyDescent="0.2">
      <c r="A1050" s="2">
        <v>911</v>
      </c>
      <c r="B1050" s="2" t="s">
        <v>9</v>
      </c>
      <c r="C1050" s="2" t="s">
        <v>1495</v>
      </c>
      <c r="D1050" s="2" t="s">
        <v>604</v>
      </c>
      <c r="E1050" s="2">
        <v>33125</v>
      </c>
      <c r="F1050" s="2" t="s">
        <v>1496</v>
      </c>
      <c r="G1050" s="2" t="s">
        <v>13</v>
      </c>
      <c r="H1050" s="2">
        <v>1</v>
      </c>
      <c r="I1050" s="2" t="s">
        <v>17</v>
      </c>
      <c r="J1050" s="2" t="str">
        <f>VLOOKUP(E1050,[1]LL_Hub!$A$1:$B$13,2,FALSE)</f>
        <v>Miami</v>
      </c>
      <c r="K1050" t="str">
        <f>VLOOKUP(D1050,'[2]product Table data'!$A$2:$B$12,2,FALSE)</f>
        <v>Female</v>
      </c>
      <c r="L1050" t="str">
        <f>VLOOKUP($D1050,'[2]product Table data'!$A$2:$G$12,L$1,FALSE)</f>
        <v>Fancy Sheek</v>
      </c>
      <c r="M1050" t="str">
        <f>VLOOKUP($D1050,'[2]product Table data'!$A$2:$G$12,M$1,FALSE)</f>
        <v>Iran</v>
      </c>
      <c r="N1050" t="str">
        <f>VLOOKUP($D1050,'[2]product Table data'!$A$2:$G$12,N$1,FALSE)</f>
        <v>Middle East</v>
      </c>
      <c r="O1050">
        <f>VLOOKUP($D1050,'[2]product Table data'!$A$2:$G$12,O$1,FALSE)</f>
        <v>75</v>
      </c>
      <c r="P1050">
        <f>VLOOKUP($D1050,'[2]product Table data'!$A$2:$G$12,P$1,FALSE)</f>
        <v>125</v>
      </c>
      <c r="Q1050">
        <f t="shared" si="80"/>
        <v>50</v>
      </c>
      <c r="R1050" t="str">
        <f t="shared" si="81"/>
        <v>-</v>
      </c>
      <c r="S1050" t="str">
        <f t="shared" si="82"/>
        <v>Style Risk</v>
      </c>
      <c r="T1050" t="str">
        <f t="shared" si="83"/>
        <v>-</v>
      </c>
      <c r="U1050" t="str">
        <f t="shared" si="84"/>
        <v>High Value</v>
      </c>
    </row>
    <row r="1051" spans="1:21" hidden="1" x14ac:dyDescent="0.2">
      <c r="A1051" s="2">
        <v>912</v>
      </c>
      <c r="B1051" s="2" t="s">
        <v>9</v>
      </c>
      <c r="C1051" s="2" t="s">
        <v>1497</v>
      </c>
      <c r="D1051" s="2" t="s">
        <v>604</v>
      </c>
      <c r="E1051" s="2">
        <v>33125</v>
      </c>
      <c r="F1051" s="2" t="s">
        <v>1362</v>
      </c>
      <c r="G1051" s="2" t="s">
        <v>36</v>
      </c>
      <c r="H1051" s="2">
        <v>1</v>
      </c>
      <c r="I1051" s="2" t="s">
        <v>17</v>
      </c>
      <c r="J1051" s="2" t="str">
        <f>VLOOKUP(E1051,[1]LL_Hub!$A$1:$B$13,2,FALSE)</f>
        <v>Miami</v>
      </c>
      <c r="K1051" t="str">
        <f>VLOOKUP(D1051,'[2]product Table data'!$A$2:$B$12,2,FALSE)</f>
        <v>Female</v>
      </c>
      <c r="L1051" t="str">
        <f>VLOOKUP($D1051,'[2]product Table data'!$A$2:$G$12,L$1,FALSE)</f>
        <v>Fancy Sheek</v>
      </c>
      <c r="M1051" t="str">
        <f>VLOOKUP($D1051,'[2]product Table data'!$A$2:$G$12,M$1,FALSE)</f>
        <v>Iran</v>
      </c>
      <c r="N1051" t="str">
        <f>VLOOKUP($D1051,'[2]product Table data'!$A$2:$G$12,N$1,FALSE)</f>
        <v>Middle East</v>
      </c>
      <c r="O1051">
        <f>VLOOKUP($D1051,'[2]product Table data'!$A$2:$G$12,O$1,FALSE)</f>
        <v>75</v>
      </c>
      <c r="P1051">
        <f>VLOOKUP($D1051,'[2]product Table data'!$A$2:$G$12,P$1,FALSE)</f>
        <v>125</v>
      </c>
      <c r="Q1051">
        <f t="shared" si="80"/>
        <v>50</v>
      </c>
      <c r="R1051" t="str">
        <f t="shared" si="81"/>
        <v>-</v>
      </c>
      <c r="S1051" t="str">
        <f t="shared" si="82"/>
        <v>Style Risk</v>
      </c>
      <c r="T1051" t="str">
        <f t="shared" si="83"/>
        <v>-</v>
      </c>
      <c r="U1051" t="str">
        <f t="shared" si="84"/>
        <v>High Value</v>
      </c>
    </row>
    <row r="1052" spans="1:21" hidden="1" x14ac:dyDescent="0.2">
      <c r="A1052" s="2">
        <v>913</v>
      </c>
      <c r="B1052" s="2" t="s">
        <v>9</v>
      </c>
      <c r="C1052" s="2" t="s">
        <v>1498</v>
      </c>
      <c r="D1052" s="2" t="s">
        <v>604</v>
      </c>
      <c r="E1052" s="2">
        <v>33125</v>
      </c>
      <c r="F1052" s="2" t="s">
        <v>1499</v>
      </c>
      <c r="G1052" s="2" t="s">
        <v>13</v>
      </c>
      <c r="H1052" s="2">
        <v>1</v>
      </c>
      <c r="I1052" s="2" t="s">
        <v>17</v>
      </c>
      <c r="J1052" s="2" t="str">
        <f>VLOOKUP(E1052,[1]LL_Hub!$A$1:$B$13,2,FALSE)</f>
        <v>Miami</v>
      </c>
      <c r="K1052" t="str">
        <f>VLOOKUP(D1052,'[2]product Table data'!$A$2:$B$12,2,FALSE)</f>
        <v>Female</v>
      </c>
      <c r="L1052" t="str">
        <f>VLOOKUP($D1052,'[2]product Table data'!$A$2:$G$12,L$1,FALSE)</f>
        <v>Fancy Sheek</v>
      </c>
      <c r="M1052" t="str">
        <f>VLOOKUP($D1052,'[2]product Table data'!$A$2:$G$12,M$1,FALSE)</f>
        <v>Iran</v>
      </c>
      <c r="N1052" t="str">
        <f>VLOOKUP($D1052,'[2]product Table data'!$A$2:$G$12,N$1,FALSE)</f>
        <v>Middle East</v>
      </c>
      <c r="O1052">
        <f>VLOOKUP($D1052,'[2]product Table data'!$A$2:$G$12,O$1,FALSE)</f>
        <v>75</v>
      </c>
      <c r="P1052">
        <f>VLOOKUP($D1052,'[2]product Table data'!$A$2:$G$12,P$1,FALSE)</f>
        <v>125</v>
      </c>
      <c r="Q1052">
        <f t="shared" si="80"/>
        <v>50</v>
      </c>
      <c r="R1052" t="str">
        <f t="shared" si="81"/>
        <v>-</v>
      </c>
      <c r="S1052" t="str">
        <f t="shared" si="82"/>
        <v>Style Risk</v>
      </c>
      <c r="T1052" t="str">
        <f t="shared" si="83"/>
        <v>-</v>
      </c>
      <c r="U1052" t="str">
        <f t="shared" si="84"/>
        <v>High Value</v>
      </c>
    </row>
    <row r="1053" spans="1:21" hidden="1" x14ac:dyDescent="0.2">
      <c r="A1053" s="2">
        <v>914</v>
      </c>
      <c r="B1053" s="2" t="s">
        <v>9</v>
      </c>
      <c r="C1053" s="2" t="s">
        <v>1500</v>
      </c>
      <c r="D1053" s="2" t="s">
        <v>604</v>
      </c>
      <c r="E1053" s="2">
        <v>33125</v>
      </c>
      <c r="F1053" s="2" t="s">
        <v>1362</v>
      </c>
      <c r="G1053" s="2" t="s">
        <v>36</v>
      </c>
      <c r="H1053" s="2">
        <v>1</v>
      </c>
      <c r="I1053" s="2" t="s">
        <v>17</v>
      </c>
      <c r="J1053" s="2" t="str">
        <f>VLOOKUP(E1053,[1]LL_Hub!$A$1:$B$13,2,FALSE)</f>
        <v>Miami</v>
      </c>
      <c r="K1053" t="str">
        <f>VLOOKUP(D1053,'[2]product Table data'!$A$2:$B$12,2,FALSE)</f>
        <v>Female</v>
      </c>
      <c r="L1053" t="str">
        <f>VLOOKUP($D1053,'[2]product Table data'!$A$2:$G$12,L$1,FALSE)</f>
        <v>Fancy Sheek</v>
      </c>
      <c r="M1053" t="str">
        <f>VLOOKUP($D1053,'[2]product Table data'!$A$2:$G$12,M$1,FALSE)</f>
        <v>Iran</v>
      </c>
      <c r="N1053" t="str">
        <f>VLOOKUP($D1053,'[2]product Table data'!$A$2:$G$12,N$1,FALSE)</f>
        <v>Middle East</v>
      </c>
      <c r="O1053">
        <f>VLOOKUP($D1053,'[2]product Table data'!$A$2:$G$12,O$1,FALSE)</f>
        <v>75</v>
      </c>
      <c r="P1053">
        <f>VLOOKUP($D1053,'[2]product Table data'!$A$2:$G$12,P$1,FALSE)</f>
        <v>125</v>
      </c>
      <c r="Q1053">
        <f t="shared" si="80"/>
        <v>50</v>
      </c>
      <c r="R1053" t="str">
        <f t="shared" si="81"/>
        <v>-</v>
      </c>
      <c r="S1053" t="str">
        <f t="shared" si="82"/>
        <v>Style Risk</v>
      </c>
      <c r="T1053" t="str">
        <f t="shared" si="83"/>
        <v>-</v>
      </c>
      <c r="U1053" t="str">
        <f t="shared" si="84"/>
        <v>High Value</v>
      </c>
    </row>
    <row r="1054" spans="1:21" hidden="1" x14ac:dyDescent="0.2">
      <c r="A1054" s="2">
        <v>915</v>
      </c>
      <c r="B1054" s="2" t="s">
        <v>9</v>
      </c>
      <c r="C1054" s="2" t="s">
        <v>1501</v>
      </c>
      <c r="D1054" s="2" t="s">
        <v>604</v>
      </c>
      <c r="E1054" s="2">
        <v>33125</v>
      </c>
      <c r="F1054" s="2" t="s">
        <v>1362</v>
      </c>
      <c r="G1054" s="2" t="s">
        <v>36</v>
      </c>
      <c r="H1054" s="2">
        <v>1</v>
      </c>
      <c r="I1054" s="2" t="s">
        <v>17</v>
      </c>
      <c r="J1054" s="2" t="str">
        <f>VLOOKUP(E1054,[1]LL_Hub!$A$1:$B$13,2,FALSE)</f>
        <v>Miami</v>
      </c>
      <c r="K1054" t="str">
        <f>VLOOKUP(D1054,'[2]product Table data'!$A$2:$B$12,2,FALSE)</f>
        <v>Female</v>
      </c>
      <c r="L1054" t="str">
        <f>VLOOKUP($D1054,'[2]product Table data'!$A$2:$G$12,L$1,FALSE)</f>
        <v>Fancy Sheek</v>
      </c>
      <c r="M1054" t="str">
        <f>VLOOKUP($D1054,'[2]product Table data'!$A$2:$G$12,M$1,FALSE)</f>
        <v>Iran</v>
      </c>
      <c r="N1054" t="str">
        <f>VLOOKUP($D1054,'[2]product Table data'!$A$2:$G$12,N$1,FALSE)</f>
        <v>Middle East</v>
      </c>
      <c r="O1054">
        <f>VLOOKUP($D1054,'[2]product Table data'!$A$2:$G$12,O$1,FALSE)</f>
        <v>75</v>
      </c>
      <c r="P1054">
        <f>VLOOKUP($D1054,'[2]product Table data'!$A$2:$G$12,P$1,FALSE)</f>
        <v>125</v>
      </c>
      <c r="Q1054">
        <f t="shared" si="80"/>
        <v>50</v>
      </c>
      <c r="R1054" t="str">
        <f t="shared" si="81"/>
        <v>-</v>
      </c>
      <c r="S1054" t="str">
        <f t="shared" si="82"/>
        <v>Style Risk</v>
      </c>
      <c r="T1054" t="str">
        <f t="shared" si="83"/>
        <v>-</v>
      </c>
      <c r="U1054" t="str">
        <f t="shared" si="84"/>
        <v>High Value</v>
      </c>
    </row>
    <row r="1055" spans="1:21" hidden="1" x14ac:dyDescent="0.2">
      <c r="A1055" s="2">
        <v>916</v>
      </c>
      <c r="B1055" s="2" t="s">
        <v>9</v>
      </c>
      <c r="C1055" s="2" t="s">
        <v>1502</v>
      </c>
      <c r="D1055" s="2" t="s">
        <v>604</v>
      </c>
      <c r="E1055" s="2">
        <v>33125</v>
      </c>
      <c r="F1055" s="2" t="s">
        <v>1362</v>
      </c>
      <c r="G1055" s="2" t="s">
        <v>36</v>
      </c>
      <c r="H1055" s="2">
        <v>1</v>
      </c>
      <c r="I1055" s="2" t="s">
        <v>17</v>
      </c>
      <c r="J1055" s="2" t="str">
        <f>VLOOKUP(E1055,[1]LL_Hub!$A$1:$B$13,2,FALSE)</f>
        <v>Miami</v>
      </c>
      <c r="K1055" t="str">
        <f>VLOOKUP(D1055,'[2]product Table data'!$A$2:$B$12,2,FALSE)</f>
        <v>Female</v>
      </c>
      <c r="L1055" t="str">
        <f>VLOOKUP($D1055,'[2]product Table data'!$A$2:$G$12,L$1,FALSE)</f>
        <v>Fancy Sheek</v>
      </c>
      <c r="M1055" t="str">
        <f>VLOOKUP($D1055,'[2]product Table data'!$A$2:$G$12,M$1,FALSE)</f>
        <v>Iran</v>
      </c>
      <c r="N1055" t="str">
        <f>VLOOKUP($D1055,'[2]product Table data'!$A$2:$G$12,N$1,FALSE)</f>
        <v>Middle East</v>
      </c>
      <c r="O1055">
        <f>VLOOKUP($D1055,'[2]product Table data'!$A$2:$G$12,O$1,FALSE)</f>
        <v>75</v>
      </c>
      <c r="P1055">
        <f>VLOOKUP($D1055,'[2]product Table data'!$A$2:$G$12,P$1,FALSE)</f>
        <v>125</v>
      </c>
      <c r="Q1055">
        <f t="shared" si="80"/>
        <v>50</v>
      </c>
      <c r="R1055" t="str">
        <f t="shared" si="81"/>
        <v>-</v>
      </c>
      <c r="S1055" t="str">
        <f t="shared" si="82"/>
        <v>Style Risk</v>
      </c>
      <c r="T1055" t="str">
        <f t="shared" si="83"/>
        <v>-</v>
      </c>
      <c r="U1055" t="str">
        <f t="shared" si="84"/>
        <v>High Value</v>
      </c>
    </row>
    <row r="1056" spans="1:21" hidden="1" x14ac:dyDescent="0.2">
      <c r="A1056" s="2">
        <v>917</v>
      </c>
      <c r="B1056" s="2" t="s">
        <v>9</v>
      </c>
      <c r="C1056" s="2" t="s">
        <v>1503</v>
      </c>
      <c r="D1056" s="2" t="s">
        <v>604</v>
      </c>
      <c r="E1056" s="2">
        <v>33125</v>
      </c>
      <c r="F1056" s="2" t="s">
        <v>1504</v>
      </c>
      <c r="G1056" s="2" t="s">
        <v>13</v>
      </c>
      <c r="H1056" s="2">
        <v>1</v>
      </c>
      <c r="I1056" s="2" t="s">
        <v>17</v>
      </c>
      <c r="J1056" s="2" t="str">
        <f>VLOOKUP(E1056,[1]LL_Hub!$A$1:$B$13,2,FALSE)</f>
        <v>Miami</v>
      </c>
      <c r="K1056" t="str">
        <f>VLOOKUP(D1056,'[2]product Table data'!$A$2:$B$12,2,FALSE)</f>
        <v>Female</v>
      </c>
      <c r="L1056" t="str">
        <f>VLOOKUP($D1056,'[2]product Table data'!$A$2:$G$12,L$1,FALSE)</f>
        <v>Fancy Sheek</v>
      </c>
      <c r="M1056" t="str">
        <f>VLOOKUP($D1056,'[2]product Table data'!$A$2:$G$12,M$1,FALSE)</f>
        <v>Iran</v>
      </c>
      <c r="N1056" t="str">
        <f>VLOOKUP($D1056,'[2]product Table data'!$A$2:$G$12,N$1,FALSE)</f>
        <v>Middle East</v>
      </c>
      <c r="O1056">
        <f>VLOOKUP($D1056,'[2]product Table data'!$A$2:$G$12,O$1,FALSE)</f>
        <v>75</v>
      </c>
      <c r="P1056">
        <f>VLOOKUP($D1056,'[2]product Table data'!$A$2:$G$12,P$1,FALSE)</f>
        <v>125</v>
      </c>
      <c r="Q1056">
        <f t="shared" si="80"/>
        <v>50</v>
      </c>
      <c r="R1056" t="str">
        <f t="shared" si="81"/>
        <v>-</v>
      </c>
      <c r="S1056" t="str">
        <f t="shared" si="82"/>
        <v>Style Risk</v>
      </c>
      <c r="T1056" t="str">
        <f t="shared" si="83"/>
        <v>-</v>
      </c>
      <c r="U1056" t="str">
        <f t="shared" si="84"/>
        <v>High Value</v>
      </c>
    </row>
    <row r="1057" spans="1:21" hidden="1" x14ac:dyDescent="0.2">
      <c r="A1057" s="2">
        <v>918</v>
      </c>
      <c r="B1057" s="2" t="s">
        <v>9</v>
      </c>
      <c r="C1057" s="2" t="s">
        <v>1505</v>
      </c>
      <c r="D1057" s="2" t="s">
        <v>604</v>
      </c>
      <c r="E1057" s="2">
        <v>33125</v>
      </c>
      <c r="F1057" s="2" t="s">
        <v>1506</v>
      </c>
      <c r="G1057" s="2" t="s">
        <v>13</v>
      </c>
      <c r="H1057" s="2">
        <v>1</v>
      </c>
      <c r="I1057" s="2" t="s">
        <v>17</v>
      </c>
      <c r="J1057" s="2" t="str">
        <f>VLOOKUP(E1057,[1]LL_Hub!$A$1:$B$13,2,FALSE)</f>
        <v>Miami</v>
      </c>
      <c r="K1057" t="str">
        <f>VLOOKUP(D1057,'[2]product Table data'!$A$2:$B$12,2,FALSE)</f>
        <v>Female</v>
      </c>
      <c r="L1057" t="str">
        <f>VLOOKUP($D1057,'[2]product Table data'!$A$2:$G$12,L$1,FALSE)</f>
        <v>Fancy Sheek</v>
      </c>
      <c r="M1057" t="str">
        <f>VLOOKUP($D1057,'[2]product Table data'!$A$2:$G$12,M$1,FALSE)</f>
        <v>Iran</v>
      </c>
      <c r="N1057" t="str">
        <f>VLOOKUP($D1057,'[2]product Table data'!$A$2:$G$12,N$1,FALSE)</f>
        <v>Middle East</v>
      </c>
      <c r="O1057">
        <f>VLOOKUP($D1057,'[2]product Table data'!$A$2:$G$12,O$1,FALSE)</f>
        <v>75</v>
      </c>
      <c r="P1057">
        <f>VLOOKUP($D1057,'[2]product Table data'!$A$2:$G$12,P$1,FALSE)</f>
        <v>125</v>
      </c>
      <c r="Q1057">
        <f t="shared" si="80"/>
        <v>50</v>
      </c>
      <c r="R1057" t="str">
        <f t="shared" si="81"/>
        <v>-</v>
      </c>
      <c r="S1057" t="str">
        <f t="shared" si="82"/>
        <v>Style Risk</v>
      </c>
      <c r="T1057" t="str">
        <f t="shared" si="83"/>
        <v>-</v>
      </c>
      <c r="U1057" t="str">
        <f t="shared" si="84"/>
        <v>High Value</v>
      </c>
    </row>
    <row r="1058" spans="1:21" hidden="1" x14ac:dyDescent="0.2">
      <c r="A1058" s="2">
        <v>919</v>
      </c>
      <c r="B1058" s="2" t="s">
        <v>9</v>
      </c>
      <c r="C1058" s="2" t="s">
        <v>1507</v>
      </c>
      <c r="D1058" s="2" t="s">
        <v>604</v>
      </c>
      <c r="E1058" s="2">
        <v>33125</v>
      </c>
      <c r="F1058" s="2" t="s">
        <v>1508</v>
      </c>
      <c r="G1058" s="2" t="s">
        <v>13</v>
      </c>
      <c r="H1058" s="2">
        <v>1</v>
      </c>
      <c r="I1058" s="2" t="s">
        <v>17</v>
      </c>
      <c r="J1058" s="2" t="str">
        <f>VLOOKUP(E1058,[1]LL_Hub!$A$1:$B$13,2,FALSE)</f>
        <v>Miami</v>
      </c>
      <c r="K1058" t="str">
        <f>VLOOKUP(D1058,'[2]product Table data'!$A$2:$B$12,2,FALSE)</f>
        <v>Female</v>
      </c>
      <c r="L1058" t="str">
        <f>VLOOKUP($D1058,'[2]product Table data'!$A$2:$G$12,L$1,FALSE)</f>
        <v>Fancy Sheek</v>
      </c>
      <c r="M1058" t="str">
        <f>VLOOKUP($D1058,'[2]product Table data'!$A$2:$G$12,M$1,FALSE)</f>
        <v>Iran</v>
      </c>
      <c r="N1058" t="str">
        <f>VLOOKUP($D1058,'[2]product Table data'!$A$2:$G$12,N$1,FALSE)</f>
        <v>Middle East</v>
      </c>
      <c r="O1058">
        <f>VLOOKUP($D1058,'[2]product Table data'!$A$2:$G$12,O$1,FALSE)</f>
        <v>75</v>
      </c>
      <c r="P1058">
        <f>VLOOKUP($D1058,'[2]product Table data'!$A$2:$G$12,P$1,FALSE)</f>
        <v>125</v>
      </c>
      <c r="Q1058">
        <f t="shared" si="80"/>
        <v>50</v>
      </c>
      <c r="R1058" t="str">
        <f t="shared" si="81"/>
        <v>-</v>
      </c>
      <c r="S1058" t="str">
        <f t="shared" si="82"/>
        <v>Style Risk</v>
      </c>
      <c r="T1058" t="str">
        <f t="shared" si="83"/>
        <v>-</v>
      </c>
      <c r="U1058" t="str">
        <f t="shared" si="84"/>
        <v>High Value</v>
      </c>
    </row>
    <row r="1059" spans="1:21" hidden="1" x14ac:dyDescent="0.2">
      <c r="A1059" s="2">
        <v>920</v>
      </c>
      <c r="B1059" s="2" t="s">
        <v>9</v>
      </c>
      <c r="C1059" s="2" t="s">
        <v>1509</v>
      </c>
      <c r="D1059" s="2" t="s">
        <v>566</v>
      </c>
      <c r="E1059" s="2">
        <v>80123</v>
      </c>
      <c r="F1059" s="2" t="s">
        <v>1510</v>
      </c>
      <c r="G1059" s="2" t="s">
        <v>13</v>
      </c>
      <c r="H1059" s="2">
        <v>1</v>
      </c>
      <c r="I1059" s="2" t="s">
        <v>39</v>
      </c>
      <c r="J1059" s="2" t="str">
        <f>VLOOKUP(E1059,[1]LL_Hub!$A$1:$B$13,2,FALSE)</f>
        <v>Denver</v>
      </c>
      <c r="K1059" t="str">
        <f>VLOOKUP(D1059,'[2]product Table data'!$A$2:$B$12,2,FALSE)</f>
        <v>Female</v>
      </c>
      <c r="L1059" t="str">
        <f>VLOOKUP($D1059,'[2]product Table data'!$A$2:$G$12,L$1,FALSE)</f>
        <v>Casual n Light</v>
      </c>
      <c r="M1059" t="str">
        <f>VLOOKUP($D1059,'[2]product Table data'!$A$2:$G$12,M$1,FALSE)</f>
        <v>Guatemala</v>
      </c>
      <c r="N1059" t="str">
        <f>VLOOKUP($D1059,'[2]product Table data'!$A$2:$G$12,N$1,FALSE)</f>
        <v>Central America</v>
      </c>
      <c r="O1059">
        <f>VLOOKUP($D1059,'[2]product Table data'!$A$2:$G$12,O$1,FALSE)</f>
        <v>25</v>
      </c>
      <c r="P1059">
        <f>VLOOKUP($D1059,'[2]product Table data'!$A$2:$G$12,P$1,FALSE)</f>
        <v>30</v>
      </c>
      <c r="Q1059">
        <f t="shared" si="80"/>
        <v>5</v>
      </c>
      <c r="R1059" t="str">
        <f t="shared" si="81"/>
        <v>Hub Risk</v>
      </c>
      <c r="S1059" t="str">
        <f t="shared" si="82"/>
        <v>Style Risk</v>
      </c>
      <c r="T1059" t="str">
        <f t="shared" si="83"/>
        <v>Risk</v>
      </c>
      <c r="U1059" t="str">
        <f t="shared" si="84"/>
        <v>Low Value</v>
      </c>
    </row>
    <row r="1060" spans="1:21" hidden="1" x14ac:dyDescent="0.2">
      <c r="A1060" s="2">
        <v>921</v>
      </c>
      <c r="B1060" s="2" t="s">
        <v>9</v>
      </c>
      <c r="C1060" s="2" t="s">
        <v>1511</v>
      </c>
      <c r="D1060" s="2" t="s">
        <v>566</v>
      </c>
      <c r="E1060" s="2">
        <v>80123</v>
      </c>
      <c r="F1060" s="2" t="s">
        <v>1512</v>
      </c>
      <c r="G1060" s="2" t="s">
        <v>13</v>
      </c>
      <c r="H1060" s="2">
        <v>1</v>
      </c>
      <c r="I1060" s="2" t="s">
        <v>39</v>
      </c>
      <c r="J1060" s="2" t="str">
        <f>VLOOKUP(E1060,[1]LL_Hub!$A$1:$B$13,2,FALSE)</f>
        <v>Denver</v>
      </c>
      <c r="K1060" t="str">
        <f>VLOOKUP(D1060,'[2]product Table data'!$A$2:$B$12,2,FALSE)</f>
        <v>Female</v>
      </c>
      <c r="L1060" t="str">
        <f>VLOOKUP($D1060,'[2]product Table data'!$A$2:$G$12,L$1,FALSE)</f>
        <v>Casual n Light</v>
      </c>
      <c r="M1060" t="str">
        <f>VLOOKUP($D1060,'[2]product Table data'!$A$2:$G$12,M$1,FALSE)</f>
        <v>Guatemala</v>
      </c>
      <c r="N1060" t="str">
        <f>VLOOKUP($D1060,'[2]product Table data'!$A$2:$G$12,N$1,FALSE)</f>
        <v>Central America</v>
      </c>
      <c r="O1060">
        <f>VLOOKUP($D1060,'[2]product Table data'!$A$2:$G$12,O$1,FALSE)</f>
        <v>25</v>
      </c>
      <c r="P1060">
        <f>VLOOKUP($D1060,'[2]product Table data'!$A$2:$G$12,P$1,FALSE)</f>
        <v>30</v>
      </c>
      <c r="Q1060">
        <f t="shared" si="80"/>
        <v>5</v>
      </c>
      <c r="R1060" t="str">
        <f t="shared" si="81"/>
        <v>Hub Risk</v>
      </c>
      <c r="S1060" t="str">
        <f t="shared" si="82"/>
        <v>Style Risk</v>
      </c>
      <c r="T1060" t="str">
        <f t="shared" si="83"/>
        <v>Risk</v>
      </c>
      <c r="U1060" t="str">
        <f t="shared" si="84"/>
        <v>Low Value</v>
      </c>
    </row>
    <row r="1061" spans="1:21" hidden="1" x14ac:dyDescent="0.2">
      <c r="A1061" s="2">
        <v>922</v>
      </c>
      <c r="B1061" s="2" t="s">
        <v>9</v>
      </c>
      <c r="C1061" s="2" t="s">
        <v>1513</v>
      </c>
      <c r="D1061" s="2" t="s">
        <v>566</v>
      </c>
      <c r="E1061" s="2">
        <v>80123</v>
      </c>
      <c r="F1061" s="2" t="s">
        <v>496</v>
      </c>
      <c r="G1061" s="2" t="s">
        <v>36</v>
      </c>
      <c r="H1061" s="2">
        <v>1</v>
      </c>
      <c r="I1061" s="2" t="s">
        <v>39</v>
      </c>
      <c r="J1061" s="2" t="str">
        <f>VLOOKUP(E1061,[1]LL_Hub!$A$1:$B$13,2,FALSE)</f>
        <v>Denver</v>
      </c>
      <c r="K1061" t="str">
        <f>VLOOKUP(D1061,'[2]product Table data'!$A$2:$B$12,2,FALSE)</f>
        <v>Female</v>
      </c>
      <c r="L1061" t="str">
        <f>VLOOKUP($D1061,'[2]product Table data'!$A$2:$G$12,L$1,FALSE)</f>
        <v>Casual n Light</v>
      </c>
      <c r="M1061" t="str">
        <f>VLOOKUP($D1061,'[2]product Table data'!$A$2:$G$12,M$1,FALSE)</f>
        <v>Guatemala</v>
      </c>
      <c r="N1061" t="str">
        <f>VLOOKUP($D1061,'[2]product Table data'!$A$2:$G$12,N$1,FALSE)</f>
        <v>Central America</v>
      </c>
      <c r="O1061">
        <f>VLOOKUP($D1061,'[2]product Table data'!$A$2:$G$12,O$1,FALSE)</f>
        <v>25</v>
      </c>
      <c r="P1061">
        <f>VLOOKUP($D1061,'[2]product Table data'!$A$2:$G$12,P$1,FALSE)</f>
        <v>30</v>
      </c>
      <c r="Q1061">
        <f t="shared" si="80"/>
        <v>5</v>
      </c>
      <c r="R1061" t="str">
        <f t="shared" si="81"/>
        <v>Hub Risk</v>
      </c>
      <c r="S1061" t="str">
        <f t="shared" si="82"/>
        <v>Style Risk</v>
      </c>
      <c r="T1061" t="str">
        <f t="shared" si="83"/>
        <v>Risk</v>
      </c>
      <c r="U1061" t="str">
        <f t="shared" si="84"/>
        <v>Low Value</v>
      </c>
    </row>
    <row r="1062" spans="1:21" hidden="1" x14ac:dyDescent="0.2">
      <c r="A1062" s="2">
        <v>923</v>
      </c>
      <c r="B1062" s="2" t="s">
        <v>9</v>
      </c>
      <c r="C1062" s="2" t="s">
        <v>1514</v>
      </c>
      <c r="D1062" s="2" t="s">
        <v>566</v>
      </c>
      <c r="E1062" s="2">
        <v>80123</v>
      </c>
      <c r="F1062" s="2" t="s">
        <v>496</v>
      </c>
      <c r="G1062" s="2" t="s">
        <v>36</v>
      </c>
      <c r="H1062" s="2">
        <v>1</v>
      </c>
      <c r="I1062" s="2" t="s">
        <v>39</v>
      </c>
      <c r="J1062" s="2" t="str">
        <f>VLOOKUP(E1062,[1]LL_Hub!$A$1:$B$13,2,FALSE)</f>
        <v>Denver</v>
      </c>
      <c r="K1062" t="str">
        <f>VLOOKUP(D1062,'[2]product Table data'!$A$2:$B$12,2,FALSE)</f>
        <v>Female</v>
      </c>
      <c r="L1062" t="str">
        <f>VLOOKUP($D1062,'[2]product Table data'!$A$2:$G$12,L$1,FALSE)</f>
        <v>Casual n Light</v>
      </c>
      <c r="M1062" t="str">
        <f>VLOOKUP($D1062,'[2]product Table data'!$A$2:$G$12,M$1,FALSE)</f>
        <v>Guatemala</v>
      </c>
      <c r="N1062" t="str">
        <f>VLOOKUP($D1062,'[2]product Table data'!$A$2:$G$12,N$1,FALSE)</f>
        <v>Central America</v>
      </c>
      <c r="O1062">
        <f>VLOOKUP($D1062,'[2]product Table data'!$A$2:$G$12,O$1,FALSE)</f>
        <v>25</v>
      </c>
      <c r="P1062">
        <f>VLOOKUP($D1062,'[2]product Table data'!$A$2:$G$12,P$1,FALSE)</f>
        <v>30</v>
      </c>
      <c r="Q1062">
        <f t="shared" si="80"/>
        <v>5</v>
      </c>
      <c r="R1062" t="str">
        <f t="shared" si="81"/>
        <v>Hub Risk</v>
      </c>
      <c r="S1062" t="str">
        <f t="shared" si="82"/>
        <v>Style Risk</v>
      </c>
      <c r="T1062" t="str">
        <f t="shared" si="83"/>
        <v>Risk</v>
      </c>
      <c r="U1062" t="str">
        <f t="shared" si="84"/>
        <v>Low Value</v>
      </c>
    </row>
    <row r="1063" spans="1:21" hidden="1" x14ac:dyDescent="0.2">
      <c r="A1063" s="2">
        <v>924</v>
      </c>
      <c r="B1063" s="2" t="s">
        <v>9</v>
      </c>
      <c r="C1063" s="2" t="s">
        <v>1515</v>
      </c>
      <c r="D1063" s="2" t="s">
        <v>566</v>
      </c>
      <c r="E1063" s="2">
        <v>80123</v>
      </c>
      <c r="F1063" s="2" t="s">
        <v>496</v>
      </c>
      <c r="G1063" s="2" t="s">
        <v>36</v>
      </c>
      <c r="H1063" s="2">
        <v>1</v>
      </c>
      <c r="I1063" s="2" t="s">
        <v>39</v>
      </c>
      <c r="J1063" s="2" t="str">
        <f>VLOOKUP(E1063,[1]LL_Hub!$A$1:$B$13,2,FALSE)</f>
        <v>Denver</v>
      </c>
      <c r="K1063" t="str">
        <f>VLOOKUP(D1063,'[2]product Table data'!$A$2:$B$12,2,FALSE)</f>
        <v>Female</v>
      </c>
      <c r="L1063" t="str">
        <f>VLOOKUP($D1063,'[2]product Table data'!$A$2:$G$12,L$1,FALSE)</f>
        <v>Casual n Light</v>
      </c>
      <c r="M1063" t="str">
        <f>VLOOKUP($D1063,'[2]product Table data'!$A$2:$G$12,M$1,FALSE)</f>
        <v>Guatemala</v>
      </c>
      <c r="N1063" t="str">
        <f>VLOOKUP($D1063,'[2]product Table data'!$A$2:$G$12,N$1,FALSE)</f>
        <v>Central America</v>
      </c>
      <c r="O1063">
        <f>VLOOKUP($D1063,'[2]product Table data'!$A$2:$G$12,O$1,FALSE)</f>
        <v>25</v>
      </c>
      <c r="P1063">
        <f>VLOOKUP($D1063,'[2]product Table data'!$A$2:$G$12,P$1,FALSE)</f>
        <v>30</v>
      </c>
      <c r="Q1063">
        <f t="shared" si="80"/>
        <v>5</v>
      </c>
      <c r="R1063" t="str">
        <f t="shared" si="81"/>
        <v>Hub Risk</v>
      </c>
      <c r="S1063" t="str">
        <f t="shared" si="82"/>
        <v>Style Risk</v>
      </c>
      <c r="T1063" t="str">
        <f t="shared" si="83"/>
        <v>Risk</v>
      </c>
      <c r="U1063" t="str">
        <f t="shared" si="84"/>
        <v>Low Value</v>
      </c>
    </row>
    <row r="1064" spans="1:21" hidden="1" x14ac:dyDescent="0.2">
      <c r="A1064" s="2">
        <v>925</v>
      </c>
      <c r="B1064" s="2" t="s">
        <v>9</v>
      </c>
      <c r="C1064" s="2" t="s">
        <v>1516</v>
      </c>
      <c r="D1064" s="2" t="s">
        <v>566</v>
      </c>
      <c r="E1064" s="2">
        <v>80123</v>
      </c>
      <c r="F1064" s="2" t="s">
        <v>496</v>
      </c>
      <c r="G1064" s="2" t="s">
        <v>36</v>
      </c>
      <c r="H1064" s="2">
        <v>1</v>
      </c>
      <c r="I1064" s="2" t="s">
        <v>39</v>
      </c>
      <c r="J1064" s="2" t="str">
        <f>VLOOKUP(E1064,[1]LL_Hub!$A$1:$B$13,2,FALSE)</f>
        <v>Denver</v>
      </c>
      <c r="K1064" t="str">
        <f>VLOOKUP(D1064,'[2]product Table data'!$A$2:$B$12,2,FALSE)</f>
        <v>Female</v>
      </c>
      <c r="L1064" t="str">
        <f>VLOOKUP($D1064,'[2]product Table data'!$A$2:$G$12,L$1,FALSE)</f>
        <v>Casual n Light</v>
      </c>
      <c r="M1064" t="str">
        <f>VLOOKUP($D1064,'[2]product Table data'!$A$2:$G$12,M$1,FALSE)</f>
        <v>Guatemala</v>
      </c>
      <c r="N1064" t="str">
        <f>VLOOKUP($D1064,'[2]product Table data'!$A$2:$G$12,N$1,FALSE)</f>
        <v>Central America</v>
      </c>
      <c r="O1064">
        <f>VLOOKUP($D1064,'[2]product Table data'!$A$2:$G$12,O$1,FALSE)</f>
        <v>25</v>
      </c>
      <c r="P1064">
        <f>VLOOKUP($D1064,'[2]product Table data'!$A$2:$G$12,P$1,FALSE)</f>
        <v>30</v>
      </c>
      <c r="Q1064">
        <f t="shared" si="80"/>
        <v>5</v>
      </c>
      <c r="R1064" t="str">
        <f t="shared" si="81"/>
        <v>Hub Risk</v>
      </c>
      <c r="S1064" t="str">
        <f t="shared" si="82"/>
        <v>Style Risk</v>
      </c>
      <c r="T1064" t="str">
        <f t="shared" si="83"/>
        <v>Risk</v>
      </c>
      <c r="U1064" t="str">
        <f t="shared" si="84"/>
        <v>Low Value</v>
      </c>
    </row>
    <row r="1065" spans="1:21" hidden="1" x14ac:dyDescent="0.2">
      <c r="A1065" s="2">
        <v>926</v>
      </c>
      <c r="B1065" s="2" t="s">
        <v>9</v>
      </c>
      <c r="C1065" s="2" t="s">
        <v>1517</v>
      </c>
      <c r="D1065" s="2" t="s">
        <v>566</v>
      </c>
      <c r="E1065" s="2">
        <v>80123</v>
      </c>
      <c r="F1065" s="2" t="s">
        <v>496</v>
      </c>
      <c r="G1065" s="2" t="s">
        <v>36</v>
      </c>
      <c r="H1065" s="2">
        <v>1</v>
      </c>
      <c r="I1065" s="2" t="s">
        <v>39</v>
      </c>
      <c r="J1065" s="2" t="str">
        <f>VLOOKUP(E1065,[1]LL_Hub!$A$1:$B$13,2,FALSE)</f>
        <v>Denver</v>
      </c>
      <c r="K1065" t="str">
        <f>VLOOKUP(D1065,'[2]product Table data'!$A$2:$B$12,2,FALSE)</f>
        <v>Female</v>
      </c>
      <c r="L1065" t="str">
        <f>VLOOKUP($D1065,'[2]product Table data'!$A$2:$G$12,L$1,FALSE)</f>
        <v>Casual n Light</v>
      </c>
      <c r="M1065" t="str">
        <f>VLOOKUP($D1065,'[2]product Table data'!$A$2:$G$12,M$1,FALSE)</f>
        <v>Guatemala</v>
      </c>
      <c r="N1065" t="str">
        <f>VLOOKUP($D1065,'[2]product Table data'!$A$2:$G$12,N$1,FALSE)</f>
        <v>Central America</v>
      </c>
      <c r="O1065">
        <f>VLOOKUP($D1065,'[2]product Table data'!$A$2:$G$12,O$1,FALSE)</f>
        <v>25</v>
      </c>
      <c r="P1065">
        <f>VLOOKUP($D1065,'[2]product Table data'!$A$2:$G$12,P$1,FALSE)</f>
        <v>30</v>
      </c>
      <c r="Q1065">
        <f t="shared" si="80"/>
        <v>5</v>
      </c>
      <c r="R1065" t="str">
        <f t="shared" si="81"/>
        <v>Hub Risk</v>
      </c>
      <c r="S1065" t="str">
        <f t="shared" si="82"/>
        <v>Style Risk</v>
      </c>
      <c r="T1065" t="str">
        <f t="shared" si="83"/>
        <v>Risk</v>
      </c>
      <c r="U1065" t="str">
        <f t="shared" si="84"/>
        <v>Low Value</v>
      </c>
    </row>
    <row r="1066" spans="1:21" hidden="1" x14ac:dyDescent="0.2">
      <c r="A1066" s="2">
        <v>927</v>
      </c>
      <c r="B1066" s="2" t="s">
        <v>9</v>
      </c>
      <c r="C1066" s="2" t="s">
        <v>1518</v>
      </c>
      <c r="D1066" s="2" t="s">
        <v>566</v>
      </c>
      <c r="E1066" s="2">
        <v>80123</v>
      </c>
      <c r="F1066" s="2" t="s">
        <v>496</v>
      </c>
      <c r="G1066" s="2" t="s">
        <v>36</v>
      </c>
      <c r="H1066" s="2">
        <v>1</v>
      </c>
      <c r="I1066" s="2" t="s">
        <v>39</v>
      </c>
      <c r="J1066" s="2" t="str">
        <f>VLOOKUP(E1066,[1]LL_Hub!$A$1:$B$13,2,FALSE)</f>
        <v>Denver</v>
      </c>
      <c r="K1066" t="str">
        <f>VLOOKUP(D1066,'[2]product Table data'!$A$2:$B$12,2,FALSE)</f>
        <v>Female</v>
      </c>
      <c r="L1066" t="str">
        <f>VLOOKUP($D1066,'[2]product Table data'!$A$2:$G$12,L$1,FALSE)</f>
        <v>Casual n Light</v>
      </c>
      <c r="M1066" t="str">
        <f>VLOOKUP($D1066,'[2]product Table data'!$A$2:$G$12,M$1,FALSE)</f>
        <v>Guatemala</v>
      </c>
      <c r="N1066" t="str">
        <f>VLOOKUP($D1066,'[2]product Table data'!$A$2:$G$12,N$1,FALSE)</f>
        <v>Central America</v>
      </c>
      <c r="O1066">
        <f>VLOOKUP($D1066,'[2]product Table data'!$A$2:$G$12,O$1,FALSE)</f>
        <v>25</v>
      </c>
      <c r="P1066">
        <f>VLOOKUP($D1066,'[2]product Table data'!$A$2:$G$12,P$1,FALSE)</f>
        <v>30</v>
      </c>
      <c r="Q1066">
        <f t="shared" si="80"/>
        <v>5</v>
      </c>
      <c r="R1066" t="str">
        <f t="shared" si="81"/>
        <v>Hub Risk</v>
      </c>
      <c r="S1066" t="str">
        <f t="shared" si="82"/>
        <v>Style Risk</v>
      </c>
      <c r="T1066" t="str">
        <f t="shared" si="83"/>
        <v>Risk</v>
      </c>
      <c r="U1066" t="str">
        <f t="shared" si="84"/>
        <v>Low Value</v>
      </c>
    </row>
    <row r="1067" spans="1:21" hidden="1" x14ac:dyDescent="0.2">
      <c r="A1067" s="2">
        <v>928</v>
      </c>
      <c r="B1067" s="2" t="s">
        <v>9</v>
      </c>
      <c r="C1067" s="2" t="s">
        <v>1519</v>
      </c>
      <c r="D1067" s="2" t="s">
        <v>566</v>
      </c>
      <c r="E1067" s="2">
        <v>80123</v>
      </c>
      <c r="F1067" s="2" t="s">
        <v>496</v>
      </c>
      <c r="G1067" s="2" t="s">
        <v>36</v>
      </c>
      <c r="H1067" s="2">
        <v>1</v>
      </c>
      <c r="I1067" s="2" t="s">
        <v>39</v>
      </c>
      <c r="J1067" s="2" t="str">
        <f>VLOOKUP(E1067,[1]LL_Hub!$A$1:$B$13,2,FALSE)</f>
        <v>Denver</v>
      </c>
      <c r="K1067" t="str">
        <f>VLOOKUP(D1067,'[2]product Table data'!$A$2:$B$12,2,FALSE)</f>
        <v>Female</v>
      </c>
      <c r="L1067" t="str">
        <f>VLOOKUP($D1067,'[2]product Table data'!$A$2:$G$12,L$1,FALSE)</f>
        <v>Casual n Light</v>
      </c>
      <c r="M1067" t="str">
        <f>VLOOKUP($D1067,'[2]product Table data'!$A$2:$G$12,M$1,FALSE)</f>
        <v>Guatemala</v>
      </c>
      <c r="N1067" t="str">
        <f>VLOOKUP($D1067,'[2]product Table data'!$A$2:$G$12,N$1,FALSE)</f>
        <v>Central America</v>
      </c>
      <c r="O1067">
        <f>VLOOKUP($D1067,'[2]product Table data'!$A$2:$G$12,O$1,FALSE)</f>
        <v>25</v>
      </c>
      <c r="P1067">
        <f>VLOOKUP($D1067,'[2]product Table data'!$A$2:$G$12,P$1,FALSE)</f>
        <v>30</v>
      </c>
      <c r="Q1067">
        <f t="shared" si="80"/>
        <v>5</v>
      </c>
      <c r="R1067" t="str">
        <f t="shared" si="81"/>
        <v>Hub Risk</v>
      </c>
      <c r="S1067" t="str">
        <f t="shared" si="82"/>
        <v>Style Risk</v>
      </c>
      <c r="T1067" t="str">
        <f t="shared" si="83"/>
        <v>Risk</v>
      </c>
      <c r="U1067" t="str">
        <f t="shared" si="84"/>
        <v>Low Value</v>
      </c>
    </row>
    <row r="1068" spans="1:21" hidden="1" x14ac:dyDescent="0.2">
      <c r="A1068" s="2">
        <v>929</v>
      </c>
      <c r="B1068" s="2" t="s">
        <v>9</v>
      </c>
      <c r="C1068" s="2" t="s">
        <v>1520</v>
      </c>
      <c r="D1068" s="2" t="s">
        <v>505</v>
      </c>
      <c r="E1068" s="2">
        <v>80123</v>
      </c>
      <c r="F1068" s="2" t="s">
        <v>496</v>
      </c>
      <c r="G1068" s="2" t="s">
        <v>36</v>
      </c>
      <c r="H1068" s="2">
        <v>1</v>
      </c>
      <c r="I1068" s="2" t="s">
        <v>39</v>
      </c>
      <c r="J1068" s="2" t="str">
        <f>VLOOKUP(E1068,[1]LL_Hub!$A$1:$B$13,2,FALSE)</f>
        <v>Denver</v>
      </c>
      <c r="K1068" t="str">
        <f>VLOOKUP(D1068,'[2]product Table data'!$A$2:$B$12,2,FALSE)</f>
        <v>Female</v>
      </c>
      <c r="L1068" t="str">
        <f>VLOOKUP($D1068,'[2]product Table data'!$A$2:$G$12,L$1,FALSE)</f>
        <v>Casual n Light</v>
      </c>
      <c r="M1068" t="str">
        <f>VLOOKUP($D1068,'[2]product Table data'!$A$2:$G$12,M$1,FALSE)</f>
        <v>Honduras</v>
      </c>
      <c r="N1068" t="str">
        <f>VLOOKUP($D1068,'[2]product Table data'!$A$2:$G$12,N$1,FALSE)</f>
        <v>Central America</v>
      </c>
      <c r="O1068">
        <f>VLOOKUP($D1068,'[2]product Table data'!$A$2:$G$12,O$1,FALSE)</f>
        <v>30</v>
      </c>
      <c r="P1068">
        <f>VLOOKUP($D1068,'[2]product Table data'!$A$2:$G$12,P$1,FALSE)</f>
        <v>45</v>
      </c>
      <c r="Q1068">
        <f t="shared" si="80"/>
        <v>15</v>
      </c>
      <c r="R1068" t="str">
        <f t="shared" si="81"/>
        <v>Hub Risk</v>
      </c>
      <c r="S1068" t="str">
        <f t="shared" si="82"/>
        <v>Style Risk</v>
      </c>
      <c r="T1068" t="str">
        <f t="shared" si="83"/>
        <v>Risk</v>
      </c>
      <c r="U1068" t="str">
        <f t="shared" si="84"/>
        <v>High Value</v>
      </c>
    </row>
    <row r="1069" spans="1:21" hidden="1" x14ac:dyDescent="0.2">
      <c r="A1069" s="2">
        <v>930</v>
      </c>
      <c r="B1069" s="2" t="s">
        <v>9</v>
      </c>
      <c r="C1069" s="2" t="s">
        <v>1521</v>
      </c>
      <c r="D1069" s="2" t="s">
        <v>566</v>
      </c>
      <c r="E1069" s="2">
        <v>80123</v>
      </c>
      <c r="F1069" s="2" t="s">
        <v>496</v>
      </c>
      <c r="G1069" s="2" t="s">
        <v>36</v>
      </c>
      <c r="H1069" s="2">
        <v>1</v>
      </c>
      <c r="I1069" s="2" t="s">
        <v>39</v>
      </c>
      <c r="J1069" s="2" t="str">
        <f>VLOOKUP(E1069,[1]LL_Hub!$A$1:$B$13,2,FALSE)</f>
        <v>Denver</v>
      </c>
      <c r="K1069" t="str">
        <f>VLOOKUP(D1069,'[2]product Table data'!$A$2:$B$12,2,FALSE)</f>
        <v>Female</v>
      </c>
      <c r="L1069" t="str">
        <f>VLOOKUP($D1069,'[2]product Table data'!$A$2:$G$12,L$1,FALSE)</f>
        <v>Casual n Light</v>
      </c>
      <c r="M1069" t="str">
        <f>VLOOKUP($D1069,'[2]product Table data'!$A$2:$G$12,M$1,FALSE)</f>
        <v>Guatemala</v>
      </c>
      <c r="N1069" t="str">
        <f>VLOOKUP($D1069,'[2]product Table data'!$A$2:$G$12,N$1,FALSE)</f>
        <v>Central America</v>
      </c>
      <c r="O1069">
        <f>VLOOKUP($D1069,'[2]product Table data'!$A$2:$G$12,O$1,FALSE)</f>
        <v>25</v>
      </c>
      <c r="P1069">
        <f>VLOOKUP($D1069,'[2]product Table data'!$A$2:$G$12,P$1,FALSE)</f>
        <v>30</v>
      </c>
      <c r="Q1069">
        <f t="shared" si="80"/>
        <v>5</v>
      </c>
      <c r="R1069" t="str">
        <f t="shared" si="81"/>
        <v>Hub Risk</v>
      </c>
      <c r="S1069" t="str">
        <f t="shared" si="82"/>
        <v>Style Risk</v>
      </c>
      <c r="T1069" t="str">
        <f t="shared" si="83"/>
        <v>Risk</v>
      </c>
      <c r="U1069" t="str">
        <f t="shared" si="84"/>
        <v>Low Value</v>
      </c>
    </row>
    <row r="1070" spans="1:21" hidden="1" x14ac:dyDescent="0.2">
      <c r="A1070" s="2">
        <v>931</v>
      </c>
      <c r="B1070" s="2" t="s">
        <v>9</v>
      </c>
      <c r="C1070" s="2" t="s">
        <v>1522</v>
      </c>
      <c r="D1070" s="2" t="s">
        <v>566</v>
      </c>
      <c r="E1070" s="2">
        <v>80123</v>
      </c>
      <c r="F1070" s="2" t="s">
        <v>1523</v>
      </c>
      <c r="G1070" s="2" t="s">
        <v>13</v>
      </c>
      <c r="H1070" s="2">
        <v>1</v>
      </c>
      <c r="I1070" s="2" t="s">
        <v>39</v>
      </c>
      <c r="J1070" s="2" t="str">
        <f>VLOOKUP(E1070,[1]LL_Hub!$A$1:$B$13,2,FALSE)</f>
        <v>Denver</v>
      </c>
      <c r="K1070" t="str">
        <f>VLOOKUP(D1070,'[2]product Table data'!$A$2:$B$12,2,FALSE)</f>
        <v>Female</v>
      </c>
      <c r="L1070" t="str">
        <f>VLOOKUP($D1070,'[2]product Table data'!$A$2:$G$12,L$1,FALSE)</f>
        <v>Casual n Light</v>
      </c>
      <c r="M1070" t="str">
        <f>VLOOKUP($D1070,'[2]product Table data'!$A$2:$G$12,M$1,FALSE)</f>
        <v>Guatemala</v>
      </c>
      <c r="N1070" t="str">
        <f>VLOOKUP($D1070,'[2]product Table data'!$A$2:$G$12,N$1,FALSE)</f>
        <v>Central America</v>
      </c>
      <c r="O1070">
        <f>VLOOKUP($D1070,'[2]product Table data'!$A$2:$G$12,O$1,FALSE)</f>
        <v>25</v>
      </c>
      <c r="P1070">
        <f>VLOOKUP($D1070,'[2]product Table data'!$A$2:$G$12,P$1,FALSE)</f>
        <v>30</v>
      </c>
      <c r="Q1070">
        <f t="shared" si="80"/>
        <v>5</v>
      </c>
      <c r="R1070" t="str">
        <f t="shared" si="81"/>
        <v>Hub Risk</v>
      </c>
      <c r="S1070" t="str">
        <f t="shared" si="82"/>
        <v>Style Risk</v>
      </c>
      <c r="T1070" t="str">
        <f t="shared" si="83"/>
        <v>Risk</v>
      </c>
      <c r="U1070" t="str">
        <f t="shared" si="84"/>
        <v>Low Value</v>
      </c>
    </row>
    <row r="1071" spans="1:21" hidden="1" x14ac:dyDescent="0.2">
      <c r="A1071" s="2">
        <v>932</v>
      </c>
      <c r="B1071" s="2" t="s">
        <v>9</v>
      </c>
      <c r="C1071" s="2" t="s">
        <v>1524</v>
      </c>
      <c r="D1071" s="2" t="s">
        <v>566</v>
      </c>
      <c r="E1071" s="2">
        <v>80123</v>
      </c>
      <c r="F1071" s="2" t="s">
        <v>1525</v>
      </c>
      <c r="G1071" s="2" t="s">
        <v>13</v>
      </c>
      <c r="H1071" s="2">
        <v>1</v>
      </c>
      <c r="I1071" s="2" t="s">
        <v>39</v>
      </c>
      <c r="J1071" s="2" t="str">
        <f>VLOOKUP(E1071,[1]LL_Hub!$A$1:$B$13,2,FALSE)</f>
        <v>Denver</v>
      </c>
      <c r="K1071" t="str">
        <f>VLOOKUP(D1071,'[2]product Table data'!$A$2:$B$12,2,FALSE)</f>
        <v>Female</v>
      </c>
      <c r="L1071" t="str">
        <f>VLOOKUP($D1071,'[2]product Table data'!$A$2:$G$12,L$1,FALSE)</f>
        <v>Casual n Light</v>
      </c>
      <c r="M1071" t="str">
        <f>VLOOKUP($D1071,'[2]product Table data'!$A$2:$G$12,M$1,FALSE)</f>
        <v>Guatemala</v>
      </c>
      <c r="N1071" t="str">
        <f>VLOOKUP($D1071,'[2]product Table data'!$A$2:$G$12,N$1,FALSE)</f>
        <v>Central America</v>
      </c>
      <c r="O1071">
        <f>VLOOKUP($D1071,'[2]product Table data'!$A$2:$G$12,O$1,FALSE)</f>
        <v>25</v>
      </c>
      <c r="P1071">
        <f>VLOOKUP($D1071,'[2]product Table data'!$A$2:$G$12,P$1,FALSE)</f>
        <v>30</v>
      </c>
      <c r="Q1071">
        <f t="shared" si="80"/>
        <v>5</v>
      </c>
      <c r="R1071" t="str">
        <f t="shared" si="81"/>
        <v>Hub Risk</v>
      </c>
      <c r="S1071" t="str">
        <f t="shared" si="82"/>
        <v>Style Risk</v>
      </c>
      <c r="T1071" t="str">
        <f t="shared" si="83"/>
        <v>Risk</v>
      </c>
      <c r="U1071" t="str">
        <f t="shared" si="84"/>
        <v>Low Value</v>
      </c>
    </row>
    <row r="1072" spans="1:21" hidden="1" x14ac:dyDescent="0.2">
      <c r="A1072" s="2">
        <v>933</v>
      </c>
      <c r="B1072" s="2" t="s">
        <v>9</v>
      </c>
      <c r="C1072" s="2" t="s">
        <v>1526</v>
      </c>
      <c r="D1072" s="2" t="s">
        <v>566</v>
      </c>
      <c r="E1072" s="2">
        <v>80123</v>
      </c>
      <c r="F1072" s="2" t="s">
        <v>1527</v>
      </c>
      <c r="G1072" s="2" t="s">
        <v>13</v>
      </c>
      <c r="H1072" s="2">
        <v>1</v>
      </c>
      <c r="I1072" s="2" t="s">
        <v>39</v>
      </c>
      <c r="J1072" s="2" t="str">
        <f>VLOOKUP(E1072,[1]LL_Hub!$A$1:$B$13,2,FALSE)</f>
        <v>Denver</v>
      </c>
      <c r="K1072" t="str">
        <f>VLOOKUP(D1072,'[2]product Table data'!$A$2:$B$12,2,FALSE)</f>
        <v>Female</v>
      </c>
      <c r="L1072" t="str">
        <f>VLOOKUP($D1072,'[2]product Table data'!$A$2:$G$12,L$1,FALSE)</f>
        <v>Casual n Light</v>
      </c>
      <c r="M1072" t="str">
        <f>VLOOKUP($D1072,'[2]product Table data'!$A$2:$G$12,M$1,FALSE)</f>
        <v>Guatemala</v>
      </c>
      <c r="N1072" t="str">
        <f>VLOOKUP($D1072,'[2]product Table data'!$A$2:$G$12,N$1,FALSE)</f>
        <v>Central America</v>
      </c>
      <c r="O1072">
        <f>VLOOKUP($D1072,'[2]product Table data'!$A$2:$G$12,O$1,FALSE)</f>
        <v>25</v>
      </c>
      <c r="P1072">
        <f>VLOOKUP($D1072,'[2]product Table data'!$A$2:$G$12,P$1,FALSE)</f>
        <v>30</v>
      </c>
      <c r="Q1072">
        <f t="shared" si="80"/>
        <v>5</v>
      </c>
      <c r="R1072" t="str">
        <f t="shared" si="81"/>
        <v>Hub Risk</v>
      </c>
      <c r="S1072" t="str">
        <f t="shared" si="82"/>
        <v>Style Risk</v>
      </c>
      <c r="T1072" t="str">
        <f t="shared" si="83"/>
        <v>Risk</v>
      </c>
      <c r="U1072" t="str">
        <f t="shared" si="84"/>
        <v>Low Value</v>
      </c>
    </row>
    <row r="1073" spans="1:21" hidden="1" x14ac:dyDescent="0.2">
      <c r="A1073" s="2">
        <v>934</v>
      </c>
      <c r="B1073" s="2" t="s">
        <v>9</v>
      </c>
      <c r="C1073" s="2" t="s">
        <v>1528</v>
      </c>
      <c r="D1073" s="2" t="s">
        <v>566</v>
      </c>
      <c r="E1073" s="2">
        <v>80123</v>
      </c>
      <c r="F1073" s="2" t="s">
        <v>1529</v>
      </c>
      <c r="G1073" s="2" t="s">
        <v>13</v>
      </c>
      <c r="H1073" s="2">
        <v>1</v>
      </c>
      <c r="I1073" s="2" t="s">
        <v>39</v>
      </c>
      <c r="J1073" s="2" t="str">
        <f>VLOOKUP(E1073,[1]LL_Hub!$A$1:$B$13,2,FALSE)</f>
        <v>Denver</v>
      </c>
      <c r="K1073" t="str">
        <f>VLOOKUP(D1073,'[2]product Table data'!$A$2:$B$12,2,FALSE)</f>
        <v>Female</v>
      </c>
      <c r="L1073" t="str">
        <f>VLOOKUP($D1073,'[2]product Table data'!$A$2:$G$12,L$1,FALSE)</f>
        <v>Casual n Light</v>
      </c>
      <c r="M1073" t="str">
        <f>VLOOKUP($D1073,'[2]product Table data'!$A$2:$G$12,M$1,FALSE)</f>
        <v>Guatemala</v>
      </c>
      <c r="N1073" t="str">
        <f>VLOOKUP($D1073,'[2]product Table data'!$A$2:$G$12,N$1,FALSE)</f>
        <v>Central America</v>
      </c>
      <c r="O1073">
        <f>VLOOKUP($D1073,'[2]product Table data'!$A$2:$G$12,O$1,FALSE)</f>
        <v>25</v>
      </c>
      <c r="P1073">
        <f>VLOOKUP($D1073,'[2]product Table data'!$A$2:$G$12,P$1,FALSE)</f>
        <v>30</v>
      </c>
      <c r="Q1073">
        <f t="shared" si="80"/>
        <v>5</v>
      </c>
      <c r="R1073" t="str">
        <f t="shared" si="81"/>
        <v>Hub Risk</v>
      </c>
      <c r="S1073" t="str">
        <f t="shared" si="82"/>
        <v>Style Risk</v>
      </c>
      <c r="T1073" t="str">
        <f t="shared" si="83"/>
        <v>Risk</v>
      </c>
      <c r="U1073" t="str">
        <f t="shared" si="84"/>
        <v>Low Value</v>
      </c>
    </row>
    <row r="1074" spans="1:21" hidden="1" x14ac:dyDescent="0.2">
      <c r="A1074" s="2">
        <v>935</v>
      </c>
      <c r="B1074" s="2" t="s">
        <v>9</v>
      </c>
      <c r="C1074" s="2" t="s">
        <v>1530</v>
      </c>
      <c r="D1074" s="2" t="s">
        <v>566</v>
      </c>
      <c r="E1074" s="2">
        <v>80123</v>
      </c>
      <c r="F1074" s="2" t="s">
        <v>1531</v>
      </c>
      <c r="G1074" s="2" t="s">
        <v>13</v>
      </c>
      <c r="H1074" s="2">
        <v>1</v>
      </c>
      <c r="I1074" s="2" t="s">
        <v>39</v>
      </c>
      <c r="J1074" s="2" t="str">
        <f>VLOOKUP(E1074,[1]LL_Hub!$A$1:$B$13,2,FALSE)</f>
        <v>Denver</v>
      </c>
      <c r="K1074" t="str">
        <f>VLOOKUP(D1074,'[2]product Table data'!$A$2:$B$12,2,FALSE)</f>
        <v>Female</v>
      </c>
      <c r="L1074" t="str">
        <f>VLOOKUP($D1074,'[2]product Table data'!$A$2:$G$12,L$1,FALSE)</f>
        <v>Casual n Light</v>
      </c>
      <c r="M1074" t="str">
        <f>VLOOKUP($D1074,'[2]product Table data'!$A$2:$G$12,M$1,FALSE)</f>
        <v>Guatemala</v>
      </c>
      <c r="N1074" t="str">
        <f>VLOOKUP($D1074,'[2]product Table data'!$A$2:$G$12,N$1,FALSE)</f>
        <v>Central America</v>
      </c>
      <c r="O1074">
        <f>VLOOKUP($D1074,'[2]product Table data'!$A$2:$G$12,O$1,FALSE)</f>
        <v>25</v>
      </c>
      <c r="P1074">
        <f>VLOOKUP($D1074,'[2]product Table data'!$A$2:$G$12,P$1,FALSE)</f>
        <v>30</v>
      </c>
      <c r="Q1074">
        <f t="shared" si="80"/>
        <v>5</v>
      </c>
      <c r="R1074" t="str">
        <f t="shared" si="81"/>
        <v>Hub Risk</v>
      </c>
      <c r="S1074" t="str">
        <f t="shared" si="82"/>
        <v>Style Risk</v>
      </c>
      <c r="T1074" t="str">
        <f t="shared" si="83"/>
        <v>Risk</v>
      </c>
      <c r="U1074" t="str">
        <f t="shared" si="84"/>
        <v>Low Value</v>
      </c>
    </row>
    <row r="1075" spans="1:21" hidden="1" x14ac:dyDescent="0.2">
      <c r="A1075" s="2">
        <v>936</v>
      </c>
      <c r="B1075" s="2" t="s">
        <v>9</v>
      </c>
      <c r="C1075" s="2" t="s">
        <v>1532</v>
      </c>
      <c r="D1075" s="2" t="s">
        <v>566</v>
      </c>
      <c r="E1075" s="2">
        <v>80123</v>
      </c>
      <c r="F1075" s="2" t="s">
        <v>1533</v>
      </c>
      <c r="G1075" s="2" t="s">
        <v>13</v>
      </c>
      <c r="H1075" s="2">
        <v>1</v>
      </c>
      <c r="I1075" s="2" t="s">
        <v>39</v>
      </c>
      <c r="J1075" s="2" t="str">
        <f>VLOOKUP(E1075,[1]LL_Hub!$A$1:$B$13,2,FALSE)</f>
        <v>Denver</v>
      </c>
      <c r="K1075" t="str">
        <f>VLOOKUP(D1075,'[2]product Table data'!$A$2:$B$12,2,FALSE)</f>
        <v>Female</v>
      </c>
      <c r="L1075" t="str">
        <f>VLOOKUP($D1075,'[2]product Table data'!$A$2:$G$12,L$1,FALSE)</f>
        <v>Casual n Light</v>
      </c>
      <c r="M1075" t="str">
        <f>VLOOKUP($D1075,'[2]product Table data'!$A$2:$G$12,M$1,FALSE)</f>
        <v>Guatemala</v>
      </c>
      <c r="N1075" t="str">
        <f>VLOOKUP($D1075,'[2]product Table data'!$A$2:$G$12,N$1,FALSE)</f>
        <v>Central America</v>
      </c>
      <c r="O1075">
        <f>VLOOKUP($D1075,'[2]product Table data'!$A$2:$G$12,O$1,FALSE)</f>
        <v>25</v>
      </c>
      <c r="P1075">
        <f>VLOOKUP($D1075,'[2]product Table data'!$A$2:$G$12,P$1,FALSE)</f>
        <v>30</v>
      </c>
      <c r="Q1075">
        <f t="shared" si="80"/>
        <v>5</v>
      </c>
      <c r="R1075" t="str">
        <f t="shared" si="81"/>
        <v>Hub Risk</v>
      </c>
      <c r="S1075" t="str">
        <f t="shared" si="82"/>
        <v>Style Risk</v>
      </c>
      <c r="T1075" t="str">
        <f t="shared" si="83"/>
        <v>Risk</v>
      </c>
      <c r="U1075" t="str">
        <f t="shared" si="84"/>
        <v>Low Value</v>
      </c>
    </row>
    <row r="1076" spans="1:21" hidden="1" x14ac:dyDescent="0.2">
      <c r="A1076" s="2">
        <v>937</v>
      </c>
      <c r="B1076" s="2" t="s">
        <v>9</v>
      </c>
      <c r="C1076" s="2" t="s">
        <v>1534</v>
      </c>
      <c r="D1076" s="2" t="s">
        <v>566</v>
      </c>
      <c r="E1076" s="2">
        <v>80123</v>
      </c>
      <c r="F1076" s="2" t="s">
        <v>35</v>
      </c>
      <c r="G1076" s="2" t="s">
        <v>36</v>
      </c>
      <c r="H1076" s="2">
        <v>1</v>
      </c>
      <c r="I1076" s="2" t="s">
        <v>39</v>
      </c>
      <c r="J1076" s="2" t="str">
        <f>VLOOKUP(E1076,[1]LL_Hub!$A$1:$B$13,2,FALSE)</f>
        <v>Denver</v>
      </c>
      <c r="K1076" t="str">
        <f>VLOOKUP(D1076,'[2]product Table data'!$A$2:$B$12,2,FALSE)</f>
        <v>Female</v>
      </c>
      <c r="L1076" t="str">
        <f>VLOOKUP($D1076,'[2]product Table data'!$A$2:$G$12,L$1,FALSE)</f>
        <v>Casual n Light</v>
      </c>
      <c r="M1076" t="str">
        <f>VLOOKUP($D1076,'[2]product Table data'!$A$2:$G$12,M$1,FALSE)</f>
        <v>Guatemala</v>
      </c>
      <c r="N1076" t="str">
        <f>VLOOKUP($D1076,'[2]product Table data'!$A$2:$G$12,N$1,FALSE)</f>
        <v>Central America</v>
      </c>
      <c r="O1076">
        <f>VLOOKUP($D1076,'[2]product Table data'!$A$2:$G$12,O$1,FALSE)</f>
        <v>25</v>
      </c>
      <c r="P1076">
        <f>VLOOKUP($D1076,'[2]product Table data'!$A$2:$G$12,P$1,FALSE)</f>
        <v>30</v>
      </c>
      <c r="Q1076">
        <f t="shared" si="80"/>
        <v>5</v>
      </c>
      <c r="R1076" t="str">
        <f t="shared" si="81"/>
        <v>Hub Risk</v>
      </c>
      <c r="S1076" t="str">
        <f t="shared" si="82"/>
        <v>Style Risk</v>
      </c>
      <c r="T1076" t="str">
        <f t="shared" si="83"/>
        <v>Risk</v>
      </c>
      <c r="U1076" t="str">
        <f t="shared" si="84"/>
        <v>Low Value</v>
      </c>
    </row>
    <row r="1077" spans="1:21" hidden="1" x14ac:dyDescent="0.2">
      <c r="A1077" s="2">
        <v>938</v>
      </c>
      <c r="B1077" s="2" t="s">
        <v>9</v>
      </c>
      <c r="C1077" s="2" t="s">
        <v>1535</v>
      </c>
      <c r="D1077" s="2" t="s">
        <v>566</v>
      </c>
      <c r="E1077" s="2">
        <v>80123</v>
      </c>
      <c r="F1077" s="2" t="s">
        <v>35</v>
      </c>
      <c r="G1077" s="2" t="s">
        <v>36</v>
      </c>
      <c r="H1077" s="2">
        <v>1</v>
      </c>
      <c r="I1077" s="2" t="s">
        <v>39</v>
      </c>
      <c r="J1077" s="2" t="str">
        <f>VLOOKUP(E1077,[1]LL_Hub!$A$1:$B$13,2,FALSE)</f>
        <v>Denver</v>
      </c>
      <c r="K1077" t="str">
        <f>VLOOKUP(D1077,'[2]product Table data'!$A$2:$B$12,2,FALSE)</f>
        <v>Female</v>
      </c>
      <c r="L1077" t="str">
        <f>VLOOKUP($D1077,'[2]product Table data'!$A$2:$G$12,L$1,FALSE)</f>
        <v>Casual n Light</v>
      </c>
      <c r="M1077" t="str">
        <f>VLOOKUP($D1077,'[2]product Table data'!$A$2:$G$12,M$1,FALSE)</f>
        <v>Guatemala</v>
      </c>
      <c r="N1077" t="str">
        <f>VLOOKUP($D1077,'[2]product Table data'!$A$2:$G$12,N$1,FALSE)</f>
        <v>Central America</v>
      </c>
      <c r="O1077">
        <f>VLOOKUP($D1077,'[2]product Table data'!$A$2:$G$12,O$1,FALSE)</f>
        <v>25</v>
      </c>
      <c r="P1077">
        <f>VLOOKUP($D1077,'[2]product Table data'!$A$2:$G$12,P$1,FALSE)</f>
        <v>30</v>
      </c>
      <c r="Q1077">
        <f t="shared" si="80"/>
        <v>5</v>
      </c>
      <c r="R1077" t="str">
        <f t="shared" si="81"/>
        <v>Hub Risk</v>
      </c>
      <c r="S1077" t="str">
        <f t="shared" si="82"/>
        <v>Style Risk</v>
      </c>
      <c r="T1077" t="str">
        <f t="shared" si="83"/>
        <v>Risk</v>
      </c>
      <c r="U1077" t="str">
        <f t="shared" si="84"/>
        <v>Low Value</v>
      </c>
    </row>
    <row r="1078" spans="1:21" hidden="1" x14ac:dyDescent="0.2">
      <c r="A1078" s="2">
        <v>939</v>
      </c>
      <c r="B1078" s="2" t="s">
        <v>9</v>
      </c>
      <c r="C1078" s="2" t="s">
        <v>1536</v>
      </c>
      <c r="D1078" s="2" t="s">
        <v>566</v>
      </c>
      <c r="E1078" s="2">
        <v>80123</v>
      </c>
      <c r="F1078" s="2" t="s">
        <v>35</v>
      </c>
      <c r="G1078" s="2" t="s">
        <v>36</v>
      </c>
      <c r="H1078" s="2">
        <v>1</v>
      </c>
      <c r="I1078" s="2" t="s">
        <v>39</v>
      </c>
      <c r="J1078" s="2" t="str">
        <f>VLOOKUP(E1078,[1]LL_Hub!$A$1:$B$13,2,FALSE)</f>
        <v>Denver</v>
      </c>
      <c r="K1078" t="str">
        <f>VLOOKUP(D1078,'[2]product Table data'!$A$2:$B$12,2,FALSE)</f>
        <v>Female</v>
      </c>
      <c r="L1078" t="str">
        <f>VLOOKUP($D1078,'[2]product Table data'!$A$2:$G$12,L$1,FALSE)</f>
        <v>Casual n Light</v>
      </c>
      <c r="M1078" t="str">
        <f>VLOOKUP($D1078,'[2]product Table data'!$A$2:$G$12,M$1,FALSE)</f>
        <v>Guatemala</v>
      </c>
      <c r="N1078" t="str">
        <f>VLOOKUP($D1078,'[2]product Table data'!$A$2:$G$12,N$1,FALSE)</f>
        <v>Central America</v>
      </c>
      <c r="O1078">
        <f>VLOOKUP($D1078,'[2]product Table data'!$A$2:$G$12,O$1,FALSE)</f>
        <v>25</v>
      </c>
      <c r="P1078">
        <f>VLOOKUP($D1078,'[2]product Table data'!$A$2:$G$12,P$1,FALSE)</f>
        <v>30</v>
      </c>
      <c r="Q1078">
        <f t="shared" si="80"/>
        <v>5</v>
      </c>
      <c r="R1078" t="str">
        <f t="shared" si="81"/>
        <v>Hub Risk</v>
      </c>
      <c r="S1078" t="str">
        <f t="shared" si="82"/>
        <v>Style Risk</v>
      </c>
      <c r="T1078" t="str">
        <f t="shared" si="83"/>
        <v>Risk</v>
      </c>
      <c r="U1078" t="str">
        <f t="shared" si="84"/>
        <v>Low Value</v>
      </c>
    </row>
    <row r="1079" spans="1:21" hidden="1" x14ac:dyDescent="0.2">
      <c r="A1079" s="2">
        <v>940</v>
      </c>
      <c r="B1079" s="2" t="s">
        <v>9</v>
      </c>
      <c r="C1079" s="2" t="s">
        <v>1537</v>
      </c>
      <c r="D1079" s="2" t="s">
        <v>566</v>
      </c>
      <c r="E1079" s="2">
        <v>80123</v>
      </c>
      <c r="F1079" s="2" t="s">
        <v>35</v>
      </c>
      <c r="G1079" s="2" t="s">
        <v>36</v>
      </c>
      <c r="H1079" s="2">
        <v>1</v>
      </c>
      <c r="I1079" s="2" t="s">
        <v>39</v>
      </c>
      <c r="J1079" s="2" t="str">
        <f>VLOOKUP(E1079,[1]LL_Hub!$A$1:$B$13,2,FALSE)</f>
        <v>Denver</v>
      </c>
      <c r="K1079" t="str">
        <f>VLOOKUP(D1079,'[2]product Table data'!$A$2:$B$12,2,FALSE)</f>
        <v>Female</v>
      </c>
      <c r="L1079" t="str">
        <f>VLOOKUP($D1079,'[2]product Table data'!$A$2:$G$12,L$1,FALSE)</f>
        <v>Casual n Light</v>
      </c>
      <c r="M1079" t="str">
        <f>VLOOKUP($D1079,'[2]product Table data'!$A$2:$G$12,M$1,FALSE)</f>
        <v>Guatemala</v>
      </c>
      <c r="N1079" t="str">
        <f>VLOOKUP($D1079,'[2]product Table data'!$A$2:$G$12,N$1,FALSE)</f>
        <v>Central America</v>
      </c>
      <c r="O1079">
        <f>VLOOKUP($D1079,'[2]product Table data'!$A$2:$G$12,O$1,FALSE)</f>
        <v>25</v>
      </c>
      <c r="P1079">
        <f>VLOOKUP($D1079,'[2]product Table data'!$A$2:$G$12,P$1,FALSE)</f>
        <v>30</v>
      </c>
      <c r="Q1079">
        <f t="shared" si="80"/>
        <v>5</v>
      </c>
      <c r="R1079" t="str">
        <f t="shared" si="81"/>
        <v>Hub Risk</v>
      </c>
      <c r="S1079" t="str">
        <f t="shared" si="82"/>
        <v>Style Risk</v>
      </c>
      <c r="T1079" t="str">
        <f t="shared" si="83"/>
        <v>Risk</v>
      </c>
      <c r="U1079" t="str">
        <f t="shared" si="84"/>
        <v>Low Value</v>
      </c>
    </row>
    <row r="1080" spans="1:21" hidden="1" x14ac:dyDescent="0.2">
      <c r="A1080" s="2">
        <v>941</v>
      </c>
      <c r="B1080" s="2" t="s">
        <v>9</v>
      </c>
      <c r="C1080" s="2" t="s">
        <v>1538</v>
      </c>
      <c r="D1080" s="2" t="s">
        <v>566</v>
      </c>
      <c r="E1080" s="2">
        <v>80123</v>
      </c>
      <c r="F1080" s="2" t="s">
        <v>35</v>
      </c>
      <c r="G1080" s="2" t="s">
        <v>36</v>
      </c>
      <c r="H1080" s="2">
        <v>1</v>
      </c>
      <c r="I1080" s="2" t="s">
        <v>39</v>
      </c>
      <c r="J1080" s="2" t="str">
        <f>VLOOKUP(E1080,[1]LL_Hub!$A$1:$B$13,2,FALSE)</f>
        <v>Denver</v>
      </c>
      <c r="K1080" t="str">
        <f>VLOOKUP(D1080,'[2]product Table data'!$A$2:$B$12,2,FALSE)</f>
        <v>Female</v>
      </c>
      <c r="L1080" t="str">
        <f>VLOOKUP($D1080,'[2]product Table data'!$A$2:$G$12,L$1,FALSE)</f>
        <v>Casual n Light</v>
      </c>
      <c r="M1080" t="str">
        <f>VLOOKUP($D1080,'[2]product Table data'!$A$2:$G$12,M$1,FALSE)</f>
        <v>Guatemala</v>
      </c>
      <c r="N1080" t="str">
        <f>VLOOKUP($D1080,'[2]product Table data'!$A$2:$G$12,N$1,FALSE)</f>
        <v>Central America</v>
      </c>
      <c r="O1080">
        <f>VLOOKUP($D1080,'[2]product Table data'!$A$2:$G$12,O$1,FALSE)</f>
        <v>25</v>
      </c>
      <c r="P1080">
        <f>VLOOKUP($D1080,'[2]product Table data'!$A$2:$G$12,P$1,FALSE)</f>
        <v>30</v>
      </c>
      <c r="Q1080">
        <f t="shared" si="80"/>
        <v>5</v>
      </c>
      <c r="R1080" t="str">
        <f t="shared" si="81"/>
        <v>Hub Risk</v>
      </c>
      <c r="S1080" t="str">
        <f t="shared" si="82"/>
        <v>Style Risk</v>
      </c>
      <c r="T1080" t="str">
        <f t="shared" si="83"/>
        <v>Risk</v>
      </c>
      <c r="U1080" t="str">
        <f t="shared" si="84"/>
        <v>Low Value</v>
      </c>
    </row>
    <row r="1081" spans="1:21" hidden="1" x14ac:dyDescent="0.2">
      <c r="A1081" s="2">
        <v>942</v>
      </c>
      <c r="B1081" s="2" t="s">
        <v>9</v>
      </c>
      <c r="C1081" s="2" t="s">
        <v>1539</v>
      </c>
      <c r="D1081" s="2" t="s">
        <v>505</v>
      </c>
      <c r="E1081" s="2">
        <v>80123</v>
      </c>
      <c r="F1081" s="2" t="s">
        <v>35</v>
      </c>
      <c r="G1081" s="2" t="s">
        <v>36</v>
      </c>
      <c r="H1081" s="2">
        <v>1</v>
      </c>
      <c r="I1081" s="2" t="s">
        <v>39</v>
      </c>
      <c r="J1081" s="2" t="str">
        <f>VLOOKUP(E1081,[1]LL_Hub!$A$1:$B$13,2,FALSE)</f>
        <v>Denver</v>
      </c>
      <c r="K1081" t="str">
        <f>VLOOKUP(D1081,'[2]product Table data'!$A$2:$B$12,2,FALSE)</f>
        <v>Female</v>
      </c>
      <c r="L1081" t="str">
        <f>VLOOKUP($D1081,'[2]product Table data'!$A$2:$G$12,L$1,FALSE)</f>
        <v>Casual n Light</v>
      </c>
      <c r="M1081" t="str">
        <f>VLOOKUP($D1081,'[2]product Table data'!$A$2:$G$12,M$1,FALSE)</f>
        <v>Honduras</v>
      </c>
      <c r="N1081" t="str">
        <f>VLOOKUP($D1081,'[2]product Table data'!$A$2:$G$12,N$1,FALSE)</f>
        <v>Central America</v>
      </c>
      <c r="O1081">
        <f>VLOOKUP($D1081,'[2]product Table data'!$A$2:$G$12,O$1,FALSE)</f>
        <v>30</v>
      </c>
      <c r="P1081">
        <f>VLOOKUP($D1081,'[2]product Table data'!$A$2:$G$12,P$1,FALSE)</f>
        <v>45</v>
      </c>
      <c r="Q1081">
        <f t="shared" si="80"/>
        <v>15</v>
      </c>
      <c r="R1081" t="str">
        <f t="shared" si="81"/>
        <v>Hub Risk</v>
      </c>
      <c r="S1081" t="str">
        <f t="shared" si="82"/>
        <v>Style Risk</v>
      </c>
      <c r="T1081" t="str">
        <f t="shared" si="83"/>
        <v>Risk</v>
      </c>
      <c r="U1081" t="str">
        <f t="shared" si="84"/>
        <v>High Value</v>
      </c>
    </row>
    <row r="1082" spans="1:21" hidden="1" x14ac:dyDescent="0.2">
      <c r="A1082" s="2">
        <v>943</v>
      </c>
      <c r="B1082" s="2" t="s">
        <v>9</v>
      </c>
      <c r="C1082" s="2" t="s">
        <v>1540</v>
      </c>
      <c r="D1082" s="2" t="s">
        <v>566</v>
      </c>
      <c r="E1082" s="2">
        <v>80123</v>
      </c>
      <c r="F1082" s="2" t="s">
        <v>35</v>
      </c>
      <c r="G1082" s="2" t="s">
        <v>36</v>
      </c>
      <c r="H1082" s="2">
        <v>1</v>
      </c>
      <c r="I1082" s="2" t="s">
        <v>39</v>
      </c>
      <c r="J1082" s="2" t="str">
        <f>VLOOKUP(E1082,[1]LL_Hub!$A$1:$B$13,2,FALSE)</f>
        <v>Denver</v>
      </c>
      <c r="K1082" t="str">
        <f>VLOOKUP(D1082,'[2]product Table data'!$A$2:$B$12,2,FALSE)</f>
        <v>Female</v>
      </c>
      <c r="L1082" t="str">
        <f>VLOOKUP($D1082,'[2]product Table data'!$A$2:$G$12,L$1,FALSE)</f>
        <v>Casual n Light</v>
      </c>
      <c r="M1082" t="str">
        <f>VLOOKUP($D1082,'[2]product Table data'!$A$2:$G$12,M$1,FALSE)</f>
        <v>Guatemala</v>
      </c>
      <c r="N1082" t="str">
        <f>VLOOKUP($D1082,'[2]product Table data'!$A$2:$G$12,N$1,FALSE)</f>
        <v>Central America</v>
      </c>
      <c r="O1082">
        <f>VLOOKUP($D1082,'[2]product Table data'!$A$2:$G$12,O$1,FALSE)</f>
        <v>25</v>
      </c>
      <c r="P1082">
        <f>VLOOKUP($D1082,'[2]product Table data'!$A$2:$G$12,P$1,FALSE)</f>
        <v>30</v>
      </c>
      <c r="Q1082">
        <f t="shared" si="80"/>
        <v>5</v>
      </c>
      <c r="R1082" t="str">
        <f t="shared" si="81"/>
        <v>Hub Risk</v>
      </c>
      <c r="S1082" t="str">
        <f t="shared" si="82"/>
        <v>Style Risk</v>
      </c>
      <c r="T1082" t="str">
        <f t="shared" si="83"/>
        <v>Risk</v>
      </c>
      <c r="U1082" t="str">
        <f t="shared" si="84"/>
        <v>Low Value</v>
      </c>
    </row>
    <row r="1083" spans="1:21" hidden="1" x14ac:dyDescent="0.2">
      <c r="A1083" s="2">
        <v>944</v>
      </c>
      <c r="B1083" s="2" t="s">
        <v>9</v>
      </c>
      <c r="C1083" s="2" t="s">
        <v>1541</v>
      </c>
      <c r="D1083" s="2" t="s">
        <v>566</v>
      </c>
      <c r="E1083" s="2">
        <v>80123</v>
      </c>
      <c r="F1083" s="2" t="s">
        <v>35</v>
      </c>
      <c r="G1083" s="2" t="s">
        <v>36</v>
      </c>
      <c r="H1083" s="2">
        <v>1</v>
      </c>
      <c r="I1083" s="2" t="s">
        <v>39</v>
      </c>
      <c r="J1083" s="2" t="str">
        <f>VLOOKUP(E1083,[1]LL_Hub!$A$1:$B$13,2,FALSE)</f>
        <v>Denver</v>
      </c>
      <c r="K1083" t="str">
        <f>VLOOKUP(D1083,'[2]product Table data'!$A$2:$B$12,2,FALSE)</f>
        <v>Female</v>
      </c>
      <c r="L1083" t="str">
        <f>VLOOKUP($D1083,'[2]product Table data'!$A$2:$G$12,L$1,FALSE)</f>
        <v>Casual n Light</v>
      </c>
      <c r="M1083" t="str">
        <f>VLOOKUP($D1083,'[2]product Table data'!$A$2:$G$12,M$1,FALSE)</f>
        <v>Guatemala</v>
      </c>
      <c r="N1083" t="str">
        <f>VLOOKUP($D1083,'[2]product Table data'!$A$2:$G$12,N$1,FALSE)</f>
        <v>Central America</v>
      </c>
      <c r="O1083">
        <f>VLOOKUP($D1083,'[2]product Table data'!$A$2:$G$12,O$1,FALSE)</f>
        <v>25</v>
      </c>
      <c r="P1083">
        <f>VLOOKUP($D1083,'[2]product Table data'!$A$2:$G$12,P$1,FALSE)</f>
        <v>30</v>
      </c>
      <c r="Q1083">
        <f t="shared" si="80"/>
        <v>5</v>
      </c>
      <c r="R1083" t="str">
        <f t="shared" si="81"/>
        <v>Hub Risk</v>
      </c>
      <c r="S1083" t="str">
        <f t="shared" si="82"/>
        <v>Style Risk</v>
      </c>
      <c r="T1083" t="str">
        <f t="shared" si="83"/>
        <v>Risk</v>
      </c>
      <c r="U1083" t="str">
        <f t="shared" si="84"/>
        <v>Low Value</v>
      </c>
    </row>
    <row r="1084" spans="1:21" hidden="1" x14ac:dyDescent="0.2">
      <c r="A1084" s="2">
        <v>945</v>
      </c>
      <c r="B1084" s="2" t="s">
        <v>9</v>
      </c>
      <c r="C1084" s="2" t="s">
        <v>1542</v>
      </c>
      <c r="D1084" s="2" t="s">
        <v>566</v>
      </c>
      <c r="E1084" s="2">
        <v>80123</v>
      </c>
      <c r="F1084" s="2" t="s">
        <v>35</v>
      </c>
      <c r="G1084" s="2" t="s">
        <v>36</v>
      </c>
      <c r="H1084" s="2">
        <v>1</v>
      </c>
      <c r="I1084" s="2" t="s">
        <v>39</v>
      </c>
      <c r="J1084" s="2" t="str">
        <f>VLOOKUP(E1084,[1]LL_Hub!$A$1:$B$13,2,FALSE)</f>
        <v>Denver</v>
      </c>
      <c r="K1084" t="str">
        <f>VLOOKUP(D1084,'[2]product Table data'!$A$2:$B$12,2,FALSE)</f>
        <v>Female</v>
      </c>
      <c r="L1084" t="str">
        <f>VLOOKUP($D1084,'[2]product Table data'!$A$2:$G$12,L$1,FALSE)</f>
        <v>Casual n Light</v>
      </c>
      <c r="M1084" t="str">
        <f>VLOOKUP($D1084,'[2]product Table data'!$A$2:$G$12,M$1,FALSE)</f>
        <v>Guatemala</v>
      </c>
      <c r="N1084" t="str">
        <f>VLOOKUP($D1084,'[2]product Table data'!$A$2:$G$12,N$1,FALSE)</f>
        <v>Central America</v>
      </c>
      <c r="O1084">
        <f>VLOOKUP($D1084,'[2]product Table data'!$A$2:$G$12,O$1,FALSE)</f>
        <v>25</v>
      </c>
      <c r="P1084">
        <f>VLOOKUP($D1084,'[2]product Table data'!$A$2:$G$12,P$1,FALSE)</f>
        <v>30</v>
      </c>
      <c r="Q1084">
        <f t="shared" si="80"/>
        <v>5</v>
      </c>
      <c r="R1084" t="str">
        <f t="shared" si="81"/>
        <v>Hub Risk</v>
      </c>
      <c r="S1084" t="str">
        <f t="shared" si="82"/>
        <v>Style Risk</v>
      </c>
      <c r="T1084" t="str">
        <f t="shared" si="83"/>
        <v>Risk</v>
      </c>
      <c r="U1084" t="str">
        <f t="shared" si="84"/>
        <v>Low Value</v>
      </c>
    </row>
    <row r="1085" spans="1:21" hidden="1" x14ac:dyDescent="0.2">
      <c r="A1085" s="2">
        <v>946</v>
      </c>
      <c r="B1085" s="2" t="s">
        <v>9</v>
      </c>
      <c r="C1085" s="2" t="s">
        <v>1543</v>
      </c>
      <c r="D1085" s="2" t="s">
        <v>566</v>
      </c>
      <c r="E1085" s="2">
        <v>80123</v>
      </c>
      <c r="F1085" s="2" t="s">
        <v>35</v>
      </c>
      <c r="G1085" s="2" t="s">
        <v>36</v>
      </c>
      <c r="H1085" s="2">
        <v>1</v>
      </c>
      <c r="I1085" s="2" t="s">
        <v>39</v>
      </c>
      <c r="J1085" s="2" t="str">
        <f>VLOOKUP(E1085,[1]LL_Hub!$A$1:$B$13,2,FALSE)</f>
        <v>Denver</v>
      </c>
      <c r="K1085" t="str">
        <f>VLOOKUP(D1085,'[2]product Table data'!$A$2:$B$12,2,FALSE)</f>
        <v>Female</v>
      </c>
      <c r="L1085" t="str">
        <f>VLOOKUP($D1085,'[2]product Table data'!$A$2:$G$12,L$1,FALSE)</f>
        <v>Casual n Light</v>
      </c>
      <c r="M1085" t="str">
        <f>VLOOKUP($D1085,'[2]product Table data'!$A$2:$G$12,M$1,FALSE)</f>
        <v>Guatemala</v>
      </c>
      <c r="N1085" t="str">
        <f>VLOOKUP($D1085,'[2]product Table data'!$A$2:$G$12,N$1,FALSE)</f>
        <v>Central America</v>
      </c>
      <c r="O1085">
        <f>VLOOKUP($D1085,'[2]product Table data'!$A$2:$G$12,O$1,FALSE)</f>
        <v>25</v>
      </c>
      <c r="P1085">
        <f>VLOOKUP($D1085,'[2]product Table data'!$A$2:$G$12,P$1,FALSE)</f>
        <v>30</v>
      </c>
      <c r="Q1085">
        <f t="shared" si="80"/>
        <v>5</v>
      </c>
      <c r="R1085" t="str">
        <f t="shared" si="81"/>
        <v>Hub Risk</v>
      </c>
      <c r="S1085" t="str">
        <f t="shared" si="82"/>
        <v>Style Risk</v>
      </c>
      <c r="T1085" t="str">
        <f t="shared" si="83"/>
        <v>Risk</v>
      </c>
      <c r="U1085" t="str">
        <f t="shared" si="84"/>
        <v>Low Value</v>
      </c>
    </row>
    <row r="1086" spans="1:21" hidden="1" x14ac:dyDescent="0.2">
      <c r="A1086" s="2">
        <v>947</v>
      </c>
      <c r="B1086" s="2" t="s">
        <v>9</v>
      </c>
      <c r="C1086" s="2" t="s">
        <v>1544</v>
      </c>
      <c r="D1086" s="2" t="s">
        <v>566</v>
      </c>
      <c r="E1086" s="2">
        <v>80123</v>
      </c>
      <c r="F1086" s="2" t="s">
        <v>35</v>
      </c>
      <c r="G1086" s="2" t="s">
        <v>36</v>
      </c>
      <c r="H1086" s="2">
        <v>1</v>
      </c>
      <c r="I1086" s="2" t="s">
        <v>39</v>
      </c>
      <c r="J1086" s="2" t="str">
        <f>VLOOKUP(E1086,[1]LL_Hub!$A$1:$B$13,2,FALSE)</f>
        <v>Denver</v>
      </c>
      <c r="K1086" t="str">
        <f>VLOOKUP(D1086,'[2]product Table data'!$A$2:$B$12,2,FALSE)</f>
        <v>Female</v>
      </c>
      <c r="L1086" t="str">
        <f>VLOOKUP($D1086,'[2]product Table data'!$A$2:$G$12,L$1,FALSE)</f>
        <v>Casual n Light</v>
      </c>
      <c r="M1086" t="str">
        <f>VLOOKUP($D1086,'[2]product Table data'!$A$2:$G$12,M$1,FALSE)</f>
        <v>Guatemala</v>
      </c>
      <c r="N1086" t="str">
        <f>VLOOKUP($D1086,'[2]product Table data'!$A$2:$G$12,N$1,FALSE)</f>
        <v>Central America</v>
      </c>
      <c r="O1086">
        <f>VLOOKUP($D1086,'[2]product Table data'!$A$2:$G$12,O$1,FALSE)</f>
        <v>25</v>
      </c>
      <c r="P1086">
        <f>VLOOKUP($D1086,'[2]product Table data'!$A$2:$G$12,P$1,FALSE)</f>
        <v>30</v>
      </c>
      <c r="Q1086">
        <f t="shared" si="80"/>
        <v>5</v>
      </c>
      <c r="R1086" t="str">
        <f t="shared" si="81"/>
        <v>Hub Risk</v>
      </c>
      <c r="S1086" t="str">
        <f t="shared" si="82"/>
        <v>Style Risk</v>
      </c>
      <c r="T1086" t="str">
        <f t="shared" si="83"/>
        <v>Risk</v>
      </c>
      <c r="U1086" t="str">
        <f t="shared" si="84"/>
        <v>Low Value</v>
      </c>
    </row>
    <row r="1087" spans="1:21" hidden="1" x14ac:dyDescent="0.2">
      <c r="A1087" s="2">
        <v>948</v>
      </c>
      <c r="B1087" s="2" t="s">
        <v>9</v>
      </c>
      <c r="C1087" s="2" t="s">
        <v>1545</v>
      </c>
      <c r="D1087" s="2" t="s">
        <v>566</v>
      </c>
      <c r="E1087" s="2">
        <v>80123</v>
      </c>
      <c r="F1087" s="2" t="s">
        <v>35</v>
      </c>
      <c r="G1087" s="2" t="s">
        <v>36</v>
      </c>
      <c r="H1087" s="2">
        <v>1</v>
      </c>
      <c r="I1087" s="2" t="s">
        <v>39</v>
      </c>
      <c r="J1087" s="2" t="str">
        <f>VLOOKUP(E1087,[1]LL_Hub!$A$1:$B$13,2,FALSE)</f>
        <v>Denver</v>
      </c>
      <c r="K1087" t="str">
        <f>VLOOKUP(D1087,'[2]product Table data'!$A$2:$B$12,2,FALSE)</f>
        <v>Female</v>
      </c>
      <c r="L1087" t="str">
        <f>VLOOKUP($D1087,'[2]product Table data'!$A$2:$G$12,L$1,FALSE)</f>
        <v>Casual n Light</v>
      </c>
      <c r="M1087" t="str">
        <f>VLOOKUP($D1087,'[2]product Table data'!$A$2:$G$12,M$1,FALSE)</f>
        <v>Guatemala</v>
      </c>
      <c r="N1087" t="str">
        <f>VLOOKUP($D1087,'[2]product Table data'!$A$2:$G$12,N$1,FALSE)</f>
        <v>Central America</v>
      </c>
      <c r="O1087">
        <f>VLOOKUP($D1087,'[2]product Table data'!$A$2:$G$12,O$1,FALSE)</f>
        <v>25</v>
      </c>
      <c r="P1087">
        <f>VLOOKUP($D1087,'[2]product Table data'!$A$2:$G$12,P$1,FALSE)</f>
        <v>30</v>
      </c>
      <c r="Q1087">
        <f t="shared" si="80"/>
        <v>5</v>
      </c>
      <c r="R1087" t="str">
        <f t="shared" si="81"/>
        <v>Hub Risk</v>
      </c>
      <c r="S1087" t="str">
        <f t="shared" si="82"/>
        <v>Style Risk</v>
      </c>
      <c r="T1087" t="str">
        <f t="shared" si="83"/>
        <v>Risk</v>
      </c>
      <c r="U1087" t="str">
        <f t="shared" si="84"/>
        <v>Low Value</v>
      </c>
    </row>
    <row r="1088" spans="1:21" hidden="1" x14ac:dyDescent="0.2">
      <c r="A1088" s="2">
        <v>949</v>
      </c>
      <c r="B1088" s="2" t="s">
        <v>9</v>
      </c>
      <c r="C1088" s="2" t="s">
        <v>1546</v>
      </c>
      <c r="D1088" s="2" t="s">
        <v>566</v>
      </c>
      <c r="E1088" s="2">
        <v>80123</v>
      </c>
      <c r="F1088" s="2" t="s">
        <v>35</v>
      </c>
      <c r="G1088" s="2" t="s">
        <v>36</v>
      </c>
      <c r="H1088" s="2">
        <v>1</v>
      </c>
      <c r="I1088" s="2" t="s">
        <v>39</v>
      </c>
      <c r="J1088" s="2" t="str">
        <f>VLOOKUP(E1088,[1]LL_Hub!$A$1:$B$13,2,FALSE)</f>
        <v>Denver</v>
      </c>
      <c r="K1088" t="str">
        <f>VLOOKUP(D1088,'[2]product Table data'!$A$2:$B$12,2,FALSE)</f>
        <v>Female</v>
      </c>
      <c r="L1088" t="str">
        <f>VLOOKUP($D1088,'[2]product Table data'!$A$2:$G$12,L$1,FALSE)</f>
        <v>Casual n Light</v>
      </c>
      <c r="M1088" t="str">
        <f>VLOOKUP($D1088,'[2]product Table data'!$A$2:$G$12,M$1,FALSE)</f>
        <v>Guatemala</v>
      </c>
      <c r="N1088" t="str">
        <f>VLOOKUP($D1088,'[2]product Table data'!$A$2:$G$12,N$1,FALSE)</f>
        <v>Central America</v>
      </c>
      <c r="O1088">
        <f>VLOOKUP($D1088,'[2]product Table data'!$A$2:$G$12,O$1,FALSE)</f>
        <v>25</v>
      </c>
      <c r="P1088">
        <f>VLOOKUP($D1088,'[2]product Table data'!$A$2:$G$12,P$1,FALSE)</f>
        <v>30</v>
      </c>
      <c r="Q1088">
        <f t="shared" si="80"/>
        <v>5</v>
      </c>
      <c r="R1088" t="str">
        <f t="shared" si="81"/>
        <v>Hub Risk</v>
      </c>
      <c r="S1088" t="str">
        <f t="shared" si="82"/>
        <v>Style Risk</v>
      </c>
      <c r="T1088" t="str">
        <f t="shared" si="83"/>
        <v>Risk</v>
      </c>
      <c r="U1088" t="str">
        <f t="shared" si="84"/>
        <v>Low Value</v>
      </c>
    </row>
    <row r="1089" spans="1:21" hidden="1" x14ac:dyDescent="0.2">
      <c r="A1089" s="2">
        <v>950</v>
      </c>
      <c r="B1089" s="2" t="s">
        <v>9</v>
      </c>
      <c r="C1089" s="2" t="s">
        <v>1547</v>
      </c>
      <c r="D1089" s="2" t="s">
        <v>566</v>
      </c>
      <c r="E1089" s="2">
        <v>80123</v>
      </c>
      <c r="F1089" s="2" t="s">
        <v>35</v>
      </c>
      <c r="G1089" s="2" t="s">
        <v>36</v>
      </c>
      <c r="H1089" s="2">
        <v>1</v>
      </c>
      <c r="I1089" s="2" t="s">
        <v>39</v>
      </c>
      <c r="J1089" s="2" t="str">
        <f>VLOOKUP(E1089,[1]LL_Hub!$A$1:$B$13,2,FALSE)</f>
        <v>Denver</v>
      </c>
      <c r="K1089" t="str">
        <f>VLOOKUP(D1089,'[2]product Table data'!$A$2:$B$12,2,FALSE)</f>
        <v>Female</v>
      </c>
      <c r="L1089" t="str">
        <f>VLOOKUP($D1089,'[2]product Table data'!$A$2:$G$12,L$1,FALSE)</f>
        <v>Casual n Light</v>
      </c>
      <c r="M1089" t="str">
        <f>VLOOKUP($D1089,'[2]product Table data'!$A$2:$G$12,M$1,FALSE)</f>
        <v>Guatemala</v>
      </c>
      <c r="N1089" t="str">
        <f>VLOOKUP($D1089,'[2]product Table data'!$A$2:$G$12,N$1,FALSE)</f>
        <v>Central America</v>
      </c>
      <c r="O1089">
        <f>VLOOKUP($D1089,'[2]product Table data'!$A$2:$G$12,O$1,FALSE)</f>
        <v>25</v>
      </c>
      <c r="P1089">
        <f>VLOOKUP($D1089,'[2]product Table data'!$A$2:$G$12,P$1,FALSE)</f>
        <v>30</v>
      </c>
      <c r="Q1089">
        <f t="shared" si="80"/>
        <v>5</v>
      </c>
      <c r="R1089" t="str">
        <f t="shared" si="81"/>
        <v>Hub Risk</v>
      </c>
      <c r="S1089" t="str">
        <f t="shared" si="82"/>
        <v>Style Risk</v>
      </c>
      <c r="T1089" t="str">
        <f t="shared" si="83"/>
        <v>Risk</v>
      </c>
      <c r="U1089" t="str">
        <f t="shared" si="84"/>
        <v>Low Value</v>
      </c>
    </row>
    <row r="1090" spans="1:21" hidden="1" x14ac:dyDescent="0.2">
      <c r="A1090" s="2">
        <v>951</v>
      </c>
      <c r="B1090" s="2" t="s">
        <v>9</v>
      </c>
      <c r="C1090" s="2" t="s">
        <v>1548</v>
      </c>
      <c r="D1090" s="2" t="s">
        <v>566</v>
      </c>
      <c r="E1090" s="2">
        <v>80123</v>
      </c>
      <c r="F1090" s="2" t="s">
        <v>35</v>
      </c>
      <c r="G1090" s="2" t="s">
        <v>36</v>
      </c>
      <c r="H1090" s="2">
        <v>1</v>
      </c>
      <c r="I1090" s="2" t="s">
        <v>39</v>
      </c>
      <c r="J1090" s="2" t="str">
        <f>VLOOKUP(E1090,[1]LL_Hub!$A$1:$B$13,2,FALSE)</f>
        <v>Denver</v>
      </c>
      <c r="K1090" t="str">
        <f>VLOOKUP(D1090,'[2]product Table data'!$A$2:$B$12,2,FALSE)</f>
        <v>Female</v>
      </c>
      <c r="L1090" t="str">
        <f>VLOOKUP($D1090,'[2]product Table data'!$A$2:$G$12,L$1,FALSE)</f>
        <v>Casual n Light</v>
      </c>
      <c r="M1090" t="str">
        <f>VLOOKUP($D1090,'[2]product Table data'!$A$2:$G$12,M$1,FALSE)</f>
        <v>Guatemala</v>
      </c>
      <c r="N1090" t="str">
        <f>VLOOKUP($D1090,'[2]product Table data'!$A$2:$G$12,N$1,FALSE)</f>
        <v>Central America</v>
      </c>
      <c r="O1090">
        <f>VLOOKUP($D1090,'[2]product Table data'!$A$2:$G$12,O$1,FALSE)</f>
        <v>25</v>
      </c>
      <c r="P1090">
        <f>VLOOKUP($D1090,'[2]product Table data'!$A$2:$G$12,P$1,FALSE)</f>
        <v>30</v>
      </c>
      <c r="Q1090">
        <f t="shared" si="80"/>
        <v>5</v>
      </c>
      <c r="R1090" t="str">
        <f t="shared" si="81"/>
        <v>Hub Risk</v>
      </c>
      <c r="S1090" t="str">
        <f t="shared" si="82"/>
        <v>Style Risk</v>
      </c>
      <c r="T1090" t="str">
        <f t="shared" si="83"/>
        <v>Risk</v>
      </c>
      <c r="U1090" t="str">
        <f t="shared" si="84"/>
        <v>Low Value</v>
      </c>
    </row>
    <row r="1091" spans="1:21" hidden="1" x14ac:dyDescent="0.2">
      <c r="A1091" s="2">
        <v>952</v>
      </c>
      <c r="B1091" s="2" t="s">
        <v>9</v>
      </c>
      <c r="C1091" s="2" t="s">
        <v>1549</v>
      </c>
      <c r="D1091" s="2" t="s">
        <v>566</v>
      </c>
      <c r="E1091" s="2">
        <v>80123</v>
      </c>
      <c r="F1091" s="2" t="s">
        <v>35</v>
      </c>
      <c r="G1091" s="2" t="s">
        <v>36</v>
      </c>
      <c r="H1091" s="2">
        <v>1</v>
      </c>
      <c r="I1091" s="2" t="s">
        <v>39</v>
      </c>
      <c r="J1091" s="2" t="str">
        <f>VLOOKUP(E1091,[1]LL_Hub!$A$1:$B$13,2,FALSE)</f>
        <v>Denver</v>
      </c>
      <c r="K1091" t="str">
        <f>VLOOKUP(D1091,'[2]product Table data'!$A$2:$B$12,2,FALSE)</f>
        <v>Female</v>
      </c>
      <c r="L1091" t="str">
        <f>VLOOKUP($D1091,'[2]product Table data'!$A$2:$G$12,L$1,FALSE)</f>
        <v>Casual n Light</v>
      </c>
      <c r="M1091" t="str">
        <f>VLOOKUP($D1091,'[2]product Table data'!$A$2:$G$12,M$1,FALSE)</f>
        <v>Guatemala</v>
      </c>
      <c r="N1091" t="str">
        <f>VLOOKUP($D1091,'[2]product Table data'!$A$2:$G$12,N$1,FALSE)</f>
        <v>Central America</v>
      </c>
      <c r="O1091">
        <f>VLOOKUP($D1091,'[2]product Table data'!$A$2:$G$12,O$1,FALSE)</f>
        <v>25</v>
      </c>
      <c r="P1091">
        <f>VLOOKUP($D1091,'[2]product Table data'!$A$2:$G$12,P$1,FALSE)</f>
        <v>30</v>
      </c>
      <c r="Q1091">
        <f t="shared" ref="Q1091:Q1154" si="85">P1091-O1091</f>
        <v>5</v>
      </c>
      <c r="R1091" t="str">
        <f t="shared" ref="R1091:R1154" si="86">IF(OR(J1091="Los Angeles",J1091="Denver"),"Hub Risk","-")</f>
        <v>Hub Risk</v>
      </c>
      <c r="S1091" t="str">
        <f t="shared" ref="S1091:S1154" si="87">IF(OR(L1091="Casual n Light",L1091="Fancy Sheek"),"Style Risk","-")</f>
        <v>Style Risk</v>
      </c>
      <c r="T1091" t="str">
        <f t="shared" ref="T1091:T1154" si="88">IF(AND(R1091="Hub Risk", S1091="Style Risk"), "Risk", "-")</f>
        <v>Risk</v>
      </c>
      <c r="U1091" t="str">
        <f t="shared" ref="U1091:U1154" si="89">IF(Q1091&lt;=5, "Low Value", "High Value")</f>
        <v>Low Value</v>
      </c>
    </row>
    <row r="1092" spans="1:21" hidden="1" x14ac:dyDescent="0.2">
      <c r="A1092" s="2">
        <v>953</v>
      </c>
      <c r="B1092" s="2" t="s">
        <v>9</v>
      </c>
      <c r="C1092" s="2" t="s">
        <v>1550</v>
      </c>
      <c r="D1092" s="2" t="s">
        <v>566</v>
      </c>
      <c r="E1092" s="2">
        <v>80123</v>
      </c>
      <c r="F1092" s="2" t="s">
        <v>35</v>
      </c>
      <c r="G1092" s="2" t="s">
        <v>36</v>
      </c>
      <c r="H1092" s="2">
        <v>1</v>
      </c>
      <c r="I1092" s="2" t="s">
        <v>39</v>
      </c>
      <c r="J1092" s="2" t="str">
        <f>VLOOKUP(E1092,[1]LL_Hub!$A$1:$B$13,2,FALSE)</f>
        <v>Denver</v>
      </c>
      <c r="K1092" t="str">
        <f>VLOOKUP(D1092,'[2]product Table data'!$A$2:$B$12,2,FALSE)</f>
        <v>Female</v>
      </c>
      <c r="L1092" t="str">
        <f>VLOOKUP($D1092,'[2]product Table data'!$A$2:$G$12,L$1,FALSE)</f>
        <v>Casual n Light</v>
      </c>
      <c r="M1092" t="str">
        <f>VLOOKUP($D1092,'[2]product Table data'!$A$2:$G$12,M$1,FALSE)</f>
        <v>Guatemala</v>
      </c>
      <c r="N1092" t="str">
        <f>VLOOKUP($D1092,'[2]product Table data'!$A$2:$G$12,N$1,FALSE)</f>
        <v>Central America</v>
      </c>
      <c r="O1092">
        <f>VLOOKUP($D1092,'[2]product Table data'!$A$2:$G$12,O$1,FALSE)</f>
        <v>25</v>
      </c>
      <c r="P1092">
        <f>VLOOKUP($D1092,'[2]product Table data'!$A$2:$G$12,P$1,FALSE)</f>
        <v>30</v>
      </c>
      <c r="Q1092">
        <f t="shared" si="85"/>
        <v>5</v>
      </c>
      <c r="R1092" t="str">
        <f t="shared" si="86"/>
        <v>Hub Risk</v>
      </c>
      <c r="S1092" t="str">
        <f t="shared" si="87"/>
        <v>Style Risk</v>
      </c>
      <c r="T1092" t="str">
        <f t="shared" si="88"/>
        <v>Risk</v>
      </c>
      <c r="U1092" t="str">
        <f t="shared" si="89"/>
        <v>Low Value</v>
      </c>
    </row>
    <row r="1093" spans="1:21" hidden="1" x14ac:dyDescent="0.2">
      <c r="A1093" s="2">
        <v>954</v>
      </c>
      <c r="B1093" s="2" t="s">
        <v>9</v>
      </c>
      <c r="C1093" s="2" t="s">
        <v>1551</v>
      </c>
      <c r="D1093" s="2" t="s">
        <v>566</v>
      </c>
      <c r="E1093" s="2">
        <v>80123</v>
      </c>
      <c r="F1093" s="2" t="s">
        <v>35</v>
      </c>
      <c r="G1093" s="2" t="s">
        <v>36</v>
      </c>
      <c r="H1093" s="2">
        <v>1</v>
      </c>
      <c r="I1093" s="2" t="s">
        <v>39</v>
      </c>
      <c r="J1093" s="2" t="str">
        <f>VLOOKUP(E1093,[1]LL_Hub!$A$1:$B$13,2,FALSE)</f>
        <v>Denver</v>
      </c>
      <c r="K1093" t="str">
        <f>VLOOKUP(D1093,'[2]product Table data'!$A$2:$B$12,2,FALSE)</f>
        <v>Female</v>
      </c>
      <c r="L1093" t="str">
        <f>VLOOKUP($D1093,'[2]product Table data'!$A$2:$G$12,L$1,FALSE)</f>
        <v>Casual n Light</v>
      </c>
      <c r="M1093" t="str">
        <f>VLOOKUP($D1093,'[2]product Table data'!$A$2:$G$12,M$1,FALSE)</f>
        <v>Guatemala</v>
      </c>
      <c r="N1093" t="str">
        <f>VLOOKUP($D1093,'[2]product Table data'!$A$2:$G$12,N$1,FALSE)</f>
        <v>Central America</v>
      </c>
      <c r="O1093">
        <f>VLOOKUP($D1093,'[2]product Table data'!$A$2:$G$12,O$1,FALSE)</f>
        <v>25</v>
      </c>
      <c r="P1093">
        <f>VLOOKUP($D1093,'[2]product Table data'!$A$2:$G$12,P$1,FALSE)</f>
        <v>30</v>
      </c>
      <c r="Q1093">
        <f t="shared" si="85"/>
        <v>5</v>
      </c>
      <c r="R1093" t="str">
        <f t="shared" si="86"/>
        <v>Hub Risk</v>
      </c>
      <c r="S1093" t="str">
        <f t="shared" si="87"/>
        <v>Style Risk</v>
      </c>
      <c r="T1093" t="str">
        <f t="shared" si="88"/>
        <v>Risk</v>
      </c>
      <c r="U1093" t="str">
        <f t="shared" si="89"/>
        <v>Low Value</v>
      </c>
    </row>
    <row r="1094" spans="1:21" hidden="1" x14ac:dyDescent="0.2">
      <c r="A1094" s="2">
        <v>955</v>
      </c>
      <c r="B1094" s="2" t="s">
        <v>9</v>
      </c>
      <c r="C1094" s="2" t="s">
        <v>1552</v>
      </c>
      <c r="D1094" s="2" t="s">
        <v>566</v>
      </c>
      <c r="E1094" s="2">
        <v>80123</v>
      </c>
      <c r="F1094" s="2" t="s">
        <v>35</v>
      </c>
      <c r="G1094" s="2" t="s">
        <v>36</v>
      </c>
      <c r="H1094" s="2">
        <v>1</v>
      </c>
      <c r="I1094" s="2" t="s">
        <v>39</v>
      </c>
      <c r="J1094" s="2" t="str">
        <f>VLOOKUP(E1094,[1]LL_Hub!$A$1:$B$13,2,FALSE)</f>
        <v>Denver</v>
      </c>
      <c r="K1094" t="str">
        <f>VLOOKUP(D1094,'[2]product Table data'!$A$2:$B$12,2,FALSE)</f>
        <v>Female</v>
      </c>
      <c r="L1094" t="str">
        <f>VLOOKUP($D1094,'[2]product Table data'!$A$2:$G$12,L$1,FALSE)</f>
        <v>Casual n Light</v>
      </c>
      <c r="M1094" t="str">
        <f>VLOOKUP($D1094,'[2]product Table data'!$A$2:$G$12,M$1,FALSE)</f>
        <v>Guatemala</v>
      </c>
      <c r="N1094" t="str">
        <f>VLOOKUP($D1094,'[2]product Table data'!$A$2:$G$12,N$1,FALSE)</f>
        <v>Central America</v>
      </c>
      <c r="O1094">
        <f>VLOOKUP($D1094,'[2]product Table data'!$A$2:$G$12,O$1,FALSE)</f>
        <v>25</v>
      </c>
      <c r="P1094">
        <f>VLOOKUP($D1094,'[2]product Table data'!$A$2:$G$12,P$1,FALSE)</f>
        <v>30</v>
      </c>
      <c r="Q1094">
        <f t="shared" si="85"/>
        <v>5</v>
      </c>
      <c r="R1094" t="str">
        <f t="shared" si="86"/>
        <v>Hub Risk</v>
      </c>
      <c r="S1094" t="str">
        <f t="shared" si="87"/>
        <v>Style Risk</v>
      </c>
      <c r="T1094" t="str">
        <f t="shared" si="88"/>
        <v>Risk</v>
      </c>
      <c r="U1094" t="str">
        <f t="shared" si="89"/>
        <v>Low Value</v>
      </c>
    </row>
    <row r="1095" spans="1:21" hidden="1" x14ac:dyDescent="0.2">
      <c r="A1095" s="2">
        <v>956</v>
      </c>
      <c r="B1095" s="2" t="s">
        <v>9</v>
      </c>
      <c r="C1095" s="2" t="s">
        <v>1553</v>
      </c>
      <c r="D1095" s="2" t="s">
        <v>566</v>
      </c>
      <c r="E1095" s="2">
        <v>80123</v>
      </c>
      <c r="F1095" s="2" t="s">
        <v>35</v>
      </c>
      <c r="G1095" s="2" t="s">
        <v>36</v>
      </c>
      <c r="H1095" s="2">
        <v>1</v>
      </c>
      <c r="I1095" s="2" t="s">
        <v>39</v>
      </c>
      <c r="J1095" s="2" t="str">
        <f>VLOOKUP(E1095,[1]LL_Hub!$A$1:$B$13,2,FALSE)</f>
        <v>Denver</v>
      </c>
      <c r="K1095" t="str">
        <f>VLOOKUP(D1095,'[2]product Table data'!$A$2:$B$12,2,FALSE)</f>
        <v>Female</v>
      </c>
      <c r="L1095" t="str">
        <f>VLOOKUP($D1095,'[2]product Table data'!$A$2:$G$12,L$1,FALSE)</f>
        <v>Casual n Light</v>
      </c>
      <c r="M1095" t="str">
        <f>VLOOKUP($D1095,'[2]product Table data'!$A$2:$G$12,M$1,FALSE)</f>
        <v>Guatemala</v>
      </c>
      <c r="N1095" t="str">
        <f>VLOOKUP($D1095,'[2]product Table data'!$A$2:$G$12,N$1,FALSE)</f>
        <v>Central America</v>
      </c>
      <c r="O1095">
        <f>VLOOKUP($D1095,'[2]product Table data'!$A$2:$G$12,O$1,FALSE)</f>
        <v>25</v>
      </c>
      <c r="P1095">
        <f>VLOOKUP($D1095,'[2]product Table data'!$A$2:$G$12,P$1,FALSE)</f>
        <v>30</v>
      </c>
      <c r="Q1095">
        <f t="shared" si="85"/>
        <v>5</v>
      </c>
      <c r="R1095" t="str">
        <f t="shared" si="86"/>
        <v>Hub Risk</v>
      </c>
      <c r="S1095" t="str">
        <f t="shared" si="87"/>
        <v>Style Risk</v>
      </c>
      <c r="T1095" t="str">
        <f t="shared" si="88"/>
        <v>Risk</v>
      </c>
      <c r="U1095" t="str">
        <f t="shared" si="89"/>
        <v>Low Value</v>
      </c>
    </row>
    <row r="1096" spans="1:21" hidden="1" x14ac:dyDescent="0.2">
      <c r="A1096" s="2">
        <v>957</v>
      </c>
      <c r="B1096" s="2" t="s">
        <v>9</v>
      </c>
      <c r="C1096" s="2" t="s">
        <v>1554</v>
      </c>
      <c r="D1096" s="2" t="s">
        <v>566</v>
      </c>
      <c r="E1096" s="2">
        <v>80123</v>
      </c>
      <c r="F1096" s="2" t="s">
        <v>35</v>
      </c>
      <c r="G1096" s="2" t="s">
        <v>36</v>
      </c>
      <c r="H1096" s="2">
        <v>1</v>
      </c>
      <c r="I1096" s="2" t="s">
        <v>39</v>
      </c>
      <c r="J1096" s="2" t="str">
        <f>VLOOKUP(E1096,[1]LL_Hub!$A$1:$B$13,2,FALSE)</f>
        <v>Denver</v>
      </c>
      <c r="K1096" t="str">
        <f>VLOOKUP(D1096,'[2]product Table data'!$A$2:$B$12,2,FALSE)</f>
        <v>Female</v>
      </c>
      <c r="L1096" t="str">
        <f>VLOOKUP($D1096,'[2]product Table data'!$A$2:$G$12,L$1,FALSE)</f>
        <v>Casual n Light</v>
      </c>
      <c r="M1096" t="str">
        <f>VLOOKUP($D1096,'[2]product Table data'!$A$2:$G$12,M$1,FALSE)</f>
        <v>Guatemala</v>
      </c>
      <c r="N1096" t="str">
        <f>VLOOKUP($D1096,'[2]product Table data'!$A$2:$G$12,N$1,FALSE)</f>
        <v>Central America</v>
      </c>
      <c r="O1096">
        <f>VLOOKUP($D1096,'[2]product Table data'!$A$2:$G$12,O$1,FALSE)</f>
        <v>25</v>
      </c>
      <c r="P1096">
        <f>VLOOKUP($D1096,'[2]product Table data'!$A$2:$G$12,P$1,FALSE)</f>
        <v>30</v>
      </c>
      <c r="Q1096">
        <f t="shared" si="85"/>
        <v>5</v>
      </c>
      <c r="R1096" t="str">
        <f t="shared" si="86"/>
        <v>Hub Risk</v>
      </c>
      <c r="S1096" t="str">
        <f t="shared" si="87"/>
        <v>Style Risk</v>
      </c>
      <c r="T1096" t="str">
        <f t="shared" si="88"/>
        <v>Risk</v>
      </c>
      <c r="U1096" t="str">
        <f t="shared" si="89"/>
        <v>Low Value</v>
      </c>
    </row>
    <row r="1097" spans="1:21" hidden="1" x14ac:dyDescent="0.2">
      <c r="A1097" s="2">
        <v>958</v>
      </c>
      <c r="B1097" s="2" t="s">
        <v>9</v>
      </c>
      <c r="C1097" s="2" t="s">
        <v>1555</v>
      </c>
      <c r="D1097" s="2" t="s">
        <v>566</v>
      </c>
      <c r="E1097" s="2">
        <v>80123</v>
      </c>
      <c r="F1097" s="2" t="s">
        <v>35</v>
      </c>
      <c r="G1097" s="2" t="s">
        <v>36</v>
      </c>
      <c r="H1097" s="2">
        <v>1</v>
      </c>
      <c r="I1097" s="2" t="s">
        <v>39</v>
      </c>
      <c r="J1097" s="2" t="str">
        <f>VLOOKUP(E1097,[1]LL_Hub!$A$1:$B$13,2,FALSE)</f>
        <v>Denver</v>
      </c>
      <c r="K1097" t="str">
        <f>VLOOKUP(D1097,'[2]product Table data'!$A$2:$B$12,2,FALSE)</f>
        <v>Female</v>
      </c>
      <c r="L1097" t="str">
        <f>VLOOKUP($D1097,'[2]product Table data'!$A$2:$G$12,L$1,FALSE)</f>
        <v>Casual n Light</v>
      </c>
      <c r="M1097" t="str">
        <f>VLOOKUP($D1097,'[2]product Table data'!$A$2:$G$12,M$1,FALSE)</f>
        <v>Guatemala</v>
      </c>
      <c r="N1097" t="str">
        <f>VLOOKUP($D1097,'[2]product Table data'!$A$2:$G$12,N$1,FALSE)</f>
        <v>Central America</v>
      </c>
      <c r="O1097">
        <f>VLOOKUP($D1097,'[2]product Table data'!$A$2:$G$12,O$1,FALSE)</f>
        <v>25</v>
      </c>
      <c r="P1097">
        <f>VLOOKUP($D1097,'[2]product Table data'!$A$2:$G$12,P$1,FALSE)</f>
        <v>30</v>
      </c>
      <c r="Q1097">
        <f t="shared" si="85"/>
        <v>5</v>
      </c>
      <c r="R1097" t="str">
        <f t="shared" si="86"/>
        <v>Hub Risk</v>
      </c>
      <c r="S1097" t="str">
        <f t="shared" si="87"/>
        <v>Style Risk</v>
      </c>
      <c r="T1097" t="str">
        <f t="shared" si="88"/>
        <v>Risk</v>
      </c>
      <c r="U1097" t="str">
        <f t="shared" si="89"/>
        <v>Low Value</v>
      </c>
    </row>
    <row r="1098" spans="1:21" hidden="1" x14ac:dyDescent="0.2">
      <c r="A1098" s="2">
        <v>959</v>
      </c>
      <c r="B1098" s="2" t="s">
        <v>9</v>
      </c>
      <c r="C1098" s="2" t="s">
        <v>1556</v>
      </c>
      <c r="D1098" s="2" t="s">
        <v>566</v>
      </c>
      <c r="E1098" s="2">
        <v>80123</v>
      </c>
      <c r="F1098" s="2" t="s">
        <v>35</v>
      </c>
      <c r="G1098" s="2" t="s">
        <v>36</v>
      </c>
      <c r="H1098" s="2">
        <v>1</v>
      </c>
      <c r="I1098" s="2" t="s">
        <v>39</v>
      </c>
      <c r="J1098" s="2" t="str">
        <f>VLOOKUP(E1098,[1]LL_Hub!$A$1:$B$13,2,FALSE)</f>
        <v>Denver</v>
      </c>
      <c r="K1098" t="str">
        <f>VLOOKUP(D1098,'[2]product Table data'!$A$2:$B$12,2,FALSE)</f>
        <v>Female</v>
      </c>
      <c r="L1098" t="str">
        <f>VLOOKUP($D1098,'[2]product Table data'!$A$2:$G$12,L$1,FALSE)</f>
        <v>Casual n Light</v>
      </c>
      <c r="M1098" t="str">
        <f>VLOOKUP($D1098,'[2]product Table data'!$A$2:$G$12,M$1,FALSE)</f>
        <v>Guatemala</v>
      </c>
      <c r="N1098" t="str">
        <f>VLOOKUP($D1098,'[2]product Table data'!$A$2:$G$12,N$1,FALSE)</f>
        <v>Central America</v>
      </c>
      <c r="O1098">
        <f>VLOOKUP($D1098,'[2]product Table data'!$A$2:$G$12,O$1,FALSE)</f>
        <v>25</v>
      </c>
      <c r="P1098">
        <f>VLOOKUP($D1098,'[2]product Table data'!$A$2:$G$12,P$1,FALSE)</f>
        <v>30</v>
      </c>
      <c r="Q1098">
        <f t="shared" si="85"/>
        <v>5</v>
      </c>
      <c r="R1098" t="str">
        <f t="shared" si="86"/>
        <v>Hub Risk</v>
      </c>
      <c r="S1098" t="str">
        <f t="shared" si="87"/>
        <v>Style Risk</v>
      </c>
      <c r="T1098" t="str">
        <f t="shared" si="88"/>
        <v>Risk</v>
      </c>
      <c r="U1098" t="str">
        <f t="shared" si="89"/>
        <v>Low Value</v>
      </c>
    </row>
    <row r="1099" spans="1:21" hidden="1" x14ac:dyDescent="0.2">
      <c r="A1099" s="2">
        <v>960</v>
      </c>
      <c r="B1099" s="2" t="s">
        <v>9</v>
      </c>
      <c r="C1099" s="2" t="s">
        <v>1557</v>
      </c>
      <c r="D1099" s="2" t="s">
        <v>566</v>
      </c>
      <c r="E1099" s="2">
        <v>80123</v>
      </c>
      <c r="F1099" s="2" t="s">
        <v>35</v>
      </c>
      <c r="G1099" s="2" t="s">
        <v>36</v>
      </c>
      <c r="H1099" s="2">
        <v>1</v>
      </c>
      <c r="I1099" s="2" t="s">
        <v>39</v>
      </c>
      <c r="J1099" s="2" t="str">
        <f>VLOOKUP(E1099,[1]LL_Hub!$A$1:$B$13,2,FALSE)</f>
        <v>Denver</v>
      </c>
      <c r="K1099" t="str">
        <f>VLOOKUP(D1099,'[2]product Table data'!$A$2:$B$12,2,FALSE)</f>
        <v>Female</v>
      </c>
      <c r="L1099" t="str">
        <f>VLOOKUP($D1099,'[2]product Table data'!$A$2:$G$12,L$1,FALSE)</f>
        <v>Casual n Light</v>
      </c>
      <c r="M1099" t="str">
        <f>VLOOKUP($D1099,'[2]product Table data'!$A$2:$G$12,M$1,FALSE)</f>
        <v>Guatemala</v>
      </c>
      <c r="N1099" t="str">
        <f>VLOOKUP($D1099,'[2]product Table data'!$A$2:$G$12,N$1,FALSE)</f>
        <v>Central America</v>
      </c>
      <c r="O1099">
        <f>VLOOKUP($D1099,'[2]product Table data'!$A$2:$G$12,O$1,FALSE)</f>
        <v>25</v>
      </c>
      <c r="P1099">
        <f>VLOOKUP($D1099,'[2]product Table data'!$A$2:$G$12,P$1,FALSE)</f>
        <v>30</v>
      </c>
      <c r="Q1099">
        <f t="shared" si="85"/>
        <v>5</v>
      </c>
      <c r="R1099" t="str">
        <f t="shared" si="86"/>
        <v>Hub Risk</v>
      </c>
      <c r="S1099" t="str">
        <f t="shared" si="87"/>
        <v>Style Risk</v>
      </c>
      <c r="T1099" t="str">
        <f t="shared" si="88"/>
        <v>Risk</v>
      </c>
      <c r="U1099" t="str">
        <f t="shared" si="89"/>
        <v>Low Value</v>
      </c>
    </row>
    <row r="1100" spans="1:21" hidden="1" x14ac:dyDescent="0.2">
      <c r="A1100" s="2">
        <v>961</v>
      </c>
      <c r="B1100" s="2" t="s">
        <v>9</v>
      </c>
      <c r="C1100" s="2" t="s">
        <v>1558</v>
      </c>
      <c r="D1100" s="2" t="s">
        <v>566</v>
      </c>
      <c r="E1100" s="2">
        <v>80123</v>
      </c>
      <c r="F1100" s="2" t="s">
        <v>1559</v>
      </c>
      <c r="G1100" s="2" t="s">
        <v>13</v>
      </c>
      <c r="H1100" s="2">
        <v>1</v>
      </c>
      <c r="I1100" s="2" t="s">
        <v>39</v>
      </c>
      <c r="J1100" s="2" t="str">
        <f>VLOOKUP(E1100,[1]LL_Hub!$A$1:$B$13,2,FALSE)</f>
        <v>Denver</v>
      </c>
      <c r="K1100" t="str">
        <f>VLOOKUP(D1100,'[2]product Table data'!$A$2:$B$12,2,FALSE)</f>
        <v>Female</v>
      </c>
      <c r="L1100" t="str">
        <f>VLOOKUP($D1100,'[2]product Table data'!$A$2:$G$12,L$1,FALSE)</f>
        <v>Casual n Light</v>
      </c>
      <c r="M1100" t="str">
        <f>VLOOKUP($D1100,'[2]product Table data'!$A$2:$G$12,M$1,FALSE)</f>
        <v>Guatemala</v>
      </c>
      <c r="N1100" t="str">
        <f>VLOOKUP($D1100,'[2]product Table data'!$A$2:$G$12,N$1,FALSE)</f>
        <v>Central America</v>
      </c>
      <c r="O1100">
        <f>VLOOKUP($D1100,'[2]product Table data'!$A$2:$G$12,O$1,FALSE)</f>
        <v>25</v>
      </c>
      <c r="P1100">
        <f>VLOOKUP($D1100,'[2]product Table data'!$A$2:$G$12,P$1,FALSE)</f>
        <v>30</v>
      </c>
      <c r="Q1100">
        <f t="shared" si="85"/>
        <v>5</v>
      </c>
      <c r="R1100" t="str">
        <f t="shared" si="86"/>
        <v>Hub Risk</v>
      </c>
      <c r="S1100" t="str">
        <f t="shared" si="87"/>
        <v>Style Risk</v>
      </c>
      <c r="T1100" t="str">
        <f t="shared" si="88"/>
        <v>Risk</v>
      </c>
      <c r="U1100" t="str">
        <f t="shared" si="89"/>
        <v>Low Value</v>
      </c>
    </row>
    <row r="1101" spans="1:21" hidden="1" x14ac:dyDescent="0.2">
      <c r="A1101" s="2">
        <v>962</v>
      </c>
      <c r="B1101" s="2" t="s">
        <v>9</v>
      </c>
      <c r="C1101" s="2" t="s">
        <v>1560</v>
      </c>
      <c r="D1101" s="2" t="s">
        <v>566</v>
      </c>
      <c r="E1101" s="2">
        <v>80123</v>
      </c>
      <c r="F1101" s="2" t="s">
        <v>1561</v>
      </c>
      <c r="G1101" s="2" t="s">
        <v>13</v>
      </c>
      <c r="H1101" s="2">
        <v>1</v>
      </c>
      <c r="I1101" s="2" t="s">
        <v>39</v>
      </c>
      <c r="J1101" s="2" t="str">
        <f>VLOOKUP(E1101,[1]LL_Hub!$A$1:$B$13,2,FALSE)</f>
        <v>Denver</v>
      </c>
      <c r="K1101" t="str">
        <f>VLOOKUP(D1101,'[2]product Table data'!$A$2:$B$12,2,FALSE)</f>
        <v>Female</v>
      </c>
      <c r="L1101" t="str">
        <f>VLOOKUP($D1101,'[2]product Table data'!$A$2:$G$12,L$1,FALSE)</f>
        <v>Casual n Light</v>
      </c>
      <c r="M1101" t="str">
        <f>VLOOKUP($D1101,'[2]product Table data'!$A$2:$G$12,M$1,FALSE)</f>
        <v>Guatemala</v>
      </c>
      <c r="N1101" t="str">
        <f>VLOOKUP($D1101,'[2]product Table data'!$A$2:$G$12,N$1,FALSE)</f>
        <v>Central America</v>
      </c>
      <c r="O1101">
        <f>VLOOKUP($D1101,'[2]product Table data'!$A$2:$G$12,O$1,FALSE)</f>
        <v>25</v>
      </c>
      <c r="P1101">
        <f>VLOOKUP($D1101,'[2]product Table data'!$A$2:$G$12,P$1,FALSE)</f>
        <v>30</v>
      </c>
      <c r="Q1101">
        <f t="shared" si="85"/>
        <v>5</v>
      </c>
      <c r="R1101" t="str">
        <f t="shared" si="86"/>
        <v>Hub Risk</v>
      </c>
      <c r="S1101" t="str">
        <f t="shared" si="87"/>
        <v>Style Risk</v>
      </c>
      <c r="T1101" t="str">
        <f t="shared" si="88"/>
        <v>Risk</v>
      </c>
      <c r="U1101" t="str">
        <f t="shared" si="89"/>
        <v>Low Value</v>
      </c>
    </row>
    <row r="1102" spans="1:21" hidden="1" x14ac:dyDescent="0.2">
      <c r="A1102" s="2">
        <v>963</v>
      </c>
      <c r="B1102" s="2" t="s">
        <v>9</v>
      </c>
      <c r="C1102" s="2" t="s">
        <v>1562</v>
      </c>
      <c r="D1102" s="2" t="s">
        <v>566</v>
      </c>
      <c r="E1102" s="2">
        <v>80123</v>
      </c>
      <c r="F1102" s="2" t="s">
        <v>1563</v>
      </c>
      <c r="G1102" s="2" t="s">
        <v>13</v>
      </c>
      <c r="H1102" s="2">
        <v>1</v>
      </c>
      <c r="I1102" s="2" t="s">
        <v>39</v>
      </c>
      <c r="J1102" s="2" t="str">
        <f>VLOOKUP(E1102,[1]LL_Hub!$A$1:$B$13,2,FALSE)</f>
        <v>Denver</v>
      </c>
      <c r="K1102" t="str">
        <f>VLOOKUP(D1102,'[2]product Table data'!$A$2:$B$12,2,FALSE)</f>
        <v>Female</v>
      </c>
      <c r="L1102" t="str">
        <f>VLOOKUP($D1102,'[2]product Table data'!$A$2:$G$12,L$1,FALSE)</f>
        <v>Casual n Light</v>
      </c>
      <c r="M1102" t="str">
        <f>VLOOKUP($D1102,'[2]product Table data'!$A$2:$G$12,M$1,FALSE)</f>
        <v>Guatemala</v>
      </c>
      <c r="N1102" t="str">
        <f>VLOOKUP($D1102,'[2]product Table data'!$A$2:$G$12,N$1,FALSE)</f>
        <v>Central America</v>
      </c>
      <c r="O1102">
        <f>VLOOKUP($D1102,'[2]product Table data'!$A$2:$G$12,O$1,FALSE)</f>
        <v>25</v>
      </c>
      <c r="P1102">
        <f>VLOOKUP($D1102,'[2]product Table data'!$A$2:$G$12,P$1,FALSE)</f>
        <v>30</v>
      </c>
      <c r="Q1102">
        <f t="shared" si="85"/>
        <v>5</v>
      </c>
      <c r="R1102" t="str">
        <f t="shared" si="86"/>
        <v>Hub Risk</v>
      </c>
      <c r="S1102" t="str">
        <f t="shared" si="87"/>
        <v>Style Risk</v>
      </c>
      <c r="T1102" t="str">
        <f t="shared" si="88"/>
        <v>Risk</v>
      </c>
      <c r="U1102" t="str">
        <f t="shared" si="89"/>
        <v>Low Value</v>
      </c>
    </row>
    <row r="1103" spans="1:21" hidden="1" x14ac:dyDescent="0.2">
      <c r="A1103" s="2">
        <v>964</v>
      </c>
      <c r="B1103" s="2" t="s">
        <v>9</v>
      </c>
      <c r="C1103" s="2" t="s">
        <v>1564</v>
      </c>
      <c r="D1103" s="2" t="s">
        <v>566</v>
      </c>
      <c r="E1103" s="2">
        <v>80123</v>
      </c>
      <c r="F1103" s="2" t="s">
        <v>1565</v>
      </c>
      <c r="G1103" s="2" t="s">
        <v>13</v>
      </c>
      <c r="H1103" s="2">
        <v>1</v>
      </c>
      <c r="I1103" s="2" t="s">
        <v>39</v>
      </c>
      <c r="J1103" s="2" t="str">
        <f>VLOOKUP(E1103,[1]LL_Hub!$A$1:$B$13,2,FALSE)</f>
        <v>Denver</v>
      </c>
      <c r="K1103" t="str">
        <f>VLOOKUP(D1103,'[2]product Table data'!$A$2:$B$12,2,FALSE)</f>
        <v>Female</v>
      </c>
      <c r="L1103" t="str">
        <f>VLOOKUP($D1103,'[2]product Table data'!$A$2:$G$12,L$1,FALSE)</f>
        <v>Casual n Light</v>
      </c>
      <c r="M1103" t="str">
        <f>VLOOKUP($D1103,'[2]product Table data'!$A$2:$G$12,M$1,FALSE)</f>
        <v>Guatemala</v>
      </c>
      <c r="N1103" t="str">
        <f>VLOOKUP($D1103,'[2]product Table data'!$A$2:$G$12,N$1,FALSE)</f>
        <v>Central America</v>
      </c>
      <c r="O1103">
        <f>VLOOKUP($D1103,'[2]product Table data'!$A$2:$G$12,O$1,FALSE)</f>
        <v>25</v>
      </c>
      <c r="P1103">
        <f>VLOOKUP($D1103,'[2]product Table data'!$A$2:$G$12,P$1,FALSE)</f>
        <v>30</v>
      </c>
      <c r="Q1103">
        <f t="shared" si="85"/>
        <v>5</v>
      </c>
      <c r="R1103" t="str">
        <f t="shared" si="86"/>
        <v>Hub Risk</v>
      </c>
      <c r="S1103" t="str">
        <f t="shared" si="87"/>
        <v>Style Risk</v>
      </c>
      <c r="T1103" t="str">
        <f t="shared" si="88"/>
        <v>Risk</v>
      </c>
      <c r="U1103" t="str">
        <f t="shared" si="89"/>
        <v>Low Value</v>
      </c>
    </row>
    <row r="1104" spans="1:21" hidden="1" x14ac:dyDescent="0.2">
      <c r="A1104" s="2">
        <v>965</v>
      </c>
      <c r="B1104" s="2" t="s">
        <v>9</v>
      </c>
      <c r="C1104" s="2" t="s">
        <v>1566</v>
      </c>
      <c r="D1104" s="2" t="s">
        <v>566</v>
      </c>
      <c r="E1104" s="2">
        <v>80123</v>
      </c>
      <c r="F1104" s="2" t="s">
        <v>1567</v>
      </c>
      <c r="G1104" s="2" t="s">
        <v>13</v>
      </c>
      <c r="H1104" s="2">
        <v>1</v>
      </c>
      <c r="I1104" s="2" t="s">
        <v>39</v>
      </c>
      <c r="J1104" s="2" t="str">
        <f>VLOOKUP(E1104,[1]LL_Hub!$A$1:$B$13,2,FALSE)</f>
        <v>Denver</v>
      </c>
      <c r="K1104" t="str">
        <f>VLOOKUP(D1104,'[2]product Table data'!$A$2:$B$12,2,FALSE)</f>
        <v>Female</v>
      </c>
      <c r="L1104" t="str">
        <f>VLOOKUP($D1104,'[2]product Table data'!$A$2:$G$12,L$1,FALSE)</f>
        <v>Casual n Light</v>
      </c>
      <c r="M1104" t="str">
        <f>VLOOKUP($D1104,'[2]product Table data'!$A$2:$G$12,M$1,FALSE)</f>
        <v>Guatemala</v>
      </c>
      <c r="N1104" t="str">
        <f>VLOOKUP($D1104,'[2]product Table data'!$A$2:$G$12,N$1,FALSE)</f>
        <v>Central America</v>
      </c>
      <c r="O1104">
        <f>VLOOKUP($D1104,'[2]product Table data'!$A$2:$G$12,O$1,FALSE)</f>
        <v>25</v>
      </c>
      <c r="P1104">
        <f>VLOOKUP($D1104,'[2]product Table data'!$A$2:$G$12,P$1,FALSE)</f>
        <v>30</v>
      </c>
      <c r="Q1104">
        <f t="shared" si="85"/>
        <v>5</v>
      </c>
      <c r="R1104" t="str">
        <f t="shared" si="86"/>
        <v>Hub Risk</v>
      </c>
      <c r="S1104" t="str">
        <f t="shared" si="87"/>
        <v>Style Risk</v>
      </c>
      <c r="T1104" t="str">
        <f t="shared" si="88"/>
        <v>Risk</v>
      </c>
      <c r="U1104" t="str">
        <f t="shared" si="89"/>
        <v>Low Value</v>
      </c>
    </row>
    <row r="1105" spans="1:21" hidden="1" x14ac:dyDescent="0.2">
      <c r="A1105" s="2">
        <v>966</v>
      </c>
      <c r="B1105" s="2" t="s">
        <v>9</v>
      </c>
      <c r="C1105" s="2" t="s">
        <v>1568</v>
      </c>
      <c r="D1105" s="2" t="s">
        <v>566</v>
      </c>
      <c r="E1105" s="2">
        <v>80123</v>
      </c>
      <c r="F1105" s="2" t="s">
        <v>1569</v>
      </c>
      <c r="G1105" s="2" t="s">
        <v>13</v>
      </c>
      <c r="H1105" s="2">
        <v>1</v>
      </c>
      <c r="I1105" s="2" t="s">
        <v>39</v>
      </c>
      <c r="J1105" s="2" t="str">
        <f>VLOOKUP(E1105,[1]LL_Hub!$A$1:$B$13,2,FALSE)</f>
        <v>Denver</v>
      </c>
      <c r="K1105" t="str">
        <f>VLOOKUP(D1105,'[2]product Table data'!$A$2:$B$12,2,FALSE)</f>
        <v>Female</v>
      </c>
      <c r="L1105" t="str">
        <f>VLOOKUP($D1105,'[2]product Table data'!$A$2:$G$12,L$1,FALSE)</f>
        <v>Casual n Light</v>
      </c>
      <c r="M1105" t="str">
        <f>VLOOKUP($D1105,'[2]product Table data'!$A$2:$G$12,M$1,FALSE)</f>
        <v>Guatemala</v>
      </c>
      <c r="N1105" t="str">
        <f>VLOOKUP($D1105,'[2]product Table data'!$A$2:$G$12,N$1,FALSE)</f>
        <v>Central America</v>
      </c>
      <c r="O1105">
        <f>VLOOKUP($D1105,'[2]product Table data'!$A$2:$G$12,O$1,FALSE)</f>
        <v>25</v>
      </c>
      <c r="P1105">
        <f>VLOOKUP($D1105,'[2]product Table data'!$A$2:$G$12,P$1,FALSE)</f>
        <v>30</v>
      </c>
      <c r="Q1105">
        <f t="shared" si="85"/>
        <v>5</v>
      </c>
      <c r="R1105" t="str">
        <f t="shared" si="86"/>
        <v>Hub Risk</v>
      </c>
      <c r="S1105" t="str">
        <f t="shared" si="87"/>
        <v>Style Risk</v>
      </c>
      <c r="T1105" t="str">
        <f t="shared" si="88"/>
        <v>Risk</v>
      </c>
      <c r="U1105" t="str">
        <f t="shared" si="89"/>
        <v>Low Value</v>
      </c>
    </row>
    <row r="1106" spans="1:21" hidden="1" x14ac:dyDescent="0.2">
      <c r="A1106" s="2">
        <v>978</v>
      </c>
      <c r="B1106" s="2" t="s">
        <v>9</v>
      </c>
      <c r="C1106" s="2" t="s">
        <v>1570</v>
      </c>
      <c r="D1106" s="2" t="s">
        <v>566</v>
      </c>
      <c r="E1106" s="2">
        <v>80123</v>
      </c>
      <c r="F1106" s="2" t="s">
        <v>1571</v>
      </c>
      <c r="G1106" s="2" t="s">
        <v>13</v>
      </c>
      <c r="H1106" s="2">
        <v>1</v>
      </c>
      <c r="I1106" s="2" t="s">
        <v>39</v>
      </c>
      <c r="J1106" s="2" t="str">
        <f>VLOOKUP(E1106,[1]LL_Hub!$A$1:$B$13,2,FALSE)</f>
        <v>Denver</v>
      </c>
      <c r="K1106" t="str">
        <f>VLOOKUP(D1106,'[2]product Table data'!$A$2:$B$12,2,FALSE)</f>
        <v>Female</v>
      </c>
      <c r="L1106" t="str">
        <f>VLOOKUP($D1106,'[2]product Table data'!$A$2:$G$12,L$1,FALSE)</f>
        <v>Casual n Light</v>
      </c>
      <c r="M1106" t="str">
        <f>VLOOKUP($D1106,'[2]product Table data'!$A$2:$G$12,M$1,FALSE)</f>
        <v>Guatemala</v>
      </c>
      <c r="N1106" t="str">
        <f>VLOOKUP($D1106,'[2]product Table data'!$A$2:$G$12,N$1,FALSE)</f>
        <v>Central America</v>
      </c>
      <c r="O1106">
        <f>VLOOKUP($D1106,'[2]product Table data'!$A$2:$G$12,O$1,FALSE)</f>
        <v>25</v>
      </c>
      <c r="P1106">
        <f>VLOOKUP($D1106,'[2]product Table data'!$A$2:$G$12,P$1,FALSE)</f>
        <v>30</v>
      </c>
      <c r="Q1106">
        <f t="shared" si="85"/>
        <v>5</v>
      </c>
      <c r="R1106" t="str">
        <f t="shared" si="86"/>
        <v>Hub Risk</v>
      </c>
      <c r="S1106" t="str">
        <f t="shared" si="87"/>
        <v>Style Risk</v>
      </c>
      <c r="T1106" t="str">
        <f t="shared" si="88"/>
        <v>Risk</v>
      </c>
      <c r="U1106" t="str">
        <f t="shared" si="89"/>
        <v>Low Value</v>
      </c>
    </row>
    <row r="1107" spans="1:21" hidden="1" x14ac:dyDescent="0.2">
      <c r="A1107" s="2">
        <v>980</v>
      </c>
      <c r="B1107" s="2" t="s">
        <v>9</v>
      </c>
      <c r="C1107" s="2" t="s">
        <v>1572</v>
      </c>
      <c r="D1107" s="2" t="s">
        <v>566</v>
      </c>
      <c r="E1107" s="2">
        <v>80123</v>
      </c>
      <c r="F1107" s="2" t="s">
        <v>1573</v>
      </c>
      <c r="G1107" s="2" t="s">
        <v>13</v>
      </c>
      <c r="H1107" s="2">
        <v>1</v>
      </c>
      <c r="I1107" s="2" t="s">
        <v>39</v>
      </c>
      <c r="J1107" s="2" t="str">
        <f>VLOOKUP(E1107,[1]LL_Hub!$A$1:$B$13,2,FALSE)</f>
        <v>Denver</v>
      </c>
      <c r="K1107" t="str">
        <f>VLOOKUP(D1107,'[2]product Table data'!$A$2:$B$12,2,FALSE)</f>
        <v>Female</v>
      </c>
      <c r="L1107" t="str">
        <f>VLOOKUP($D1107,'[2]product Table data'!$A$2:$G$12,L$1,FALSE)</f>
        <v>Casual n Light</v>
      </c>
      <c r="M1107" t="str">
        <f>VLOOKUP($D1107,'[2]product Table data'!$A$2:$G$12,M$1,FALSE)</f>
        <v>Guatemala</v>
      </c>
      <c r="N1107" t="str">
        <f>VLOOKUP($D1107,'[2]product Table data'!$A$2:$G$12,N$1,FALSE)</f>
        <v>Central America</v>
      </c>
      <c r="O1107">
        <f>VLOOKUP($D1107,'[2]product Table data'!$A$2:$G$12,O$1,FALSE)</f>
        <v>25</v>
      </c>
      <c r="P1107">
        <f>VLOOKUP($D1107,'[2]product Table data'!$A$2:$G$12,P$1,FALSE)</f>
        <v>30</v>
      </c>
      <c r="Q1107">
        <f t="shared" si="85"/>
        <v>5</v>
      </c>
      <c r="R1107" t="str">
        <f t="shared" si="86"/>
        <v>Hub Risk</v>
      </c>
      <c r="S1107" t="str">
        <f t="shared" si="87"/>
        <v>Style Risk</v>
      </c>
      <c r="T1107" t="str">
        <f t="shared" si="88"/>
        <v>Risk</v>
      </c>
      <c r="U1107" t="str">
        <f t="shared" si="89"/>
        <v>Low Value</v>
      </c>
    </row>
    <row r="1108" spans="1:21" hidden="1" x14ac:dyDescent="0.2">
      <c r="A1108" s="2">
        <v>981</v>
      </c>
      <c r="B1108" s="2" t="s">
        <v>9</v>
      </c>
      <c r="C1108" s="2" t="s">
        <v>1574</v>
      </c>
      <c r="D1108" s="2" t="s">
        <v>566</v>
      </c>
      <c r="E1108" s="2">
        <v>80123</v>
      </c>
      <c r="F1108" s="2" t="s">
        <v>1575</v>
      </c>
      <c r="G1108" s="2" t="s">
        <v>13</v>
      </c>
      <c r="H1108" s="2">
        <v>1</v>
      </c>
      <c r="I1108" s="2" t="s">
        <v>39</v>
      </c>
      <c r="J1108" s="2" t="str">
        <f>VLOOKUP(E1108,[1]LL_Hub!$A$1:$B$13,2,FALSE)</f>
        <v>Denver</v>
      </c>
      <c r="K1108" t="str">
        <f>VLOOKUP(D1108,'[2]product Table data'!$A$2:$B$12,2,FALSE)</f>
        <v>Female</v>
      </c>
      <c r="L1108" t="str">
        <f>VLOOKUP($D1108,'[2]product Table data'!$A$2:$G$12,L$1,FALSE)</f>
        <v>Casual n Light</v>
      </c>
      <c r="M1108" t="str">
        <f>VLOOKUP($D1108,'[2]product Table data'!$A$2:$G$12,M$1,FALSE)</f>
        <v>Guatemala</v>
      </c>
      <c r="N1108" t="str">
        <f>VLOOKUP($D1108,'[2]product Table data'!$A$2:$G$12,N$1,FALSE)</f>
        <v>Central America</v>
      </c>
      <c r="O1108">
        <f>VLOOKUP($D1108,'[2]product Table data'!$A$2:$G$12,O$1,FALSE)</f>
        <v>25</v>
      </c>
      <c r="P1108">
        <f>VLOOKUP($D1108,'[2]product Table data'!$A$2:$G$12,P$1,FALSE)</f>
        <v>30</v>
      </c>
      <c r="Q1108">
        <f t="shared" si="85"/>
        <v>5</v>
      </c>
      <c r="R1108" t="str">
        <f t="shared" si="86"/>
        <v>Hub Risk</v>
      </c>
      <c r="S1108" t="str">
        <f t="shared" si="87"/>
        <v>Style Risk</v>
      </c>
      <c r="T1108" t="str">
        <f t="shared" si="88"/>
        <v>Risk</v>
      </c>
      <c r="U1108" t="str">
        <f t="shared" si="89"/>
        <v>Low Value</v>
      </c>
    </row>
    <row r="1109" spans="1:21" hidden="1" x14ac:dyDescent="0.2">
      <c r="A1109" s="2">
        <v>983</v>
      </c>
      <c r="B1109" s="2" t="s">
        <v>9</v>
      </c>
      <c r="C1109" s="2" t="s">
        <v>1576</v>
      </c>
      <c r="D1109" s="2" t="s">
        <v>566</v>
      </c>
      <c r="E1109" s="2">
        <v>80123</v>
      </c>
      <c r="F1109" s="2" t="s">
        <v>1577</v>
      </c>
      <c r="G1109" s="2" t="s">
        <v>13</v>
      </c>
      <c r="H1109" s="2">
        <v>1</v>
      </c>
      <c r="I1109" s="2" t="s">
        <v>39</v>
      </c>
      <c r="J1109" s="2" t="str">
        <f>VLOOKUP(E1109,[1]LL_Hub!$A$1:$B$13,2,FALSE)</f>
        <v>Denver</v>
      </c>
      <c r="K1109" t="str">
        <f>VLOOKUP(D1109,'[2]product Table data'!$A$2:$B$12,2,FALSE)</f>
        <v>Female</v>
      </c>
      <c r="L1109" t="str">
        <f>VLOOKUP($D1109,'[2]product Table data'!$A$2:$G$12,L$1,FALSE)</f>
        <v>Casual n Light</v>
      </c>
      <c r="M1109" t="str">
        <f>VLOOKUP($D1109,'[2]product Table data'!$A$2:$G$12,M$1,FALSE)</f>
        <v>Guatemala</v>
      </c>
      <c r="N1109" t="str">
        <f>VLOOKUP($D1109,'[2]product Table data'!$A$2:$G$12,N$1,FALSE)</f>
        <v>Central America</v>
      </c>
      <c r="O1109">
        <f>VLOOKUP($D1109,'[2]product Table data'!$A$2:$G$12,O$1,FALSE)</f>
        <v>25</v>
      </c>
      <c r="P1109">
        <f>VLOOKUP($D1109,'[2]product Table data'!$A$2:$G$12,P$1,FALSE)</f>
        <v>30</v>
      </c>
      <c r="Q1109">
        <f t="shared" si="85"/>
        <v>5</v>
      </c>
      <c r="R1109" t="str">
        <f t="shared" si="86"/>
        <v>Hub Risk</v>
      </c>
      <c r="S1109" t="str">
        <f t="shared" si="87"/>
        <v>Style Risk</v>
      </c>
      <c r="T1109" t="str">
        <f t="shared" si="88"/>
        <v>Risk</v>
      </c>
      <c r="U1109" t="str">
        <f t="shared" si="89"/>
        <v>Low Value</v>
      </c>
    </row>
    <row r="1110" spans="1:21" hidden="1" x14ac:dyDescent="0.2">
      <c r="A1110" s="2">
        <v>984</v>
      </c>
      <c r="B1110" s="2" t="s">
        <v>9</v>
      </c>
      <c r="C1110" s="2" t="s">
        <v>1578</v>
      </c>
      <c r="D1110" s="2" t="s">
        <v>566</v>
      </c>
      <c r="E1110" s="2">
        <v>80123</v>
      </c>
      <c r="F1110" s="2" t="s">
        <v>1579</v>
      </c>
      <c r="G1110" s="2" t="s">
        <v>13</v>
      </c>
      <c r="H1110" s="2">
        <v>1</v>
      </c>
      <c r="I1110" s="2" t="s">
        <v>39</v>
      </c>
      <c r="J1110" s="2" t="str">
        <f>VLOOKUP(E1110,[1]LL_Hub!$A$1:$B$13,2,FALSE)</f>
        <v>Denver</v>
      </c>
      <c r="K1110" t="str">
        <f>VLOOKUP(D1110,'[2]product Table data'!$A$2:$B$12,2,FALSE)</f>
        <v>Female</v>
      </c>
      <c r="L1110" t="str">
        <f>VLOOKUP($D1110,'[2]product Table data'!$A$2:$G$12,L$1,FALSE)</f>
        <v>Casual n Light</v>
      </c>
      <c r="M1110" t="str">
        <f>VLOOKUP($D1110,'[2]product Table data'!$A$2:$G$12,M$1,FALSE)</f>
        <v>Guatemala</v>
      </c>
      <c r="N1110" t="str">
        <f>VLOOKUP($D1110,'[2]product Table data'!$A$2:$G$12,N$1,FALSE)</f>
        <v>Central America</v>
      </c>
      <c r="O1110">
        <f>VLOOKUP($D1110,'[2]product Table data'!$A$2:$G$12,O$1,FALSE)</f>
        <v>25</v>
      </c>
      <c r="P1110">
        <f>VLOOKUP($D1110,'[2]product Table data'!$A$2:$G$12,P$1,FALSE)</f>
        <v>30</v>
      </c>
      <c r="Q1110">
        <f t="shared" si="85"/>
        <v>5</v>
      </c>
      <c r="R1110" t="str">
        <f t="shared" si="86"/>
        <v>Hub Risk</v>
      </c>
      <c r="S1110" t="str">
        <f t="shared" si="87"/>
        <v>Style Risk</v>
      </c>
      <c r="T1110" t="str">
        <f t="shared" si="88"/>
        <v>Risk</v>
      </c>
      <c r="U1110" t="str">
        <f t="shared" si="89"/>
        <v>Low Value</v>
      </c>
    </row>
    <row r="1111" spans="1:21" hidden="1" x14ac:dyDescent="0.2">
      <c r="A1111" s="2">
        <v>1109</v>
      </c>
      <c r="B1111" s="2" t="s">
        <v>9</v>
      </c>
      <c r="C1111" s="2" t="s">
        <v>1580</v>
      </c>
      <c r="D1111" s="2" t="s">
        <v>566</v>
      </c>
      <c r="E1111" s="2">
        <v>80123</v>
      </c>
      <c r="F1111" s="2" t="s">
        <v>1581</v>
      </c>
      <c r="G1111" s="2" t="s">
        <v>13</v>
      </c>
      <c r="H1111" s="2">
        <v>1</v>
      </c>
      <c r="I1111" s="2" t="s">
        <v>39</v>
      </c>
      <c r="J1111" s="2" t="str">
        <f>VLOOKUP(E1111,[1]LL_Hub!$A$1:$B$13,2,FALSE)</f>
        <v>Denver</v>
      </c>
      <c r="K1111" t="str">
        <f>VLOOKUP(D1111,'[2]product Table data'!$A$2:$B$12,2,FALSE)</f>
        <v>Female</v>
      </c>
      <c r="L1111" t="str">
        <f>VLOOKUP($D1111,'[2]product Table data'!$A$2:$G$12,L$1,FALSE)</f>
        <v>Casual n Light</v>
      </c>
      <c r="M1111" t="str">
        <f>VLOOKUP($D1111,'[2]product Table data'!$A$2:$G$12,M$1,FALSE)</f>
        <v>Guatemala</v>
      </c>
      <c r="N1111" t="str">
        <f>VLOOKUP($D1111,'[2]product Table data'!$A$2:$G$12,N$1,FALSE)</f>
        <v>Central America</v>
      </c>
      <c r="O1111">
        <f>VLOOKUP($D1111,'[2]product Table data'!$A$2:$G$12,O$1,FALSE)</f>
        <v>25</v>
      </c>
      <c r="P1111">
        <f>VLOOKUP($D1111,'[2]product Table data'!$A$2:$G$12,P$1,FALSE)</f>
        <v>30</v>
      </c>
      <c r="Q1111">
        <f t="shared" si="85"/>
        <v>5</v>
      </c>
      <c r="R1111" t="str">
        <f t="shared" si="86"/>
        <v>Hub Risk</v>
      </c>
      <c r="S1111" t="str">
        <f t="shared" si="87"/>
        <v>Style Risk</v>
      </c>
      <c r="T1111" t="str">
        <f t="shared" si="88"/>
        <v>Risk</v>
      </c>
      <c r="U1111" t="str">
        <f t="shared" si="89"/>
        <v>Low Value</v>
      </c>
    </row>
    <row r="1112" spans="1:21" hidden="1" x14ac:dyDescent="0.2">
      <c r="A1112" s="2">
        <v>1110</v>
      </c>
      <c r="B1112" s="2" t="s">
        <v>9</v>
      </c>
      <c r="C1112" s="2" t="s">
        <v>1582</v>
      </c>
      <c r="D1112" s="2" t="s">
        <v>566</v>
      </c>
      <c r="E1112" s="2">
        <v>80123</v>
      </c>
      <c r="F1112" s="2" t="s">
        <v>1583</v>
      </c>
      <c r="G1112" s="2" t="s">
        <v>13</v>
      </c>
      <c r="H1112" s="2">
        <v>1</v>
      </c>
      <c r="I1112" s="2" t="s">
        <v>39</v>
      </c>
      <c r="J1112" s="2" t="str">
        <f>VLOOKUP(E1112,[1]LL_Hub!$A$1:$B$13,2,FALSE)</f>
        <v>Denver</v>
      </c>
      <c r="K1112" t="str">
        <f>VLOOKUP(D1112,'[2]product Table data'!$A$2:$B$12,2,FALSE)</f>
        <v>Female</v>
      </c>
      <c r="L1112" t="str">
        <f>VLOOKUP($D1112,'[2]product Table data'!$A$2:$G$12,L$1,FALSE)</f>
        <v>Casual n Light</v>
      </c>
      <c r="M1112" t="str">
        <f>VLOOKUP($D1112,'[2]product Table data'!$A$2:$G$12,M$1,FALSE)</f>
        <v>Guatemala</v>
      </c>
      <c r="N1112" t="str">
        <f>VLOOKUP($D1112,'[2]product Table data'!$A$2:$G$12,N$1,FALSE)</f>
        <v>Central America</v>
      </c>
      <c r="O1112">
        <f>VLOOKUP($D1112,'[2]product Table data'!$A$2:$G$12,O$1,FALSE)</f>
        <v>25</v>
      </c>
      <c r="P1112">
        <f>VLOOKUP($D1112,'[2]product Table data'!$A$2:$G$12,P$1,FALSE)</f>
        <v>30</v>
      </c>
      <c r="Q1112">
        <f t="shared" si="85"/>
        <v>5</v>
      </c>
      <c r="R1112" t="str">
        <f t="shared" si="86"/>
        <v>Hub Risk</v>
      </c>
      <c r="S1112" t="str">
        <f t="shared" si="87"/>
        <v>Style Risk</v>
      </c>
      <c r="T1112" t="str">
        <f t="shared" si="88"/>
        <v>Risk</v>
      </c>
      <c r="U1112" t="str">
        <f t="shared" si="89"/>
        <v>Low Value</v>
      </c>
    </row>
    <row r="1113" spans="1:21" hidden="1" x14ac:dyDescent="0.2">
      <c r="A1113" s="2">
        <v>1111</v>
      </c>
      <c r="B1113" s="2" t="s">
        <v>9</v>
      </c>
      <c r="C1113" s="2" t="s">
        <v>1584</v>
      </c>
      <c r="D1113" s="2" t="s">
        <v>566</v>
      </c>
      <c r="E1113" s="2">
        <v>80123</v>
      </c>
      <c r="F1113" s="2" t="s">
        <v>496</v>
      </c>
      <c r="G1113" s="2" t="s">
        <v>36</v>
      </c>
      <c r="H1113" s="2">
        <v>1</v>
      </c>
      <c r="I1113" s="2" t="s">
        <v>39</v>
      </c>
      <c r="J1113" s="2" t="str">
        <f>VLOOKUP(E1113,[1]LL_Hub!$A$1:$B$13,2,FALSE)</f>
        <v>Denver</v>
      </c>
      <c r="K1113" t="str">
        <f>VLOOKUP(D1113,'[2]product Table data'!$A$2:$B$12,2,FALSE)</f>
        <v>Female</v>
      </c>
      <c r="L1113" t="str">
        <f>VLOOKUP($D1113,'[2]product Table data'!$A$2:$G$12,L$1,FALSE)</f>
        <v>Casual n Light</v>
      </c>
      <c r="M1113" t="str">
        <f>VLOOKUP($D1113,'[2]product Table data'!$A$2:$G$12,M$1,FALSE)</f>
        <v>Guatemala</v>
      </c>
      <c r="N1113" t="str">
        <f>VLOOKUP($D1113,'[2]product Table data'!$A$2:$G$12,N$1,FALSE)</f>
        <v>Central America</v>
      </c>
      <c r="O1113">
        <f>VLOOKUP($D1113,'[2]product Table data'!$A$2:$G$12,O$1,FALSE)</f>
        <v>25</v>
      </c>
      <c r="P1113">
        <f>VLOOKUP($D1113,'[2]product Table data'!$A$2:$G$12,P$1,FALSE)</f>
        <v>30</v>
      </c>
      <c r="Q1113">
        <f t="shared" si="85"/>
        <v>5</v>
      </c>
      <c r="R1113" t="str">
        <f t="shared" si="86"/>
        <v>Hub Risk</v>
      </c>
      <c r="S1113" t="str">
        <f t="shared" si="87"/>
        <v>Style Risk</v>
      </c>
      <c r="T1113" t="str">
        <f t="shared" si="88"/>
        <v>Risk</v>
      </c>
      <c r="U1113" t="str">
        <f t="shared" si="89"/>
        <v>Low Value</v>
      </c>
    </row>
    <row r="1114" spans="1:21" hidden="1" x14ac:dyDescent="0.2">
      <c r="A1114" s="2">
        <v>1112</v>
      </c>
      <c r="B1114" s="2" t="s">
        <v>9</v>
      </c>
      <c r="C1114" s="2" t="s">
        <v>1585</v>
      </c>
      <c r="D1114" s="2" t="s">
        <v>566</v>
      </c>
      <c r="E1114" s="2">
        <v>80123</v>
      </c>
      <c r="F1114" s="2" t="s">
        <v>496</v>
      </c>
      <c r="G1114" s="2" t="s">
        <v>36</v>
      </c>
      <c r="H1114" s="2">
        <v>1</v>
      </c>
      <c r="I1114" s="2" t="s">
        <v>39</v>
      </c>
      <c r="J1114" s="2" t="str">
        <f>VLOOKUP(E1114,[1]LL_Hub!$A$1:$B$13,2,FALSE)</f>
        <v>Denver</v>
      </c>
      <c r="K1114" t="str">
        <f>VLOOKUP(D1114,'[2]product Table data'!$A$2:$B$12,2,FALSE)</f>
        <v>Female</v>
      </c>
      <c r="L1114" t="str">
        <f>VLOOKUP($D1114,'[2]product Table data'!$A$2:$G$12,L$1,FALSE)</f>
        <v>Casual n Light</v>
      </c>
      <c r="M1114" t="str">
        <f>VLOOKUP($D1114,'[2]product Table data'!$A$2:$G$12,M$1,FALSE)</f>
        <v>Guatemala</v>
      </c>
      <c r="N1114" t="str">
        <f>VLOOKUP($D1114,'[2]product Table data'!$A$2:$G$12,N$1,FALSE)</f>
        <v>Central America</v>
      </c>
      <c r="O1114">
        <f>VLOOKUP($D1114,'[2]product Table data'!$A$2:$G$12,O$1,FALSE)</f>
        <v>25</v>
      </c>
      <c r="P1114">
        <f>VLOOKUP($D1114,'[2]product Table data'!$A$2:$G$12,P$1,FALSE)</f>
        <v>30</v>
      </c>
      <c r="Q1114">
        <f t="shared" si="85"/>
        <v>5</v>
      </c>
      <c r="R1114" t="str">
        <f t="shared" si="86"/>
        <v>Hub Risk</v>
      </c>
      <c r="S1114" t="str">
        <f t="shared" si="87"/>
        <v>Style Risk</v>
      </c>
      <c r="T1114" t="str">
        <f t="shared" si="88"/>
        <v>Risk</v>
      </c>
      <c r="U1114" t="str">
        <f t="shared" si="89"/>
        <v>Low Value</v>
      </c>
    </row>
    <row r="1115" spans="1:21" hidden="1" x14ac:dyDescent="0.2">
      <c r="A1115" s="2">
        <v>1113</v>
      </c>
      <c r="B1115" s="2" t="s">
        <v>9</v>
      </c>
      <c r="C1115" s="2" t="s">
        <v>1586</v>
      </c>
      <c r="D1115" s="2" t="s">
        <v>566</v>
      </c>
      <c r="E1115" s="2">
        <v>80123</v>
      </c>
      <c r="F1115" s="2" t="s">
        <v>496</v>
      </c>
      <c r="G1115" s="2" t="s">
        <v>36</v>
      </c>
      <c r="H1115" s="2">
        <v>1</v>
      </c>
      <c r="I1115" s="2" t="s">
        <v>39</v>
      </c>
      <c r="J1115" s="2" t="str">
        <f>VLOOKUP(E1115,[1]LL_Hub!$A$1:$B$13,2,FALSE)</f>
        <v>Denver</v>
      </c>
      <c r="K1115" t="str">
        <f>VLOOKUP(D1115,'[2]product Table data'!$A$2:$B$12,2,FALSE)</f>
        <v>Female</v>
      </c>
      <c r="L1115" t="str">
        <f>VLOOKUP($D1115,'[2]product Table data'!$A$2:$G$12,L$1,FALSE)</f>
        <v>Casual n Light</v>
      </c>
      <c r="M1115" t="str">
        <f>VLOOKUP($D1115,'[2]product Table data'!$A$2:$G$12,M$1,FALSE)</f>
        <v>Guatemala</v>
      </c>
      <c r="N1115" t="str">
        <f>VLOOKUP($D1115,'[2]product Table data'!$A$2:$G$12,N$1,FALSE)</f>
        <v>Central America</v>
      </c>
      <c r="O1115">
        <f>VLOOKUP($D1115,'[2]product Table data'!$A$2:$G$12,O$1,FALSE)</f>
        <v>25</v>
      </c>
      <c r="P1115">
        <f>VLOOKUP($D1115,'[2]product Table data'!$A$2:$G$12,P$1,FALSE)</f>
        <v>30</v>
      </c>
      <c r="Q1115">
        <f t="shared" si="85"/>
        <v>5</v>
      </c>
      <c r="R1115" t="str">
        <f t="shared" si="86"/>
        <v>Hub Risk</v>
      </c>
      <c r="S1115" t="str">
        <f t="shared" si="87"/>
        <v>Style Risk</v>
      </c>
      <c r="T1115" t="str">
        <f t="shared" si="88"/>
        <v>Risk</v>
      </c>
      <c r="U1115" t="str">
        <f t="shared" si="89"/>
        <v>Low Value</v>
      </c>
    </row>
    <row r="1116" spans="1:21" hidden="1" x14ac:dyDescent="0.2">
      <c r="A1116" s="2">
        <v>1114</v>
      </c>
      <c r="B1116" s="2" t="s">
        <v>9</v>
      </c>
      <c r="C1116" s="2" t="s">
        <v>1587</v>
      </c>
      <c r="D1116" s="2" t="s">
        <v>566</v>
      </c>
      <c r="E1116" s="2">
        <v>80123</v>
      </c>
      <c r="F1116" s="2" t="s">
        <v>496</v>
      </c>
      <c r="G1116" s="2" t="s">
        <v>36</v>
      </c>
      <c r="H1116" s="2">
        <v>1</v>
      </c>
      <c r="I1116" s="2" t="s">
        <v>39</v>
      </c>
      <c r="J1116" s="2" t="str">
        <f>VLOOKUP(E1116,[1]LL_Hub!$A$1:$B$13,2,FALSE)</f>
        <v>Denver</v>
      </c>
      <c r="K1116" t="str">
        <f>VLOOKUP(D1116,'[2]product Table data'!$A$2:$B$12,2,FALSE)</f>
        <v>Female</v>
      </c>
      <c r="L1116" t="str">
        <f>VLOOKUP($D1116,'[2]product Table data'!$A$2:$G$12,L$1,FALSE)</f>
        <v>Casual n Light</v>
      </c>
      <c r="M1116" t="str">
        <f>VLOOKUP($D1116,'[2]product Table data'!$A$2:$G$12,M$1,FALSE)</f>
        <v>Guatemala</v>
      </c>
      <c r="N1116" t="str">
        <f>VLOOKUP($D1116,'[2]product Table data'!$A$2:$G$12,N$1,FALSE)</f>
        <v>Central America</v>
      </c>
      <c r="O1116">
        <f>VLOOKUP($D1116,'[2]product Table data'!$A$2:$G$12,O$1,FALSE)</f>
        <v>25</v>
      </c>
      <c r="P1116">
        <f>VLOOKUP($D1116,'[2]product Table data'!$A$2:$G$12,P$1,FALSE)</f>
        <v>30</v>
      </c>
      <c r="Q1116">
        <f t="shared" si="85"/>
        <v>5</v>
      </c>
      <c r="R1116" t="str">
        <f t="shared" si="86"/>
        <v>Hub Risk</v>
      </c>
      <c r="S1116" t="str">
        <f t="shared" si="87"/>
        <v>Style Risk</v>
      </c>
      <c r="T1116" t="str">
        <f t="shared" si="88"/>
        <v>Risk</v>
      </c>
      <c r="U1116" t="str">
        <f t="shared" si="89"/>
        <v>Low Value</v>
      </c>
    </row>
    <row r="1117" spans="1:21" hidden="1" x14ac:dyDescent="0.2">
      <c r="A1117" s="2">
        <v>1115</v>
      </c>
      <c r="B1117" s="2" t="s">
        <v>9</v>
      </c>
      <c r="C1117" s="2" t="s">
        <v>1588</v>
      </c>
      <c r="D1117" s="2" t="s">
        <v>566</v>
      </c>
      <c r="E1117" s="2">
        <v>80123</v>
      </c>
      <c r="F1117" s="2" t="s">
        <v>496</v>
      </c>
      <c r="G1117" s="2" t="s">
        <v>36</v>
      </c>
      <c r="H1117" s="2">
        <v>1</v>
      </c>
      <c r="I1117" s="2" t="s">
        <v>39</v>
      </c>
      <c r="J1117" s="2" t="str">
        <f>VLOOKUP(E1117,[1]LL_Hub!$A$1:$B$13,2,FALSE)</f>
        <v>Denver</v>
      </c>
      <c r="K1117" t="str">
        <f>VLOOKUP(D1117,'[2]product Table data'!$A$2:$B$12,2,FALSE)</f>
        <v>Female</v>
      </c>
      <c r="L1117" t="str">
        <f>VLOOKUP($D1117,'[2]product Table data'!$A$2:$G$12,L$1,FALSE)</f>
        <v>Casual n Light</v>
      </c>
      <c r="M1117" t="str">
        <f>VLOOKUP($D1117,'[2]product Table data'!$A$2:$G$12,M$1,FALSE)</f>
        <v>Guatemala</v>
      </c>
      <c r="N1117" t="str">
        <f>VLOOKUP($D1117,'[2]product Table data'!$A$2:$G$12,N$1,FALSE)</f>
        <v>Central America</v>
      </c>
      <c r="O1117">
        <f>VLOOKUP($D1117,'[2]product Table data'!$A$2:$G$12,O$1,FALSE)</f>
        <v>25</v>
      </c>
      <c r="P1117">
        <f>VLOOKUP($D1117,'[2]product Table data'!$A$2:$G$12,P$1,FALSE)</f>
        <v>30</v>
      </c>
      <c r="Q1117">
        <f t="shared" si="85"/>
        <v>5</v>
      </c>
      <c r="R1117" t="str">
        <f t="shared" si="86"/>
        <v>Hub Risk</v>
      </c>
      <c r="S1117" t="str">
        <f t="shared" si="87"/>
        <v>Style Risk</v>
      </c>
      <c r="T1117" t="str">
        <f t="shared" si="88"/>
        <v>Risk</v>
      </c>
      <c r="U1117" t="str">
        <f t="shared" si="89"/>
        <v>Low Value</v>
      </c>
    </row>
    <row r="1118" spans="1:21" hidden="1" x14ac:dyDescent="0.2">
      <c r="A1118" s="2">
        <v>1116</v>
      </c>
      <c r="B1118" s="2" t="s">
        <v>9</v>
      </c>
      <c r="C1118" s="2" t="s">
        <v>1589</v>
      </c>
      <c r="D1118" s="2" t="s">
        <v>566</v>
      </c>
      <c r="E1118" s="2">
        <v>80123</v>
      </c>
      <c r="F1118" s="2" t="s">
        <v>496</v>
      </c>
      <c r="G1118" s="2" t="s">
        <v>36</v>
      </c>
      <c r="H1118" s="2">
        <v>1</v>
      </c>
      <c r="I1118" s="2" t="s">
        <v>39</v>
      </c>
      <c r="J1118" s="2" t="str">
        <f>VLOOKUP(E1118,[1]LL_Hub!$A$1:$B$13,2,FALSE)</f>
        <v>Denver</v>
      </c>
      <c r="K1118" t="str">
        <f>VLOOKUP(D1118,'[2]product Table data'!$A$2:$B$12,2,FALSE)</f>
        <v>Female</v>
      </c>
      <c r="L1118" t="str">
        <f>VLOOKUP($D1118,'[2]product Table data'!$A$2:$G$12,L$1,FALSE)</f>
        <v>Casual n Light</v>
      </c>
      <c r="M1118" t="str">
        <f>VLOOKUP($D1118,'[2]product Table data'!$A$2:$G$12,M$1,FALSE)</f>
        <v>Guatemala</v>
      </c>
      <c r="N1118" t="str">
        <f>VLOOKUP($D1118,'[2]product Table data'!$A$2:$G$12,N$1,FALSE)</f>
        <v>Central America</v>
      </c>
      <c r="O1118">
        <f>VLOOKUP($D1118,'[2]product Table data'!$A$2:$G$12,O$1,FALSE)</f>
        <v>25</v>
      </c>
      <c r="P1118">
        <f>VLOOKUP($D1118,'[2]product Table data'!$A$2:$G$12,P$1,FALSE)</f>
        <v>30</v>
      </c>
      <c r="Q1118">
        <f t="shared" si="85"/>
        <v>5</v>
      </c>
      <c r="R1118" t="str">
        <f t="shared" si="86"/>
        <v>Hub Risk</v>
      </c>
      <c r="S1118" t="str">
        <f t="shared" si="87"/>
        <v>Style Risk</v>
      </c>
      <c r="T1118" t="str">
        <f t="shared" si="88"/>
        <v>Risk</v>
      </c>
      <c r="U1118" t="str">
        <f t="shared" si="89"/>
        <v>Low Value</v>
      </c>
    </row>
    <row r="1119" spans="1:21" hidden="1" x14ac:dyDescent="0.2">
      <c r="A1119" s="2">
        <v>1117</v>
      </c>
      <c r="B1119" s="2" t="s">
        <v>9</v>
      </c>
      <c r="C1119" s="2" t="s">
        <v>1590</v>
      </c>
      <c r="D1119" s="2" t="s">
        <v>566</v>
      </c>
      <c r="E1119" s="2">
        <v>80123</v>
      </c>
      <c r="F1119" s="2" t="s">
        <v>496</v>
      </c>
      <c r="G1119" s="2" t="s">
        <v>36</v>
      </c>
      <c r="H1119" s="2">
        <v>1</v>
      </c>
      <c r="I1119" s="2" t="s">
        <v>39</v>
      </c>
      <c r="J1119" s="2" t="str">
        <f>VLOOKUP(E1119,[1]LL_Hub!$A$1:$B$13,2,FALSE)</f>
        <v>Denver</v>
      </c>
      <c r="K1119" t="str">
        <f>VLOOKUP(D1119,'[2]product Table data'!$A$2:$B$12,2,FALSE)</f>
        <v>Female</v>
      </c>
      <c r="L1119" t="str">
        <f>VLOOKUP($D1119,'[2]product Table data'!$A$2:$G$12,L$1,FALSE)</f>
        <v>Casual n Light</v>
      </c>
      <c r="M1119" t="str">
        <f>VLOOKUP($D1119,'[2]product Table data'!$A$2:$G$12,M$1,FALSE)</f>
        <v>Guatemala</v>
      </c>
      <c r="N1119" t="str">
        <f>VLOOKUP($D1119,'[2]product Table data'!$A$2:$G$12,N$1,FALSE)</f>
        <v>Central America</v>
      </c>
      <c r="O1119">
        <f>VLOOKUP($D1119,'[2]product Table data'!$A$2:$G$12,O$1,FALSE)</f>
        <v>25</v>
      </c>
      <c r="P1119">
        <f>VLOOKUP($D1119,'[2]product Table data'!$A$2:$G$12,P$1,FALSE)</f>
        <v>30</v>
      </c>
      <c r="Q1119">
        <f t="shared" si="85"/>
        <v>5</v>
      </c>
      <c r="R1119" t="str">
        <f t="shared" si="86"/>
        <v>Hub Risk</v>
      </c>
      <c r="S1119" t="str">
        <f t="shared" si="87"/>
        <v>Style Risk</v>
      </c>
      <c r="T1119" t="str">
        <f t="shared" si="88"/>
        <v>Risk</v>
      </c>
      <c r="U1119" t="str">
        <f t="shared" si="89"/>
        <v>Low Value</v>
      </c>
    </row>
    <row r="1120" spans="1:21" hidden="1" x14ac:dyDescent="0.2">
      <c r="A1120" s="2">
        <v>1118</v>
      </c>
      <c r="B1120" s="2" t="s">
        <v>9</v>
      </c>
      <c r="C1120" s="2" t="s">
        <v>1591</v>
      </c>
      <c r="D1120" s="2" t="s">
        <v>566</v>
      </c>
      <c r="E1120" s="2">
        <v>80123</v>
      </c>
      <c r="F1120" s="2" t="s">
        <v>496</v>
      </c>
      <c r="G1120" s="2" t="s">
        <v>36</v>
      </c>
      <c r="H1120" s="2">
        <v>1</v>
      </c>
      <c r="I1120" s="2" t="s">
        <v>39</v>
      </c>
      <c r="J1120" s="2" t="str">
        <f>VLOOKUP(E1120,[1]LL_Hub!$A$1:$B$13,2,FALSE)</f>
        <v>Denver</v>
      </c>
      <c r="K1120" t="str">
        <f>VLOOKUP(D1120,'[2]product Table data'!$A$2:$B$12,2,FALSE)</f>
        <v>Female</v>
      </c>
      <c r="L1120" t="str">
        <f>VLOOKUP($D1120,'[2]product Table data'!$A$2:$G$12,L$1,FALSE)</f>
        <v>Casual n Light</v>
      </c>
      <c r="M1120" t="str">
        <f>VLOOKUP($D1120,'[2]product Table data'!$A$2:$G$12,M$1,FALSE)</f>
        <v>Guatemala</v>
      </c>
      <c r="N1120" t="str">
        <f>VLOOKUP($D1120,'[2]product Table data'!$A$2:$G$12,N$1,FALSE)</f>
        <v>Central America</v>
      </c>
      <c r="O1120">
        <f>VLOOKUP($D1120,'[2]product Table data'!$A$2:$G$12,O$1,FALSE)</f>
        <v>25</v>
      </c>
      <c r="P1120">
        <f>VLOOKUP($D1120,'[2]product Table data'!$A$2:$G$12,P$1,FALSE)</f>
        <v>30</v>
      </c>
      <c r="Q1120">
        <f t="shared" si="85"/>
        <v>5</v>
      </c>
      <c r="R1120" t="str">
        <f t="shared" si="86"/>
        <v>Hub Risk</v>
      </c>
      <c r="S1120" t="str">
        <f t="shared" si="87"/>
        <v>Style Risk</v>
      </c>
      <c r="T1120" t="str">
        <f t="shared" si="88"/>
        <v>Risk</v>
      </c>
      <c r="U1120" t="str">
        <f t="shared" si="89"/>
        <v>Low Value</v>
      </c>
    </row>
    <row r="1121" spans="1:21" hidden="1" x14ac:dyDescent="0.2">
      <c r="A1121" s="2">
        <v>1119</v>
      </c>
      <c r="B1121" s="2" t="s">
        <v>9</v>
      </c>
      <c r="C1121" s="2" t="s">
        <v>1592</v>
      </c>
      <c r="D1121" s="2" t="s">
        <v>566</v>
      </c>
      <c r="E1121" s="2">
        <v>80123</v>
      </c>
      <c r="F1121" s="2" t="s">
        <v>496</v>
      </c>
      <c r="G1121" s="2" t="s">
        <v>36</v>
      </c>
      <c r="H1121" s="2">
        <v>1</v>
      </c>
      <c r="I1121" s="2" t="s">
        <v>39</v>
      </c>
      <c r="J1121" s="2" t="str">
        <f>VLOOKUP(E1121,[1]LL_Hub!$A$1:$B$13,2,FALSE)</f>
        <v>Denver</v>
      </c>
      <c r="K1121" t="str">
        <f>VLOOKUP(D1121,'[2]product Table data'!$A$2:$B$12,2,FALSE)</f>
        <v>Female</v>
      </c>
      <c r="L1121" t="str">
        <f>VLOOKUP($D1121,'[2]product Table data'!$A$2:$G$12,L$1,FALSE)</f>
        <v>Casual n Light</v>
      </c>
      <c r="M1121" t="str">
        <f>VLOOKUP($D1121,'[2]product Table data'!$A$2:$G$12,M$1,FALSE)</f>
        <v>Guatemala</v>
      </c>
      <c r="N1121" t="str">
        <f>VLOOKUP($D1121,'[2]product Table data'!$A$2:$G$12,N$1,FALSE)</f>
        <v>Central America</v>
      </c>
      <c r="O1121">
        <f>VLOOKUP($D1121,'[2]product Table data'!$A$2:$G$12,O$1,FALSE)</f>
        <v>25</v>
      </c>
      <c r="P1121">
        <f>VLOOKUP($D1121,'[2]product Table data'!$A$2:$G$12,P$1,FALSE)</f>
        <v>30</v>
      </c>
      <c r="Q1121">
        <f t="shared" si="85"/>
        <v>5</v>
      </c>
      <c r="R1121" t="str">
        <f t="shared" si="86"/>
        <v>Hub Risk</v>
      </c>
      <c r="S1121" t="str">
        <f t="shared" si="87"/>
        <v>Style Risk</v>
      </c>
      <c r="T1121" t="str">
        <f t="shared" si="88"/>
        <v>Risk</v>
      </c>
      <c r="U1121" t="str">
        <f t="shared" si="89"/>
        <v>Low Value</v>
      </c>
    </row>
    <row r="1122" spans="1:21" hidden="1" x14ac:dyDescent="0.2">
      <c r="A1122" s="2">
        <v>1120</v>
      </c>
      <c r="B1122" s="2" t="s">
        <v>9</v>
      </c>
      <c r="C1122" s="2" t="s">
        <v>1593</v>
      </c>
      <c r="D1122" s="2" t="s">
        <v>566</v>
      </c>
      <c r="E1122" s="2">
        <v>80123</v>
      </c>
      <c r="F1122" s="2" t="s">
        <v>496</v>
      </c>
      <c r="G1122" s="2" t="s">
        <v>36</v>
      </c>
      <c r="H1122" s="2">
        <v>1</v>
      </c>
      <c r="I1122" s="2" t="s">
        <v>39</v>
      </c>
      <c r="J1122" s="2" t="str">
        <f>VLOOKUP(E1122,[1]LL_Hub!$A$1:$B$13,2,FALSE)</f>
        <v>Denver</v>
      </c>
      <c r="K1122" t="str">
        <f>VLOOKUP(D1122,'[2]product Table data'!$A$2:$B$12,2,FALSE)</f>
        <v>Female</v>
      </c>
      <c r="L1122" t="str">
        <f>VLOOKUP($D1122,'[2]product Table data'!$A$2:$G$12,L$1,FALSE)</f>
        <v>Casual n Light</v>
      </c>
      <c r="M1122" t="str">
        <f>VLOOKUP($D1122,'[2]product Table data'!$A$2:$G$12,M$1,FALSE)</f>
        <v>Guatemala</v>
      </c>
      <c r="N1122" t="str">
        <f>VLOOKUP($D1122,'[2]product Table data'!$A$2:$G$12,N$1,FALSE)</f>
        <v>Central America</v>
      </c>
      <c r="O1122">
        <f>VLOOKUP($D1122,'[2]product Table data'!$A$2:$G$12,O$1,FALSE)</f>
        <v>25</v>
      </c>
      <c r="P1122">
        <f>VLOOKUP($D1122,'[2]product Table data'!$A$2:$G$12,P$1,FALSE)</f>
        <v>30</v>
      </c>
      <c r="Q1122">
        <f t="shared" si="85"/>
        <v>5</v>
      </c>
      <c r="R1122" t="str">
        <f t="shared" si="86"/>
        <v>Hub Risk</v>
      </c>
      <c r="S1122" t="str">
        <f t="shared" si="87"/>
        <v>Style Risk</v>
      </c>
      <c r="T1122" t="str">
        <f t="shared" si="88"/>
        <v>Risk</v>
      </c>
      <c r="U1122" t="str">
        <f t="shared" si="89"/>
        <v>Low Value</v>
      </c>
    </row>
    <row r="1123" spans="1:21" hidden="1" x14ac:dyDescent="0.2">
      <c r="A1123" s="2">
        <v>1121</v>
      </c>
      <c r="B1123" s="2" t="s">
        <v>9</v>
      </c>
      <c r="C1123" s="2" t="s">
        <v>1594</v>
      </c>
      <c r="D1123" s="2" t="s">
        <v>566</v>
      </c>
      <c r="E1123" s="2">
        <v>80123</v>
      </c>
      <c r="F1123" s="2" t="s">
        <v>496</v>
      </c>
      <c r="G1123" s="2" t="s">
        <v>36</v>
      </c>
      <c r="H1123" s="2">
        <v>1</v>
      </c>
      <c r="I1123" s="2" t="s">
        <v>39</v>
      </c>
      <c r="J1123" s="2" t="str">
        <f>VLOOKUP(E1123,[1]LL_Hub!$A$1:$B$13,2,FALSE)</f>
        <v>Denver</v>
      </c>
      <c r="K1123" t="str">
        <f>VLOOKUP(D1123,'[2]product Table data'!$A$2:$B$12,2,FALSE)</f>
        <v>Female</v>
      </c>
      <c r="L1123" t="str">
        <f>VLOOKUP($D1123,'[2]product Table data'!$A$2:$G$12,L$1,FALSE)</f>
        <v>Casual n Light</v>
      </c>
      <c r="M1123" t="str">
        <f>VLOOKUP($D1123,'[2]product Table data'!$A$2:$G$12,M$1,FALSE)</f>
        <v>Guatemala</v>
      </c>
      <c r="N1123" t="str">
        <f>VLOOKUP($D1123,'[2]product Table data'!$A$2:$G$12,N$1,FALSE)</f>
        <v>Central America</v>
      </c>
      <c r="O1123">
        <f>VLOOKUP($D1123,'[2]product Table data'!$A$2:$G$12,O$1,FALSE)</f>
        <v>25</v>
      </c>
      <c r="P1123">
        <f>VLOOKUP($D1123,'[2]product Table data'!$A$2:$G$12,P$1,FALSE)</f>
        <v>30</v>
      </c>
      <c r="Q1123">
        <f t="shared" si="85"/>
        <v>5</v>
      </c>
      <c r="R1123" t="str">
        <f t="shared" si="86"/>
        <v>Hub Risk</v>
      </c>
      <c r="S1123" t="str">
        <f t="shared" si="87"/>
        <v>Style Risk</v>
      </c>
      <c r="T1123" t="str">
        <f t="shared" si="88"/>
        <v>Risk</v>
      </c>
      <c r="U1123" t="str">
        <f t="shared" si="89"/>
        <v>Low Value</v>
      </c>
    </row>
    <row r="1124" spans="1:21" hidden="1" x14ac:dyDescent="0.2">
      <c r="A1124" s="2">
        <v>1122</v>
      </c>
      <c r="B1124" s="2" t="s">
        <v>9</v>
      </c>
      <c r="C1124" s="2" t="s">
        <v>1595</v>
      </c>
      <c r="D1124" s="2" t="s">
        <v>566</v>
      </c>
      <c r="E1124" s="2">
        <v>80123</v>
      </c>
      <c r="F1124" s="2" t="s">
        <v>496</v>
      </c>
      <c r="G1124" s="2" t="s">
        <v>36</v>
      </c>
      <c r="H1124" s="2">
        <v>1</v>
      </c>
      <c r="I1124" s="2" t="s">
        <v>39</v>
      </c>
      <c r="J1124" s="2" t="str">
        <f>VLOOKUP(E1124,[1]LL_Hub!$A$1:$B$13,2,FALSE)</f>
        <v>Denver</v>
      </c>
      <c r="K1124" t="str">
        <f>VLOOKUP(D1124,'[2]product Table data'!$A$2:$B$12,2,FALSE)</f>
        <v>Female</v>
      </c>
      <c r="L1124" t="str">
        <f>VLOOKUP($D1124,'[2]product Table data'!$A$2:$G$12,L$1,FALSE)</f>
        <v>Casual n Light</v>
      </c>
      <c r="M1124" t="str">
        <f>VLOOKUP($D1124,'[2]product Table data'!$A$2:$G$12,M$1,FALSE)</f>
        <v>Guatemala</v>
      </c>
      <c r="N1124" t="str">
        <f>VLOOKUP($D1124,'[2]product Table data'!$A$2:$G$12,N$1,FALSE)</f>
        <v>Central America</v>
      </c>
      <c r="O1124">
        <f>VLOOKUP($D1124,'[2]product Table data'!$A$2:$G$12,O$1,FALSE)</f>
        <v>25</v>
      </c>
      <c r="P1124">
        <f>VLOOKUP($D1124,'[2]product Table data'!$A$2:$G$12,P$1,FALSE)</f>
        <v>30</v>
      </c>
      <c r="Q1124">
        <f t="shared" si="85"/>
        <v>5</v>
      </c>
      <c r="R1124" t="str">
        <f t="shared" si="86"/>
        <v>Hub Risk</v>
      </c>
      <c r="S1124" t="str">
        <f t="shared" si="87"/>
        <v>Style Risk</v>
      </c>
      <c r="T1124" t="str">
        <f t="shared" si="88"/>
        <v>Risk</v>
      </c>
      <c r="U1124" t="str">
        <f t="shared" si="89"/>
        <v>Low Value</v>
      </c>
    </row>
    <row r="1125" spans="1:21" hidden="1" x14ac:dyDescent="0.2">
      <c r="A1125" s="2">
        <v>1123</v>
      </c>
      <c r="B1125" s="2" t="s">
        <v>9</v>
      </c>
      <c r="C1125" s="2" t="s">
        <v>1596</v>
      </c>
      <c r="D1125" s="2" t="s">
        <v>566</v>
      </c>
      <c r="E1125" s="2">
        <v>80123</v>
      </c>
      <c r="F1125" s="2" t="s">
        <v>496</v>
      </c>
      <c r="G1125" s="2" t="s">
        <v>36</v>
      </c>
      <c r="H1125" s="2">
        <v>1</v>
      </c>
      <c r="I1125" s="2" t="s">
        <v>39</v>
      </c>
      <c r="J1125" s="2" t="str">
        <f>VLOOKUP(E1125,[1]LL_Hub!$A$1:$B$13,2,FALSE)</f>
        <v>Denver</v>
      </c>
      <c r="K1125" t="str">
        <f>VLOOKUP(D1125,'[2]product Table data'!$A$2:$B$12,2,FALSE)</f>
        <v>Female</v>
      </c>
      <c r="L1125" t="str">
        <f>VLOOKUP($D1125,'[2]product Table data'!$A$2:$G$12,L$1,FALSE)</f>
        <v>Casual n Light</v>
      </c>
      <c r="M1125" t="str">
        <f>VLOOKUP($D1125,'[2]product Table data'!$A$2:$G$12,M$1,FALSE)</f>
        <v>Guatemala</v>
      </c>
      <c r="N1125" t="str">
        <f>VLOOKUP($D1125,'[2]product Table data'!$A$2:$G$12,N$1,FALSE)</f>
        <v>Central America</v>
      </c>
      <c r="O1125">
        <f>VLOOKUP($D1125,'[2]product Table data'!$A$2:$G$12,O$1,FALSE)</f>
        <v>25</v>
      </c>
      <c r="P1125">
        <f>VLOOKUP($D1125,'[2]product Table data'!$A$2:$G$12,P$1,FALSE)</f>
        <v>30</v>
      </c>
      <c r="Q1125">
        <f t="shared" si="85"/>
        <v>5</v>
      </c>
      <c r="R1125" t="str">
        <f t="shared" si="86"/>
        <v>Hub Risk</v>
      </c>
      <c r="S1125" t="str">
        <f t="shared" si="87"/>
        <v>Style Risk</v>
      </c>
      <c r="T1125" t="str">
        <f t="shared" si="88"/>
        <v>Risk</v>
      </c>
      <c r="U1125" t="str">
        <f t="shared" si="89"/>
        <v>Low Value</v>
      </c>
    </row>
    <row r="1126" spans="1:21" hidden="1" x14ac:dyDescent="0.2">
      <c r="A1126" s="2">
        <v>1124</v>
      </c>
      <c r="B1126" s="2" t="s">
        <v>9</v>
      </c>
      <c r="C1126" s="2" t="s">
        <v>1597</v>
      </c>
      <c r="D1126" s="2" t="s">
        <v>566</v>
      </c>
      <c r="E1126" s="2">
        <v>80123</v>
      </c>
      <c r="F1126" s="2" t="s">
        <v>496</v>
      </c>
      <c r="G1126" s="2" t="s">
        <v>36</v>
      </c>
      <c r="H1126" s="2">
        <v>1</v>
      </c>
      <c r="I1126" s="2" t="s">
        <v>39</v>
      </c>
      <c r="J1126" s="2" t="str">
        <f>VLOOKUP(E1126,[1]LL_Hub!$A$1:$B$13,2,FALSE)</f>
        <v>Denver</v>
      </c>
      <c r="K1126" t="str">
        <f>VLOOKUP(D1126,'[2]product Table data'!$A$2:$B$12,2,FALSE)</f>
        <v>Female</v>
      </c>
      <c r="L1126" t="str">
        <f>VLOOKUP($D1126,'[2]product Table data'!$A$2:$G$12,L$1,FALSE)</f>
        <v>Casual n Light</v>
      </c>
      <c r="M1126" t="str">
        <f>VLOOKUP($D1126,'[2]product Table data'!$A$2:$G$12,M$1,FALSE)</f>
        <v>Guatemala</v>
      </c>
      <c r="N1126" t="str">
        <f>VLOOKUP($D1126,'[2]product Table data'!$A$2:$G$12,N$1,FALSE)</f>
        <v>Central America</v>
      </c>
      <c r="O1126">
        <f>VLOOKUP($D1126,'[2]product Table data'!$A$2:$G$12,O$1,FALSE)</f>
        <v>25</v>
      </c>
      <c r="P1126">
        <f>VLOOKUP($D1126,'[2]product Table data'!$A$2:$G$12,P$1,FALSE)</f>
        <v>30</v>
      </c>
      <c r="Q1126">
        <f t="shared" si="85"/>
        <v>5</v>
      </c>
      <c r="R1126" t="str">
        <f t="shared" si="86"/>
        <v>Hub Risk</v>
      </c>
      <c r="S1126" t="str">
        <f t="shared" si="87"/>
        <v>Style Risk</v>
      </c>
      <c r="T1126" t="str">
        <f t="shared" si="88"/>
        <v>Risk</v>
      </c>
      <c r="U1126" t="str">
        <f t="shared" si="89"/>
        <v>Low Value</v>
      </c>
    </row>
    <row r="1127" spans="1:21" hidden="1" x14ac:dyDescent="0.2">
      <c r="A1127" s="2">
        <v>1125</v>
      </c>
      <c r="B1127" s="2" t="s">
        <v>9</v>
      </c>
      <c r="C1127" s="2" t="s">
        <v>1598</v>
      </c>
      <c r="D1127" s="2" t="s">
        <v>566</v>
      </c>
      <c r="E1127" s="2">
        <v>80123</v>
      </c>
      <c r="F1127" s="2" t="s">
        <v>496</v>
      </c>
      <c r="G1127" s="2" t="s">
        <v>36</v>
      </c>
      <c r="H1127" s="2">
        <v>1</v>
      </c>
      <c r="I1127" s="2" t="s">
        <v>39</v>
      </c>
      <c r="J1127" s="2" t="str">
        <f>VLOOKUP(E1127,[1]LL_Hub!$A$1:$B$13,2,FALSE)</f>
        <v>Denver</v>
      </c>
      <c r="K1127" t="str">
        <f>VLOOKUP(D1127,'[2]product Table data'!$A$2:$B$12,2,FALSE)</f>
        <v>Female</v>
      </c>
      <c r="L1127" t="str">
        <f>VLOOKUP($D1127,'[2]product Table data'!$A$2:$G$12,L$1,FALSE)</f>
        <v>Casual n Light</v>
      </c>
      <c r="M1127" t="str">
        <f>VLOOKUP($D1127,'[2]product Table data'!$A$2:$G$12,M$1,FALSE)</f>
        <v>Guatemala</v>
      </c>
      <c r="N1127" t="str">
        <f>VLOOKUP($D1127,'[2]product Table data'!$A$2:$G$12,N$1,FALSE)</f>
        <v>Central America</v>
      </c>
      <c r="O1127">
        <f>VLOOKUP($D1127,'[2]product Table data'!$A$2:$G$12,O$1,FALSE)</f>
        <v>25</v>
      </c>
      <c r="P1127">
        <f>VLOOKUP($D1127,'[2]product Table data'!$A$2:$G$12,P$1,FALSE)</f>
        <v>30</v>
      </c>
      <c r="Q1127">
        <f t="shared" si="85"/>
        <v>5</v>
      </c>
      <c r="R1127" t="str">
        <f t="shared" si="86"/>
        <v>Hub Risk</v>
      </c>
      <c r="S1127" t="str">
        <f t="shared" si="87"/>
        <v>Style Risk</v>
      </c>
      <c r="T1127" t="str">
        <f t="shared" si="88"/>
        <v>Risk</v>
      </c>
      <c r="U1127" t="str">
        <f t="shared" si="89"/>
        <v>Low Value</v>
      </c>
    </row>
    <row r="1128" spans="1:21" hidden="1" x14ac:dyDescent="0.2">
      <c r="A1128" s="2">
        <v>1126</v>
      </c>
      <c r="B1128" s="2" t="s">
        <v>9</v>
      </c>
      <c r="C1128" s="2" t="s">
        <v>1599</v>
      </c>
      <c r="D1128" s="2" t="s">
        <v>566</v>
      </c>
      <c r="E1128" s="2">
        <v>80123</v>
      </c>
      <c r="F1128" s="2" t="s">
        <v>496</v>
      </c>
      <c r="G1128" s="2" t="s">
        <v>36</v>
      </c>
      <c r="H1128" s="2">
        <v>1</v>
      </c>
      <c r="I1128" s="2" t="s">
        <v>39</v>
      </c>
      <c r="J1128" s="2" t="str">
        <f>VLOOKUP(E1128,[1]LL_Hub!$A$1:$B$13,2,FALSE)</f>
        <v>Denver</v>
      </c>
      <c r="K1128" t="str">
        <f>VLOOKUP(D1128,'[2]product Table data'!$A$2:$B$12,2,FALSE)</f>
        <v>Female</v>
      </c>
      <c r="L1128" t="str">
        <f>VLOOKUP($D1128,'[2]product Table data'!$A$2:$G$12,L$1,FALSE)</f>
        <v>Casual n Light</v>
      </c>
      <c r="M1128" t="str">
        <f>VLOOKUP($D1128,'[2]product Table data'!$A$2:$G$12,M$1,FALSE)</f>
        <v>Guatemala</v>
      </c>
      <c r="N1128" t="str">
        <f>VLOOKUP($D1128,'[2]product Table data'!$A$2:$G$12,N$1,FALSE)</f>
        <v>Central America</v>
      </c>
      <c r="O1128">
        <f>VLOOKUP($D1128,'[2]product Table data'!$A$2:$G$12,O$1,FALSE)</f>
        <v>25</v>
      </c>
      <c r="P1128">
        <f>VLOOKUP($D1128,'[2]product Table data'!$A$2:$G$12,P$1,FALSE)</f>
        <v>30</v>
      </c>
      <c r="Q1128">
        <f t="shared" si="85"/>
        <v>5</v>
      </c>
      <c r="R1128" t="str">
        <f t="shared" si="86"/>
        <v>Hub Risk</v>
      </c>
      <c r="S1128" t="str">
        <f t="shared" si="87"/>
        <v>Style Risk</v>
      </c>
      <c r="T1128" t="str">
        <f t="shared" si="88"/>
        <v>Risk</v>
      </c>
      <c r="U1128" t="str">
        <f t="shared" si="89"/>
        <v>Low Value</v>
      </c>
    </row>
    <row r="1129" spans="1:21" hidden="1" x14ac:dyDescent="0.2">
      <c r="A1129" s="2">
        <v>1127</v>
      </c>
      <c r="B1129" s="2" t="s">
        <v>9</v>
      </c>
      <c r="C1129" s="2" t="s">
        <v>1600</v>
      </c>
      <c r="D1129" s="2" t="s">
        <v>566</v>
      </c>
      <c r="E1129" s="2">
        <v>80123</v>
      </c>
      <c r="F1129" s="2" t="s">
        <v>496</v>
      </c>
      <c r="G1129" s="2" t="s">
        <v>36</v>
      </c>
      <c r="H1129" s="2">
        <v>1</v>
      </c>
      <c r="I1129" s="2" t="s">
        <v>39</v>
      </c>
      <c r="J1129" s="2" t="str">
        <f>VLOOKUP(E1129,[1]LL_Hub!$A$1:$B$13,2,FALSE)</f>
        <v>Denver</v>
      </c>
      <c r="K1129" t="str">
        <f>VLOOKUP(D1129,'[2]product Table data'!$A$2:$B$12,2,FALSE)</f>
        <v>Female</v>
      </c>
      <c r="L1129" t="str">
        <f>VLOOKUP($D1129,'[2]product Table data'!$A$2:$G$12,L$1,FALSE)</f>
        <v>Casual n Light</v>
      </c>
      <c r="M1129" t="str">
        <f>VLOOKUP($D1129,'[2]product Table data'!$A$2:$G$12,M$1,FALSE)</f>
        <v>Guatemala</v>
      </c>
      <c r="N1129" t="str">
        <f>VLOOKUP($D1129,'[2]product Table data'!$A$2:$G$12,N$1,FALSE)</f>
        <v>Central America</v>
      </c>
      <c r="O1129">
        <f>VLOOKUP($D1129,'[2]product Table data'!$A$2:$G$12,O$1,FALSE)</f>
        <v>25</v>
      </c>
      <c r="P1129">
        <f>VLOOKUP($D1129,'[2]product Table data'!$A$2:$G$12,P$1,FALSE)</f>
        <v>30</v>
      </c>
      <c r="Q1129">
        <f t="shared" si="85"/>
        <v>5</v>
      </c>
      <c r="R1129" t="str">
        <f t="shared" si="86"/>
        <v>Hub Risk</v>
      </c>
      <c r="S1129" t="str">
        <f t="shared" si="87"/>
        <v>Style Risk</v>
      </c>
      <c r="T1129" t="str">
        <f t="shared" si="88"/>
        <v>Risk</v>
      </c>
      <c r="U1129" t="str">
        <f t="shared" si="89"/>
        <v>Low Value</v>
      </c>
    </row>
    <row r="1130" spans="1:21" hidden="1" x14ac:dyDescent="0.2">
      <c r="A1130" s="2">
        <v>1128</v>
      </c>
      <c r="B1130" s="2" t="s">
        <v>9</v>
      </c>
      <c r="C1130" s="2" t="s">
        <v>1601</v>
      </c>
      <c r="D1130" s="2" t="s">
        <v>566</v>
      </c>
      <c r="E1130" s="2">
        <v>80123</v>
      </c>
      <c r="F1130" s="2" t="s">
        <v>496</v>
      </c>
      <c r="G1130" s="2" t="s">
        <v>36</v>
      </c>
      <c r="H1130" s="2">
        <v>1</v>
      </c>
      <c r="I1130" s="2" t="s">
        <v>39</v>
      </c>
      <c r="J1130" s="2" t="str">
        <f>VLOOKUP(E1130,[1]LL_Hub!$A$1:$B$13,2,FALSE)</f>
        <v>Denver</v>
      </c>
      <c r="K1130" t="str">
        <f>VLOOKUP(D1130,'[2]product Table data'!$A$2:$B$12,2,FALSE)</f>
        <v>Female</v>
      </c>
      <c r="L1130" t="str">
        <f>VLOOKUP($D1130,'[2]product Table data'!$A$2:$G$12,L$1,FALSE)</f>
        <v>Casual n Light</v>
      </c>
      <c r="M1130" t="str">
        <f>VLOOKUP($D1130,'[2]product Table data'!$A$2:$G$12,M$1,FALSE)</f>
        <v>Guatemala</v>
      </c>
      <c r="N1130" t="str">
        <f>VLOOKUP($D1130,'[2]product Table data'!$A$2:$G$12,N$1,FALSE)</f>
        <v>Central America</v>
      </c>
      <c r="O1130">
        <f>VLOOKUP($D1130,'[2]product Table data'!$A$2:$G$12,O$1,FALSE)</f>
        <v>25</v>
      </c>
      <c r="P1130">
        <f>VLOOKUP($D1130,'[2]product Table data'!$A$2:$G$12,P$1,FALSE)</f>
        <v>30</v>
      </c>
      <c r="Q1130">
        <f t="shared" si="85"/>
        <v>5</v>
      </c>
      <c r="R1130" t="str">
        <f t="shared" si="86"/>
        <v>Hub Risk</v>
      </c>
      <c r="S1130" t="str">
        <f t="shared" si="87"/>
        <v>Style Risk</v>
      </c>
      <c r="T1130" t="str">
        <f t="shared" si="88"/>
        <v>Risk</v>
      </c>
      <c r="U1130" t="str">
        <f t="shared" si="89"/>
        <v>Low Value</v>
      </c>
    </row>
    <row r="1131" spans="1:21" hidden="1" x14ac:dyDescent="0.2">
      <c r="A1131" s="2">
        <v>1129</v>
      </c>
      <c r="B1131" s="2" t="s">
        <v>9</v>
      </c>
      <c r="C1131" s="2" t="s">
        <v>1602</v>
      </c>
      <c r="D1131" s="2" t="s">
        <v>566</v>
      </c>
      <c r="E1131" s="2">
        <v>80123</v>
      </c>
      <c r="F1131" s="2" t="s">
        <v>496</v>
      </c>
      <c r="G1131" s="2" t="s">
        <v>36</v>
      </c>
      <c r="H1131" s="2">
        <v>1</v>
      </c>
      <c r="I1131" s="2" t="s">
        <v>39</v>
      </c>
      <c r="J1131" s="2" t="str">
        <f>VLOOKUP(E1131,[1]LL_Hub!$A$1:$B$13,2,FALSE)</f>
        <v>Denver</v>
      </c>
      <c r="K1131" t="str">
        <f>VLOOKUP(D1131,'[2]product Table data'!$A$2:$B$12,2,FALSE)</f>
        <v>Female</v>
      </c>
      <c r="L1131" t="str">
        <f>VLOOKUP($D1131,'[2]product Table data'!$A$2:$G$12,L$1,FALSE)</f>
        <v>Casual n Light</v>
      </c>
      <c r="M1131" t="str">
        <f>VLOOKUP($D1131,'[2]product Table data'!$A$2:$G$12,M$1,FALSE)</f>
        <v>Guatemala</v>
      </c>
      <c r="N1131" t="str">
        <f>VLOOKUP($D1131,'[2]product Table data'!$A$2:$G$12,N$1,FALSE)</f>
        <v>Central America</v>
      </c>
      <c r="O1131">
        <f>VLOOKUP($D1131,'[2]product Table data'!$A$2:$G$12,O$1,FALSE)</f>
        <v>25</v>
      </c>
      <c r="P1131">
        <f>VLOOKUP($D1131,'[2]product Table data'!$A$2:$G$12,P$1,FALSE)</f>
        <v>30</v>
      </c>
      <c r="Q1131">
        <f t="shared" si="85"/>
        <v>5</v>
      </c>
      <c r="R1131" t="str">
        <f t="shared" si="86"/>
        <v>Hub Risk</v>
      </c>
      <c r="S1131" t="str">
        <f t="shared" si="87"/>
        <v>Style Risk</v>
      </c>
      <c r="T1131" t="str">
        <f t="shared" si="88"/>
        <v>Risk</v>
      </c>
      <c r="U1131" t="str">
        <f t="shared" si="89"/>
        <v>Low Value</v>
      </c>
    </row>
    <row r="1132" spans="1:21" hidden="1" x14ac:dyDescent="0.2">
      <c r="A1132" s="2">
        <v>1130</v>
      </c>
      <c r="B1132" s="2" t="s">
        <v>9</v>
      </c>
      <c r="C1132" s="2" t="s">
        <v>1603</v>
      </c>
      <c r="D1132" s="2" t="s">
        <v>566</v>
      </c>
      <c r="E1132" s="2">
        <v>80123</v>
      </c>
      <c r="F1132" s="2" t="s">
        <v>496</v>
      </c>
      <c r="G1132" s="2" t="s">
        <v>36</v>
      </c>
      <c r="H1132" s="2">
        <v>1</v>
      </c>
      <c r="I1132" s="2" t="s">
        <v>39</v>
      </c>
      <c r="J1132" s="2" t="str">
        <f>VLOOKUP(E1132,[1]LL_Hub!$A$1:$B$13,2,FALSE)</f>
        <v>Denver</v>
      </c>
      <c r="K1132" t="str">
        <f>VLOOKUP(D1132,'[2]product Table data'!$A$2:$B$12,2,FALSE)</f>
        <v>Female</v>
      </c>
      <c r="L1132" t="str">
        <f>VLOOKUP($D1132,'[2]product Table data'!$A$2:$G$12,L$1,FALSE)</f>
        <v>Casual n Light</v>
      </c>
      <c r="M1132" t="str">
        <f>VLOOKUP($D1132,'[2]product Table data'!$A$2:$G$12,M$1,FALSE)</f>
        <v>Guatemala</v>
      </c>
      <c r="N1132" t="str">
        <f>VLOOKUP($D1132,'[2]product Table data'!$A$2:$G$12,N$1,FALSE)</f>
        <v>Central America</v>
      </c>
      <c r="O1132">
        <f>VLOOKUP($D1132,'[2]product Table data'!$A$2:$G$12,O$1,FALSE)</f>
        <v>25</v>
      </c>
      <c r="P1132">
        <f>VLOOKUP($D1132,'[2]product Table data'!$A$2:$G$12,P$1,FALSE)</f>
        <v>30</v>
      </c>
      <c r="Q1132">
        <f t="shared" si="85"/>
        <v>5</v>
      </c>
      <c r="R1132" t="str">
        <f t="shared" si="86"/>
        <v>Hub Risk</v>
      </c>
      <c r="S1132" t="str">
        <f t="shared" si="87"/>
        <v>Style Risk</v>
      </c>
      <c r="T1132" t="str">
        <f t="shared" si="88"/>
        <v>Risk</v>
      </c>
      <c r="U1132" t="str">
        <f t="shared" si="89"/>
        <v>Low Value</v>
      </c>
    </row>
    <row r="1133" spans="1:21" hidden="1" x14ac:dyDescent="0.2">
      <c r="A1133" s="2">
        <v>1131</v>
      </c>
      <c r="B1133" s="2" t="s">
        <v>9</v>
      </c>
      <c r="C1133" s="2" t="s">
        <v>1604</v>
      </c>
      <c r="D1133" s="2" t="s">
        <v>566</v>
      </c>
      <c r="E1133" s="2">
        <v>80123</v>
      </c>
      <c r="F1133" s="2" t="s">
        <v>496</v>
      </c>
      <c r="G1133" s="2" t="s">
        <v>36</v>
      </c>
      <c r="H1133" s="2">
        <v>1</v>
      </c>
      <c r="I1133" s="2" t="s">
        <v>39</v>
      </c>
      <c r="J1133" s="2" t="str">
        <f>VLOOKUP(E1133,[1]LL_Hub!$A$1:$B$13,2,FALSE)</f>
        <v>Denver</v>
      </c>
      <c r="K1133" t="str">
        <f>VLOOKUP(D1133,'[2]product Table data'!$A$2:$B$12,2,FALSE)</f>
        <v>Female</v>
      </c>
      <c r="L1133" t="str">
        <f>VLOOKUP($D1133,'[2]product Table data'!$A$2:$G$12,L$1,FALSE)</f>
        <v>Casual n Light</v>
      </c>
      <c r="M1133" t="str">
        <f>VLOOKUP($D1133,'[2]product Table data'!$A$2:$G$12,M$1,FALSE)</f>
        <v>Guatemala</v>
      </c>
      <c r="N1133" t="str">
        <f>VLOOKUP($D1133,'[2]product Table data'!$A$2:$G$12,N$1,FALSE)</f>
        <v>Central America</v>
      </c>
      <c r="O1133">
        <f>VLOOKUP($D1133,'[2]product Table data'!$A$2:$G$12,O$1,FALSE)</f>
        <v>25</v>
      </c>
      <c r="P1133">
        <f>VLOOKUP($D1133,'[2]product Table data'!$A$2:$G$12,P$1,FALSE)</f>
        <v>30</v>
      </c>
      <c r="Q1133">
        <f t="shared" si="85"/>
        <v>5</v>
      </c>
      <c r="R1133" t="str">
        <f t="shared" si="86"/>
        <v>Hub Risk</v>
      </c>
      <c r="S1133" t="str">
        <f t="shared" si="87"/>
        <v>Style Risk</v>
      </c>
      <c r="T1133" t="str">
        <f t="shared" si="88"/>
        <v>Risk</v>
      </c>
      <c r="U1133" t="str">
        <f t="shared" si="89"/>
        <v>Low Value</v>
      </c>
    </row>
    <row r="1134" spans="1:21" hidden="1" x14ac:dyDescent="0.2">
      <c r="A1134" s="2">
        <v>1132</v>
      </c>
      <c r="B1134" s="2" t="s">
        <v>9</v>
      </c>
      <c r="C1134" s="2" t="s">
        <v>1605</v>
      </c>
      <c r="D1134" s="2" t="s">
        <v>566</v>
      </c>
      <c r="E1134" s="2">
        <v>80123</v>
      </c>
      <c r="F1134" s="2" t="s">
        <v>496</v>
      </c>
      <c r="G1134" s="2" t="s">
        <v>36</v>
      </c>
      <c r="H1134" s="2">
        <v>1</v>
      </c>
      <c r="I1134" s="2" t="s">
        <v>39</v>
      </c>
      <c r="J1134" s="2" t="str">
        <f>VLOOKUP(E1134,[1]LL_Hub!$A$1:$B$13,2,FALSE)</f>
        <v>Denver</v>
      </c>
      <c r="K1134" t="str">
        <f>VLOOKUP(D1134,'[2]product Table data'!$A$2:$B$12,2,FALSE)</f>
        <v>Female</v>
      </c>
      <c r="L1134" t="str">
        <f>VLOOKUP($D1134,'[2]product Table data'!$A$2:$G$12,L$1,FALSE)</f>
        <v>Casual n Light</v>
      </c>
      <c r="M1134" t="str">
        <f>VLOOKUP($D1134,'[2]product Table data'!$A$2:$G$12,M$1,FALSE)</f>
        <v>Guatemala</v>
      </c>
      <c r="N1134" t="str">
        <f>VLOOKUP($D1134,'[2]product Table data'!$A$2:$G$12,N$1,FALSE)</f>
        <v>Central America</v>
      </c>
      <c r="O1134">
        <f>VLOOKUP($D1134,'[2]product Table data'!$A$2:$G$12,O$1,FALSE)</f>
        <v>25</v>
      </c>
      <c r="P1134">
        <f>VLOOKUP($D1134,'[2]product Table data'!$A$2:$G$12,P$1,FALSE)</f>
        <v>30</v>
      </c>
      <c r="Q1134">
        <f t="shared" si="85"/>
        <v>5</v>
      </c>
      <c r="R1134" t="str">
        <f t="shared" si="86"/>
        <v>Hub Risk</v>
      </c>
      <c r="S1134" t="str">
        <f t="shared" si="87"/>
        <v>Style Risk</v>
      </c>
      <c r="T1134" t="str">
        <f t="shared" si="88"/>
        <v>Risk</v>
      </c>
      <c r="U1134" t="str">
        <f t="shared" si="89"/>
        <v>Low Value</v>
      </c>
    </row>
    <row r="1135" spans="1:21" hidden="1" x14ac:dyDescent="0.2">
      <c r="A1135" s="2">
        <v>1133</v>
      </c>
      <c r="B1135" s="2" t="s">
        <v>9</v>
      </c>
      <c r="C1135" s="2" t="s">
        <v>1606</v>
      </c>
      <c r="D1135" s="2" t="s">
        <v>566</v>
      </c>
      <c r="E1135" s="2">
        <v>80123</v>
      </c>
      <c r="F1135" s="2" t="s">
        <v>496</v>
      </c>
      <c r="G1135" s="2" t="s">
        <v>36</v>
      </c>
      <c r="H1135" s="2">
        <v>1</v>
      </c>
      <c r="I1135" s="2" t="s">
        <v>39</v>
      </c>
      <c r="J1135" s="2" t="str">
        <f>VLOOKUP(E1135,[1]LL_Hub!$A$1:$B$13,2,FALSE)</f>
        <v>Denver</v>
      </c>
      <c r="K1135" t="str">
        <f>VLOOKUP(D1135,'[2]product Table data'!$A$2:$B$12,2,FALSE)</f>
        <v>Female</v>
      </c>
      <c r="L1135" t="str">
        <f>VLOOKUP($D1135,'[2]product Table data'!$A$2:$G$12,L$1,FALSE)</f>
        <v>Casual n Light</v>
      </c>
      <c r="M1135" t="str">
        <f>VLOOKUP($D1135,'[2]product Table data'!$A$2:$G$12,M$1,FALSE)</f>
        <v>Guatemala</v>
      </c>
      <c r="N1135" t="str">
        <f>VLOOKUP($D1135,'[2]product Table data'!$A$2:$G$12,N$1,FALSE)</f>
        <v>Central America</v>
      </c>
      <c r="O1135">
        <f>VLOOKUP($D1135,'[2]product Table data'!$A$2:$G$12,O$1,FALSE)</f>
        <v>25</v>
      </c>
      <c r="P1135">
        <f>VLOOKUP($D1135,'[2]product Table data'!$A$2:$G$12,P$1,FALSE)</f>
        <v>30</v>
      </c>
      <c r="Q1135">
        <f t="shared" si="85"/>
        <v>5</v>
      </c>
      <c r="R1135" t="str">
        <f t="shared" si="86"/>
        <v>Hub Risk</v>
      </c>
      <c r="S1135" t="str">
        <f t="shared" si="87"/>
        <v>Style Risk</v>
      </c>
      <c r="T1135" t="str">
        <f t="shared" si="88"/>
        <v>Risk</v>
      </c>
      <c r="U1135" t="str">
        <f t="shared" si="89"/>
        <v>Low Value</v>
      </c>
    </row>
    <row r="1136" spans="1:21" hidden="1" x14ac:dyDescent="0.2">
      <c r="A1136" s="2">
        <v>1134</v>
      </c>
      <c r="B1136" s="2" t="s">
        <v>9</v>
      </c>
      <c r="C1136" s="2" t="s">
        <v>1607</v>
      </c>
      <c r="D1136" s="2" t="s">
        <v>566</v>
      </c>
      <c r="E1136" s="2">
        <v>80123</v>
      </c>
      <c r="F1136" s="2" t="s">
        <v>496</v>
      </c>
      <c r="G1136" s="2" t="s">
        <v>36</v>
      </c>
      <c r="H1136" s="2">
        <v>1</v>
      </c>
      <c r="I1136" s="2" t="s">
        <v>39</v>
      </c>
      <c r="J1136" s="2" t="str">
        <f>VLOOKUP(E1136,[1]LL_Hub!$A$1:$B$13,2,FALSE)</f>
        <v>Denver</v>
      </c>
      <c r="K1136" t="str">
        <f>VLOOKUP(D1136,'[2]product Table data'!$A$2:$B$12,2,FALSE)</f>
        <v>Female</v>
      </c>
      <c r="L1136" t="str">
        <f>VLOOKUP($D1136,'[2]product Table data'!$A$2:$G$12,L$1,FALSE)</f>
        <v>Casual n Light</v>
      </c>
      <c r="M1136" t="str">
        <f>VLOOKUP($D1136,'[2]product Table data'!$A$2:$G$12,M$1,FALSE)</f>
        <v>Guatemala</v>
      </c>
      <c r="N1136" t="str">
        <f>VLOOKUP($D1136,'[2]product Table data'!$A$2:$G$12,N$1,FALSE)</f>
        <v>Central America</v>
      </c>
      <c r="O1136">
        <f>VLOOKUP($D1136,'[2]product Table data'!$A$2:$G$12,O$1,FALSE)</f>
        <v>25</v>
      </c>
      <c r="P1136">
        <f>VLOOKUP($D1136,'[2]product Table data'!$A$2:$G$12,P$1,FALSE)</f>
        <v>30</v>
      </c>
      <c r="Q1136">
        <f t="shared" si="85"/>
        <v>5</v>
      </c>
      <c r="R1136" t="str">
        <f t="shared" si="86"/>
        <v>Hub Risk</v>
      </c>
      <c r="S1136" t="str">
        <f t="shared" si="87"/>
        <v>Style Risk</v>
      </c>
      <c r="T1136" t="str">
        <f t="shared" si="88"/>
        <v>Risk</v>
      </c>
      <c r="U1136" t="str">
        <f t="shared" si="89"/>
        <v>Low Value</v>
      </c>
    </row>
    <row r="1137" spans="1:21" hidden="1" x14ac:dyDescent="0.2">
      <c r="A1137" s="2">
        <v>1135</v>
      </c>
      <c r="B1137" s="2" t="s">
        <v>9</v>
      </c>
      <c r="C1137" s="2" t="s">
        <v>1608</v>
      </c>
      <c r="D1137" s="2" t="s">
        <v>566</v>
      </c>
      <c r="E1137" s="2">
        <v>80123</v>
      </c>
      <c r="F1137" s="2" t="s">
        <v>496</v>
      </c>
      <c r="G1137" s="2" t="s">
        <v>36</v>
      </c>
      <c r="H1137" s="2">
        <v>1</v>
      </c>
      <c r="I1137" s="2" t="s">
        <v>39</v>
      </c>
      <c r="J1137" s="2" t="str">
        <f>VLOOKUP(E1137,[1]LL_Hub!$A$1:$B$13,2,FALSE)</f>
        <v>Denver</v>
      </c>
      <c r="K1137" t="str">
        <f>VLOOKUP(D1137,'[2]product Table data'!$A$2:$B$12,2,FALSE)</f>
        <v>Female</v>
      </c>
      <c r="L1137" t="str">
        <f>VLOOKUP($D1137,'[2]product Table data'!$A$2:$G$12,L$1,FALSE)</f>
        <v>Casual n Light</v>
      </c>
      <c r="M1137" t="str">
        <f>VLOOKUP($D1137,'[2]product Table data'!$A$2:$G$12,M$1,FALSE)</f>
        <v>Guatemala</v>
      </c>
      <c r="N1137" t="str">
        <f>VLOOKUP($D1137,'[2]product Table data'!$A$2:$G$12,N$1,FALSE)</f>
        <v>Central America</v>
      </c>
      <c r="O1137">
        <f>VLOOKUP($D1137,'[2]product Table data'!$A$2:$G$12,O$1,FALSE)</f>
        <v>25</v>
      </c>
      <c r="P1137">
        <f>VLOOKUP($D1137,'[2]product Table data'!$A$2:$G$12,P$1,FALSE)</f>
        <v>30</v>
      </c>
      <c r="Q1137">
        <f t="shared" si="85"/>
        <v>5</v>
      </c>
      <c r="R1137" t="str">
        <f t="shared" si="86"/>
        <v>Hub Risk</v>
      </c>
      <c r="S1137" t="str">
        <f t="shared" si="87"/>
        <v>Style Risk</v>
      </c>
      <c r="T1137" t="str">
        <f t="shared" si="88"/>
        <v>Risk</v>
      </c>
      <c r="U1137" t="str">
        <f t="shared" si="89"/>
        <v>Low Value</v>
      </c>
    </row>
    <row r="1138" spans="1:21" hidden="1" x14ac:dyDescent="0.2">
      <c r="A1138" s="2">
        <v>1136</v>
      </c>
      <c r="B1138" s="2" t="s">
        <v>9</v>
      </c>
      <c r="C1138" s="2" t="s">
        <v>1609</v>
      </c>
      <c r="D1138" s="2" t="s">
        <v>566</v>
      </c>
      <c r="E1138" s="2">
        <v>80123</v>
      </c>
      <c r="F1138" s="2" t="s">
        <v>496</v>
      </c>
      <c r="G1138" s="2" t="s">
        <v>36</v>
      </c>
      <c r="H1138" s="2">
        <v>1</v>
      </c>
      <c r="I1138" s="2" t="s">
        <v>39</v>
      </c>
      <c r="J1138" s="2" t="str">
        <f>VLOOKUP(E1138,[1]LL_Hub!$A$1:$B$13,2,FALSE)</f>
        <v>Denver</v>
      </c>
      <c r="K1138" t="str">
        <f>VLOOKUP(D1138,'[2]product Table data'!$A$2:$B$12,2,FALSE)</f>
        <v>Female</v>
      </c>
      <c r="L1138" t="str">
        <f>VLOOKUP($D1138,'[2]product Table data'!$A$2:$G$12,L$1,FALSE)</f>
        <v>Casual n Light</v>
      </c>
      <c r="M1138" t="str">
        <f>VLOOKUP($D1138,'[2]product Table data'!$A$2:$G$12,M$1,FALSE)</f>
        <v>Guatemala</v>
      </c>
      <c r="N1138" t="str">
        <f>VLOOKUP($D1138,'[2]product Table data'!$A$2:$G$12,N$1,FALSE)</f>
        <v>Central America</v>
      </c>
      <c r="O1138">
        <f>VLOOKUP($D1138,'[2]product Table data'!$A$2:$G$12,O$1,FALSE)</f>
        <v>25</v>
      </c>
      <c r="P1138">
        <f>VLOOKUP($D1138,'[2]product Table data'!$A$2:$G$12,P$1,FALSE)</f>
        <v>30</v>
      </c>
      <c r="Q1138">
        <f t="shared" si="85"/>
        <v>5</v>
      </c>
      <c r="R1138" t="str">
        <f t="shared" si="86"/>
        <v>Hub Risk</v>
      </c>
      <c r="S1138" t="str">
        <f t="shared" si="87"/>
        <v>Style Risk</v>
      </c>
      <c r="T1138" t="str">
        <f t="shared" si="88"/>
        <v>Risk</v>
      </c>
      <c r="U1138" t="str">
        <f t="shared" si="89"/>
        <v>Low Value</v>
      </c>
    </row>
    <row r="1139" spans="1:21" hidden="1" x14ac:dyDescent="0.2">
      <c r="A1139" s="2">
        <v>1137</v>
      </c>
      <c r="B1139" s="2" t="s">
        <v>9</v>
      </c>
      <c r="C1139" s="2" t="s">
        <v>1610</v>
      </c>
      <c r="D1139" s="2" t="s">
        <v>566</v>
      </c>
      <c r="E1139" s="2">
        <v>80123</v>
      </c>
      <c r="F1139" s="2" t="s">
        <v>98</v>
      </c>
      <c r="G1139" s="2" t="s">
        <v>36</v>
      </c>
      <c r="H1139" s="2">
        <v>1</v>
      </c>
      <c r="I1139" s="2" t="s">
        <v>39</v>
      </c>
      <c r="J1139" s="2" t="str">
        <f>VLOOKUP(E1139,[1]LL_Hub!$A$1:$B$13,2,FALSE)</f>
        <v>Denver</v>
      </c>
      <c r="K1139" t="str">
        <f>VLOOKUP(D1139,'[2]product Table data'!$A$2:$B$12,2,FALSE)</f>
        <v>Female</v>
      </c>
      <c r="L1139" t="str">
        <f>VLOOKUP($D1139,'[2]product Table data'!$A$2:$G$12,L$1,FALSE)</f>
        <v>Casual n Light</v>
      </c>
      <c r="M1139" t="str">
        <f>VLOOKUP($D1139,'[2]product Table data'!$A$2:$G$12,M$1,FALSE)</f>
        <v>Guatemala</v>
      </c>
      <c r="N1139" t="str">
        <f>VLOOKUP($D1139,'[2]product Table data'!$A$2:$G$12,N$1,FALSE)</f>
        <v>Central America</v>
      </c>
      <c r="O1139">
        <f>VLOOKUP($D1139,'[2]product Table data'!$A$2:$G$12,O$1,FALSE)</f>
        <v>25</v>
      </c>
      <c r="P1139">
        <f>VLOOKUP($D1139,'[2]product Table data'!$A$2:$G$12,P$1,FALSE)</f>
        <v>30</v>
      </c>
      <c r="Q1139">
        <f t="shared" si="85"/>
        <v>5</v>
      </c>
      <c r="R1139" t="str">
        <f t="shared" si="86"/>
        <v>Hub Risk</v>
      </c>
      <c r="S1139" t="str">
        <f t="shared" si="87"/>
        <v>Style Risk</v>
      </c>
      <c r="T1139" t="str">
        <f t="shared" si="88"/>
        <v>Risk</v>
      </c>
      <c r="U1139" t="str">
        <f t="shared" si="89"/>
        <v>Low Value</v>
      </c>
    </row>
    <row r="1140" spans="1:21" hidden="1" x14ac:dyDescent="0.2">
      <c r="A1140" s="2">
        <v>1138</v>
      </c>
      <c r="B1140" s="2" t="s">
        <v>9</v>
      </c>
      <c r="C1140" s="2" t="s">
        <v>1611</v>
      </c>
      <c r="D1140" s="2" t="s">
        <v>566</v>
      </c>
      <c r="E1140" s="2">
        <v>80123</v>
      </c>
      <c r="F1140" s="2" t="s">
        <v>98</v>
      </c>
      <c r="G1140" s="2" t="s">
        <v>36</v>
      </c>
      <c r="H1140" s="2">
        <v>1</v>
      </c>
      <c r="I1140" s="2" t="s">
        <v>39</v>
      </c>
      <c r="J1140" s="2" t="str">
        <f>VLOOKUP(E1140,[1]LL_Hub!$A$1:$B$13,2,FALSE)</f>
        <v>Denver</v>
      </c>
      <c r="K1140" t="str">
        <f>VLOOKUP(D1140,'[2]product Table data'!$A$2:$B$12,2,FALSE)</f>
        <v>Female</v>
      </c>
      <c r="L1140" t="str">
        <f>VLOOKUP($D1140,'[2]product Table data'!$A$2:$G$12,L$1,FALSE)</f>
        <v>Casual n Light</v>
      </c>
      <c r="M1140" t="str">
        <f>VLOOKUP($D1140,'[2]product Table data'!$A$2:$G$12,M$1,FALSE)</f>
        <v>Guatemala</v>
      </c>
      <c r="N1140" t="str">
        <f>VLOOKUP($D1140,'[2]product Table data'!$A$2:$G$12,N$1,FALSE)</f>
        <v>Central America</v>
      </c>
      <c r="O1140">
        <f>VLOOKUP($D1140,'[2]product Table data'!$A$2:$G$12,O$1,FALSE)</f>
        <v>25</v>
      </c>
      <c r="P1140">
        <f>VLOOKUP($D1140,'[2]product Table data'!$A$2:$G$12,P$1,FALSE)</f>
        <v>30</v>
      </c>
      <c r="Q1140">
        <f t="shared" si="85"/>
        <v>5</v>
      </c>
      <c r="R1140" t="str">
        <f t="shared" si="86"/>
        <v>Hub Risk</v>
      </c>
      <c r="S1140" t="str">
        <f t="shared" si="87"/>
        <v>Style Risk</v>
      </c>
      <c r="T1140" t="str">
        <f t="shared" si="88"/>
        <v>Risk</v>
      </c>
      <c r="U1140" t="str">
        <f t="shared" si="89"/>
        <v>Low Value</v>
      </c>
    </row>
    <row r="1141" spans="1:21" hidden="1" x14ac:dyDescent="0.2">
      <c r="A1141" s="2">
        <v>1139</v>
      </c>
      <c r="B1141" s="2" t="s">
        <v>9</v>
      </c>
      <c r="C1141" s="2" t="s">
        <v>1612</v>
      </c>
      <c r="D1141" s="2" t="s">
        <v>566</v>
      </c>
      <c r="E1141" s="2">
        <v>80123</v>
      </c>
      <c r="F1141" s="2" t="s">
        <v>98</v>
      </c>
      <c r="G1141" s="2" t="s">
        <v>36</v>
      </c>
      <c r="H1141" s="2">
        <v>1</v>
      </c>
      <c r="I1141" s="2" t="s">
        <v>39</v>
      </c>
      <c r="J1141" s="2" t="str">
        <f>VLOOKUP(E1141,[1]LL_Hub!$A$1:$B$13,2,FALSE)</f>
        <v>Denver</v>
      </c>
      <c r="K1141" t="str">
        <f>VLOOKUP(D1141,'[2]product Table data'!$A$2:$B$12,2,FALSE)</f>
        <v>Female</v>
      </c>
      <c r="L1141" t="str">
        <f>VLOOKUP($D1141,'[2]product Table data'!$A$2:$G$12,L$1,FALSE)</f>
        <v>Casual n Light</v>
      </c>
      <c r="M1141" t="str">
        <f>VLOOKUP($D1141,'[2]product Table data'!$A$2:$G$12,M$1,FALSE)</f>
        <v>Guatemala</v>
      </c>
      <c r="N1141" t="str">
        <f>VLOOKUP($D1141,'[2]product Table data'!$A$2:$G$12,N$1,FALSE)</f>
        <v>Central America</v>
      </c>
      <c r="O1141">
        <f>VLOOKUP($D1141,'[2]product Table data'!$A$2:$G$12,O$1,FALSE)</f>
        <v>25</v>
      </c>
      <c r="P1141">
        <f>VLOOKUP($D1141,'[2]product Table data'!$A$2:$G$12,P$1,FALSE)</f>
        <v>30</v>
      </c>
      <c r="Q1141">
        <f t="shared" si="85"/>
        <v>5</v>
      </c>
      <c r="R1141" t="str">
        <f t="shared" si="86"/>
        <v>Hub Risk</v>
      </c>
      <c r="S1141" t="str">
        <f t="shared" si="87"/>
        <v>Style Risk</v>
      </c>
      <c r="T1141" t="str">
        <f t="shared" si="88"/>
        <v>Risk</v>
      </c>
      <c r="U1141" t="str">
        <f t="shared" si="89"/>
        <v>Low Value</v>
      </c>
    </row>
    <row r="1142" spans="1:21" hidden="1" x14ac:dyDescent="0.2">
      <c r="A1142" s="2">
        <v>1140</v>
      </c>
      <c r="B1142" s="2" t="s">
        <v>9</v>
      </c>
      <c r="C1142" s="2" t="s">
        <v>1613</v>
      </c>
      <c r="D1142" s="2" t="s">
        <v>566</v>
      </c>
      <c r="E1142" s="2">
        <v>80123</v>
      </c>
      <c r="F1142" s="2" t="s">
        <v>98</v>
      </c>
      <c r="G1142" s="2" t="s">
        <v>36</v>
      </c>
      <c r="H1142" s="2">
        <v>1</v>
      </c>
      <c r="I1142" s="2" t="s">
        <v>39</v>
      </c>
      <c r="J1142" s="2" t="str">
        <f>VLOOKUP(E1142,[1]LL_Hub!$A$1:$B$13,2,FALSE)</f>
        <v>Denver</v>
      </c>
      <c r="K1142" t="str">
        <f>VLOOKUP(D1142,'[2]product Table data'!$A$2:$B$12,2,FALSE)</f>
        <v>Female</v>
      </c>
      <c r="L1142" t="str">
        <f>VLOOKUP($D1142,'[2]product Table data'!$A$2:$G$12,L$1,FALSE)</f>
        <v>Casual n Light</v>
      </c>
      <c r="M1142" t="str">
        <f>VLOOKUP($D1142,'[2]product Table data'!$A$2:$G$12,M$1,FALSE)</f>
        <v>Guatemala</v>
      </c>
      <c r="N1142" t="str">
        <f>VLOOKUP($D1142,'[2]product Table data'!$A$2:$G$12,N$1,FALSE)</f>
        <v>Central America</v>
      </c>
      <c r="O1142">
        <f>VLOOKUP($D1142,'[2]product Table data'!$A$2:$G$12,O$1,FALSE)</f>
        <v>25</v>
      </c>
      <c r="P1142">
        <f>VLOOKUP($D1142,'[2]product Table data'!$A$2:$G$12,P$1,FALSE)</f>
        <v>30</v>
      </c>
      <c r="Q1142">
        <f t="shared" si="85"/>
        <v>5</v>
      </c>
      <c r="R1142" t="str">
        <f t="shared" si="86"/>
        <v>Hub Risk</v>
      </c>
      <c r="S1142" t="str">
        <f t="shared" si="87"/>
        <v>Style Risk</v>
      </c>
      <c r="T1142" t="str">
        <f t="shared" si="88"/>
        <v>Risk</v>
      </c>
      <c r="U1142" t="str">
        <f t="shared" si="89"/>
        <v>Low Value</v>
      </c>
    </row>
    <row r="1143" spans="1:21" hidden="1" x14ac:dyDescent="0.2">
      <c r="A1143" s="2">
        <v>1141</v>
      </c>
      <c r="B1143" s="2" t="s">
        <v>9</v>
      </c>
      <c r="C1143" s="2" t="s">
        <v>1614</v>
      </c>
      <c r="D1143" s="2" t="s">
        <v>566</v>
      </c>
      <c r="E1143" s="2">
        <v>80123</v>
      </c>
      <c r="F1143" s="2" t="s">
        <v>98</v>
      </c>
      <c r="G1143" s="2" t="s">
        <v>36</v>
      </c>
      <c r="H1143" s="2">
        <v>1</v>
      </c>
      <c r="I1143" s="2" t="s">
        <v>39</v>
      </c>
      <c r="J1143" s="2" t="str">
        <f>VLOOKUP(E1143,[1]LL_Hub!$A$1:$B$13,2,FALSE)</f>
        <v>Denver</v>
      </c>
      <c r="K1143" t="str">
        <f>VLOOKUP(D1143,'[2]product Table data'!$A$2:$B$12,2,FALSE)</f>
        <v>Female</v>
      </c>
      <c r="L1143" t="str">
        <f>VLOOKUP($D1143,'[2]product Table data'!$A$2:$G$12,L$1,FALSE)</f>
        <v>Casual n Light</v>
      </c>
      <c r="M1143" t="str">
        <f>VLOOKUP($D1143,'[2]product Table data'!$A$2:$G$12,M$1,FALSE)</f>
        <v>Guatemala</v>
      </c>
      <c r="N1143" t="str">
        <f>VLOOKUP($D1143,'[2]product Table data'!$A$2:$G$12,N$1,FALSE)</f>
        <v>Central America</v>
      </c>
      <c r="O1143">
        <f>VLOOKUP($D1143,'[2]product Table data'!$A$2:$G$12,O$1,FALSE)</f>
        <v>25</v>
      </c>
      <c r="P1143">
        <f>VLOOKUP($D1143,'[2]product Table data'!$A$2:$G$12,P$1,FALSE)</f>
        <v>30</v>
      </c>
      <c r="Q1143">
        <f t="shared" si="85"/>
        <v>5</v>
      </c>
      <c r="R1143" t="str">
        <f t="shared" si="86"/>
        <v>Hub Risk</v>
      </c>
      <c r="S1143" t="str">
        <f t="shared" si="87"/>
        <v>Style Risk</v>
      </c>
      <c r="T1143" t="str">
        <f t="shared" si="88"/>
        <v>Risk</v>
      </c>
      <c r="U1143" t="str">
        <f t="shared" si="89"/>
        <v>Low Value</v>
      </c>
    </row>
    <row r="1144" spans="1:21" hidden="1" x14ac:dyDescent="0.2">
      <c r="A1144" s="2">
        <v>1142</v>
      </c>
      <c r="B1144" s="2" t="s">
        <v>9</v>
      </c>
      <c r="C1144" s="2" t="s">
        <v>1615</v>
      </c>
      <c r="D1144" s="2" t="s">
        <v>566</v>
      </c>
      <c r="E1144" s="2">
        <v>80123</v>
      </c>
      <c r="F1144" s="2" t="s">
        <v>98</v>
      </c>
      <c r="G1144" s="2" t="s">
        <v>36</v>
      </c>
      <c r="H1144" s="2">
        <v>1</v>
      </c>
      <c r="I1144" s="2" t="s">
        <v>39</v>
      </c>
      <c r="J1144" s="2" t="str">
        <f>VLOOKUP(E1144,[1]LL_Hub!$A$1:$B$13,2,FALSE)</f>
        <v>Denver</v>
      </c>
      <c r="K1144" t="str">
        <f>VLOOKUP(D1144,'[2]product Table data'!$A$2:$B$12,2,FALSE)</f>
        <v>Female</v>
      </c>
      <c r="L1144" t="str">
        <f>VLOOKUP($D1144,'[2]product Table data'!$A$2:$G$12,L$1,FALSE)</f>
        <v>Casual n Light</v>
      </c>
      <c r="M1144" t="str">
        <f>VLOOKUP($D1144,'[2]product Table data'!$A$2:$G$12,M$1,FALSE)</f>
        <v>Guatemala</v>
      </c>
      <c r="N1144" t="str">
        <f>VLOOKUP($D1144,'[2]product Table data'!$A$2:$G$12,N$1,FALSE)</f>
        <v>Central America</v>
      </c>
      <c r="O1144">
        <f>VLOOKUP($D1144,'[2]product Table data'!$A$2:$G$12,O$1,FALSE)</f>
        <v>25</v>
      </c>
      <c r="P1144">
        <f>VLOOKUP($D1144,'[2]product Table data'!$A$2:$G$12,P$1,FALSE)</f>
        <v>30</v>
      </c>
      <c r="Q1144">
        <f t="shared" si="85"/>
        <v>5</v>
      </c>
      <c r="R1144" t="str">
        <f t="shared" si="86"/>
        <v>Hub Risk</v>
      </c>
      <c r="S1144" t="str">
        <f t="shared" si="87"/>
        <v>Style Risk</v>
      </c>
      <c r="T1144" t="str">
        <f t="shared" si="88"/>
        <v>Risk</v>
      </c>
      <c r="U1144" t="str">
        <f t="shared" si="89"/>
        <v>Low Value</v>
      </c>
    </row>
    <row r="1145" spans="1:21" hidden="1" x14ac:dyDescent="0.2">
      <c r="A1145" s="2">
        <v>1143</v>
      </c>
      <c r="B1145" s="2" t="s">
        <v>9</v>
      </c>
      <c r="C1145" s="2" t="s">
        <v>1616</v>
      </c>
      <c r="D1145" s="2" t="s">
        <v>505</v>
      </c>
      <c r="E1145" s="2">
        <v>10001</v>
      </c>
      <c r="F1145" s="2" t="s">
        <v>1260</v>
      </c>
      <c r="G1145" s="2" t="s">
        <v>36</v>
      </c>
      <c r="H1145" s="2">
        <v>1</v>
      </c>
      <c r="I1145" s="2" t="s">
        <v>17</v>
      </c>
      <c r="J1145" s="2" t="str">
        <f>VLOOKUP(E1145,[1]LL_Hub!$A$1:$B$13,2,FALSE)</f>
        <v>New York</v>
      </c>
      <c r="K1145" t="str">
        <f>VLOOKUP(D1145,'[2]product Table data'!$A$2:$B$12,2,FALSE)</f>
        <v>Female</v>
      </c>
      <c r="L1145" t="str">
        <f>VLOOKUP($D1145,'[2]product Table data'!$A$2:$G$12,L$1,FALSE)</f>
        <v>Casual n Light</v>
      </c>
      <c r="M1145" t="str">
        <f>VLOOKUP($D1145,'[2]product Table data'!$A$2:$G$12,M$1,FALSE)</f>
        <v>Honduras</v>
      </c>
      <c r="N1145" t="str">
        <f>VLOOKUP($D1145,'[2]product Table data'!$A$2:$G$12,N$1,FALSE)</f>
        <v>Central America</v>
      </c>
      <c r="O1145">
        <f>VLOOKUP($D1145,'[2]product Table data'!$A$2:$G$12,O$1,FALSE)</f>
        <v>30</v>
      </c>
      <c r="P1145">
        <f>VLOOKUP($D1145,'[2]product Table data'!$A$2:$G$12,P$1,FALSE)</f>
        <v>45</v>
      </c>
      <c r="Q1145">
        <f t="shared" si="85"/>
        <v>15</v>
      </c>
      <c r="R1145" t="str">
        <f t="shared" si="86"/>
        <v>-</v>
      </c>
      <c r="S1145" t="str">
        <f t="shared" si="87"/>
        <v>Style Risk</v>
      </c>
      <c r="T1145" t="str">
        <f t="shared" si="88"/>
        <v>-</v>
      </c>
      <c r="U1145" t="str">
        <f t="shared" si="89"/>
        <v>High Value</v>
      </c>
    </row>
    <row r="1146" spans="1:21" hidden="1" x14ac:dyDescent="0.2">
      <c r="A1146" s="2">
        <v>1144</v>
      </c>
      <c r="B1146" s="2" t="s">
        <v>9</v>
      </c>
      <c r="C1146" s="2" t="s">
        <v>1617</v>
      </c>
      <c r="D1146" s="2" t="s">
        <v>505</v>
      </c>
      <c r="E1146" s="2">
        <v>10001</v>
      </c>
      <c r="F1146" s="2" t="s">
        <v>1260</v>
      </c>
      <c r="G1146" s="2" t="s">
        <v>36</v>
      </c>
      <c r="H1146" s="2">
        <v>1</v>
      </c>
      <c r="I1146" s="2" t="s">
        <v>17</v>
      </c>
      <c r="J1146" s="2" t="str">
        <f>VLOOKUP(E1146,[1]LL_Hub!$A$1:$B$13,2,FALSE)</f>
        <v>New York</v>
      </c>
      <c r="K1146" t="str">
        <f>VLOOKUP(D1146,'[2]product Table data'!$A$2:$B$12,2,FALSE)</f>
        <v>Female</v>
      </c>
      <c r="L1146" t="str">
        <f>VLOOKUP($D1146,'[2]product Table data'!$A$2:$G$12,L$1,FALSE)</f>
        <v>Casual n Light</v>
      </c>
      <c r="M1146" t="str">
        <f>VLOOKUP($D1146,'[2]product Table data'!$A$2:$G$12,M$1,FALSE)</f>
        <v>Honduras</v>
      </c>
      <c r="N1146" t="str">
        <f>VLOOKUP($D1146,'[2]product Table data'!$A$2:$G$12,N$1,FALSE)</f>
        <v>Central America</v>
      </c>
      <c r="O1146">
        <f>VLOOKUP($D1146,'[2]product Table data'!$A$2:$G$12,O$1,FALSE)</f>
        <v>30</v>
      </c>
      <c r="P1146">
        <f>VLOOKUP($D1146,'[2]product Table data'!$A$2:$G$12,P$1,FALSE)</f>
        <v>45</v>
      </c>
      <c r="Q1146">
        <f t="shared" si="85"/>
        <v>15</v>
      </c>
      <c r="R1146" t="str">
        <f t="shared" si="86"/>
        <v>-</v>
      </c>
      <c r="S1146" t="str">
        <f t="shared" si="87"/>
        <v>Style Risk</v>
      </c>
      <c r="T1146" t="str">
        <f t="shared" si="88"/>
        <v>-</v>
      </c>
      <c r="U1146" t="str">
        <f t="shared" si="89"/>
        <v>High Value</v>
      </c>
    </row>
    <row r="1147" spans="1:21" hidden="1" x14ac:dyDescent="0.2">
      <c r="A1147" s="2">
        <v>1145</v>
      </c>
      <c r="B1147" s="2" t="s">
        <v>9</v>
      </c>
      <c r="C1147" s="2" t="s">
        <v>1618</v>
      </c>
      <c r="D1147" s="2" t="s">
        <v>505</v>
      </c>
      <c r="E1147" s="2">
        <v>10001</v>
      </c>
      <c r="F1147" s="2" t="s">
        <v>1260</v>
      </c>
      <c r="G1147" s="2" t="s">
        <v>36</v>
      </c>
      <c r="H1147" s="2">
        <v>1</v>
      </c>
      <c r="I1147" s="2" t="s">
        <v>17</v>
      </c>
      <c r="J1147" s="2" t="str">
        <f>VLOOKUP(E1147,[1]LL_Hub!$A$1:$B$13,2,FALSE)</f>
        <v>New York</v>
      </c>
      <c r="K1147" t="str">
        <f>VLOOKUP(D1147,'[2]product Table data'!$A$2:$B$12,2,FALSE)</f>
        <v>Female</v>
      </c>
      <c r="L1147" t="str">
        <f>VLOOKUP($D1147,'[2]product Table data'!$A$2:$G$12,L$1,FALSE)</f>
        <v>Casual n Light</v>
      </c>
      <c r="M1147" t="str">
        <f>VLOOKUP($D1147,'[2]product Table data'!$A$2:$G$12,M$1,FALSE)</f>
        <v>Honduras</v>
      </c>
      <c r="N1147" t="str">
        <f>VLOOKUP($D1147,'[2]product Table data'!$A$2:$G$12,N$1,FALSE)</f>
        <v>Central America</v>
      </c>
      <c r="O1147">
        <f>VLOOKUP($D1147,'[2]product Table data'!$A$2:$G$12,O$1,FALSE)</f>
        <v>30</v>
      </c>
      <c r="P1147">
        <f>VLOOKUP($D1147,'[2]product Table data'!$A$2:$G$12,P$1,FALSE)</f>
        <v>45</v>
      </c>
      <c r="Q1147">
        <f t="shared" si="85"/>
        <v>15</v>
      </c>
      <c r="R1147" t="str">
        <f t="shared" si="86"/>
        <v>-</v>
      </c>
      <c r="S1147" t="str">
        <f t="shared" si="87"/>
        <v>Style Risk</v>
      </c>
      <c r="T1147" t="str">
        <f t="shared" si="88"/>
        <v>-</v>
      </c>
      <c r="U1147" t="str">
        <f t="shared" si="89"/>
        <v>High Value</v>
      </c>
    </row>
    <row r="1148" spans="1:21" hidden="1" x14ac:dyDescent="0.2">
      <c r="A1148" s="2">
        <v>1146</v>
      </c>
      <c r="B1148" s="2" t="s">
        <v>9</v>
      </c>
      <c r="C1148" s="2" t="s">
        <v>1619</v>
      </c>
      <c r="D1148" s="2" t="s">
        <v>505</v>
      </c>
      <c r="E1148" s="2">
        <v>10001</v>
      </c>
      <c r="F1148" s="2" t="s">
        <v>1260</v>
      </c>
      <c r="G1148" s="2" t="s">
        <v>36</v>
      </c>
      <c r="H1148" s="2">
        <v>1</v>
      </c>
      <c r="I1148" s="2" t="s">
        <v>17</v>
      </c>
      <c r="J1148" s="2" t="str">
        <f>VLOOKUP(E1148,[1]LL_Hub!$A$1:$B$13,2,FALSE)</f>
        <v>New York</v>
      </c>
      <c r="K1148" t="str">
        <f>VLOOKUP(D1148,'[2]product Table data'!$A$2:$B$12,2,FALSE)</f>
        <v>Female</v>
      </c>
      <c r="L1148" t="str">
        <f>VLOOKUP($D1148,'[2]product Table data'!$A$2:$G$12,L$1,FALSE)</f>
        <v>Casual n Light</v>
      </c>
      <c r="M1148" t="str">
        <f>VLOOKUP($D1148,'[2]product Table data'!$A$2:$G$12,M$1,FALSE)</f>
        <v>Honduras</v>
      </c>
      <c r="N1148" t="str">
        <f>VLOOKUP($D1148,'[2]product Table data'!$A$2:$G$12,N$1,FALSE)</f>
        <v>Central America</v>
      </c>
      <c r="O1148">
        <f>VLOOKUP($D1148,'[2]product Table data'!$A$2:$G$12,O$1,FALSE)</f>
        <v>30</v>
      </c>
      <c r="P1148">
        <f>VLOOKUP($D1148,'[2]product Table data'!$A$2:$G$12,P$1,FALSE)</f>
        <v>45</v>
      </c>
      <c r="Q1148">
        <f t="shared" si="85"/>
        <v>15</v>
      </c>
      <c r="R1148" t="str">
        <f t="shared" si="86"/>
        <v>-</v>
      </c>
      <c r="S1148" t="str">
        <f t="shared" si="87"/>
        <v>Style Risk</v>
      </c>
      <c r="T1148" t="str">
        <f t="shared" si="88"/>
        <v>-</v>
      </c>
      <c r="U1148" t="str">
        <f t="shared" si="89"/>
        <v>High Value</v>
      </c>
    </row>
    <row r="1149" spans="1:21" hidden="1" x14ac:dyDescent="0.2">
      <c r="A1149" s="2">
        <v>1147</v>
      </c>
      <c r="B1149" s="2" t="s">
        <v>9</v>
      </c>
      <c r="C1149" s="2" t="s">
        <v>1620</v>
      </c>
      <c r="D1149" s="2" t="s">
        <v>505</v>
      </c>
      <c r="E1149" s="2">
        <v>10001</v>
      </c>
      <c r="F1149" s="2" t="s">
        <v>1260</v>
      </c>
      <c r="G1149" s="2" t="s">
        <v>36</v>
      </c>
      <c r="H1149" s="2">
        <v>1</v>
      </c>
      <c r="I1149" s="2" t="s">
        <v>17</v>
      </c>
      <c r="J1149" s="2" t="str">
        <f>VLOOKUP(E1149,[1]LL_Hub!$A$1:$B$13,2,FALSE)</f>
        <v>New York</v>
      </c>
      <c r="K1149" t="str">
        <f>VLOOKUP(D1149,'[2]product Table data'!$A$2:$B$12,2,FALSE)</f>
        <v>Female</v>
      </c>
      <c r="L1149" t="str">
        <f>VLOOKUP($D1149,'[2]product Table data'!$A$2:$G$12,L$1,FALSE)</f>
        <v>Casual n Light</v>
      </c>
      <c r="M1149" t="str">
        <f>VLOOKUP($D1149,'[2]product Table data'!$A$2:$G$12,M$1,FALSE)</f>
        <v>Honduras</v>
      </c>
      <c r="N1149" t="str">
        <f>VLOOKUP($D1149,'[2]product Table data'!$A$2:$G$12,N$1,FALSE)</f>
        <v>Central America</v>
      </c>
      <c r="O1149">
        <f>VLOOKUP($D1149,'[2]product Table data'!$A$2:$G$12,O$1,FALSE)</f>
        <v>30</v>
      </c>
      <c r="P1149">
        <f>VLOOKUP($D1149,'[2]product Table data'!$A$2:$G$12,P$1,FALSE)</f>
        <v>45</v>
      </c>
      <c r="Q1149">
        <f t="shared" si="85"/>
        <v>15</v>
      </c>
      <c r="R1149" t="str">
        <f t="shared" si="86"/>
        <v>-</v>
      </c>
      <c r="S1149" t="str">
        <f t="shared" si="87"/>
        <v>Style Risk</v>
      </c>
      <c r="T1149" t="str">
        <f t="shared" si="88"/>
        <v>-</v>
      </c>
      <c r="U1149" t="str">
        <f t="shared" si="89"/>
        <v>High Value</v>
      </c>
    </row>
    <row r="1150" spans="1:21" hidden="1" x14ac:dyDescent="0.2">
      <c r="A1150" s="2">
        <v>1148</v>
      </c>
      <c r="B1150" s="2" t="s">
        <v>9</v>
      </c>
      <c r="C1150" s="2" t="s">
        <v>1621</v>
      </c>
      <c r="D1150" s="2" t="s">
        <v>505</v>
      </c>
      <c r="E1150" s="2">
        <v>10001</v>
      </c>
      <c r="F1150" s="2" t="s">
        <v>1260</v>
      </c>
      <c r="G1150" s="2" t="s">
        <v>36</v>
      </c>
      <c r="H1150" s="2">
        <v>1</v>
      </c>
      <c r="I1150" s="2" t="s">
        <v>17</v>
      </c>
      <c r="J1150" s="2" t="str">
        <f>VLOOKUP(E1150,[1]LL_Hub!$A$1:$B$13,2,FALSE)</f>
        <v>New York</v>
      </c>
      <c r="K1150" t="str">
        <f>VLOOKUP(D1150,'[2]product Table data'!$A$2:$B$12,2,FALSE)</f>
        <v>Female</v>
      </c>
      <c r="L1150" t="str">
        <f>VLOOKUP($D1150,'[2]product Table data'!$A$2:$G$12,L$1,FALSE)</f>
        <v>Casual n Light</v>
      </c>
      <c r="M1150" t="str">
        <f>VLOOKUP($D1150,'[2]product Table data'!$A$2:$G$12,M$1,FALSE)</f>
        <v>Honduras</v>
      </c>
      <c r="N1150" t="str">
        <f>VLOOKUP($D1150,'[2]product Table data'!$A$2:$G$12,N$1,FALSE)</f>
        <v>Central America</v>
      </c>
      <c r="O1150">
        <f>VLOOKUP($D1150,'[2]product Table data'!$A$2:$G$12,O$1,FALSE)</f>
        <v>30</v>
      </c>
      <c r="P1150">
        <f>VLOOKUP($D1150,'[2]product Table data'!$A$2:$G$12,P$1,FALSE)</f>
        <v>45</v>
      </c>
      <c r="Q1150">
        <f t="shared" si="85"/>
        <v>15</v>
      </c>
      <c r="R1150" t="str">
        <f t="shared" si="86"/>
        <v>-</v>
      </c>
      <c r="S1150" t="str">
        <f t="shared" si="87"/>
        <v>Style Risk</v>
      </c>
      <c r="T1150" t="str">
        <f t="shared" si="88"/>
        <v>-</v>
      </c>
      <c r="U1150" t="str">
        <f t="shared" si="89"/>
        <v>High Value</v>
      </c>
    </row>
    <row r="1151" spans="1:21" hidden="1" x14ac:dyDescent="0.2">
      <c r="A1151" s="2">
        <v>1149</v>
      </c>
      <c r="B1151" s="2" t="s">
        <v>9</v>
      </c>
      <c r="C1151" s="2" t="s">
        <v>1622</v>
      </c>
      <c r="D1151" s="2" t="s">
        <v>505</v>
      </c>
      <c r="E1151" s="2">
        <v>10001</v>
      </c>
      <c r="F1151" s="2" t="s">
        <v>1260</v>
      </c>
      <c r="G1151" s="2" t="s">
        <v>36</v>
      </c>
      <c r="H1151" s="2">
        <v>1</v>
      </c>
      <c r="I1151" s="2" t="s">
        <v>17</v>
      </c>
      <c r="J1151" s="2" t="str">
        <f>VLOOKUP(E1151,[1]LL_Hub!$A$1:$B$13,2,FALSE)</f>
        <v>New York</v>
      </c>
      <c r="K1151" t="str">
        <f>VLOOKUP(D1151,'[2]product Table data'!$A$2:$B$12,2,FALSE)</f>
        <v>Female</v>
      </c>
      <c r="L1151" t="str">
        <f>VLOOKUP($D1151,'[2]product Table data'!$A$2:$G$12,L$1,FALSE)</f>
        <v>Casual n Light</v>
      </c>
      <c r="M1151" t="str">
        <f>VLOOKUP($D1151,'[2]product Table data'!$A$2:$G$12,M$1,FALSE)</f>
        <v>Honduras</v>
      </c>
      <c r="N1151" t="str">
        <f>VLOOKUP($D1151,'[2]product Table data'!$A$2:$G$12,N$1,FALSE)</f>
        <v>Central America</v>
      </c>
      <c r="O1151">
        <f>VLOOKUP($D1151,'[2]product Table data'!$A$2:$G$12,O$1,FALSE)</f>
        <v>30</v>
      </c>
      <c r="P1151">
        <f>VLOOKUP($D1151,'[2]product Table data'!$A$2:$G$12,P$1,FALSE)</f>
        <v>45</v>
      </c>
      <c r="Q1151">
        <f t="shared" si="85"/>
        <v>15</v>
      </c>
      <c r="R1151" t="str">
        <f t="shared" si="86"/>
        <v>-</v>
      </c>
      <c r="S1151" t="str">
        <f t="shared" si="87"/>
        <v>Style Risk</v>
      </c>
      <c r="T1151" t="str">
        <f t="shared" si="88"/>
        <v>-</v>
      </c>
      <c r="U1151" t="str">
        <f t="shared" si="89"/>
        <v>High Value</v>
      </c>
    </row>
    <row r="1152" spans="1:21" hidden="1" x14ac:dyDescent="0.2">
      <c r="A1152" s="2">
        <v>1150</v>
      </c>
      <c r="B1152" s="2" t="s">
        <v>9</v>
      </c>
      <c r="C1152" s="2" t="s">
        <v>1623</v>
      </c>
      <c r="D1152" s="2" t="s">
        <v>505</v>
      </c>
      <c r="E1152" s="2">
        <v>10001</v>
      </c>
      <c r="F1152" s="2" t="s">
        <v>1260</v>
      </c>
      <c r="G1152" s="2" t="s">
        <v>36</v>
      </c>
      <c r="H1152" s="2">
        <v>1</v>
      </c>
      <c r="I1152" s="2" t="s">
        <v>17</v>
      </c>
      <c r="J1152" s="2" t="str">
        <f>VLOOKUP(E1152,[1]LL_Hub!$A$1:$B$13,2,FALSE)</f>
        <v>New York</v>
      </c>
      <c r="K1152" t="str">
        <f>VLOOKUP(D1152,'[2]product Table data'!$A$2:$B$12,2,FALSE)</f>
        <v>Female</v>
      </c>
      <c r="L1152" t="str">
        <f>VLOOKUP($D1152,'[2]product Table data'!$A$2:$G$12,L$1,FALSE)</f>
        <v>Casual n Light</v>
      </c>
      <c r="M1152" t="str">
        <f>VLOOKUP($D1152,'[2]product Table data'!$A$2:$G$12,M$1,FALSE)</f>
        <v>Honduras</v>
      </c>
      <c r="N1152" t="str">
        <f>VLOOKUP($D1152,'[2]product Table data'!$A$2:$G$12,N$1,FALSE)</f>
        <v>Central America</v>
      </c>
      <c r="O1152">
        <f>VLOOKUP($D1152,'[2]product Table data'!$A$2:$G$12,O$1,FALSE)</f>
        <v>30</v>
      </c>
      <c r="P1152">
        <f>VLOOKUP($D1152,'[2]product Table data'!$A$2:$G$12,P$1,FALSE)</f>
        <v>45</v>
      </c>
      <c r="Q1152">
        <f t="shared" si="85"/>
        <v>15</v>
      </c>
      <c r="R1152" t="str">
        <f t="shared" si="86"/>
        <v>-</v>
      </c>
      <c r="S1152" t="str">
        <f t="shared" si="87"/>
        <v>Style Risk</v>
      </c>
      <c r="T1152" t="str">
        <f t="shared" si="88"/>
        <v>-</v>
      </c>
      <c r="U1152" t="str">
        <f t="shared" si="89"/>
        <v>High Value</v>
      </c>
    </row>
    <row r="1153" spans="1:21" hidden="1" x14ac:dyDescent="0.2">
      <c r="A1153" s="2">
        <v>1151</v>
      </c>
      <c r="B1153" s="2" t="s">
        <v>9</v>
      </c>
      <c r="C1153" s="2" t="s">
        <v>1624</v>
      </c>
      <c r="D1153" s="2" t="s">
        <v>505</v>
      </c>
      <c r="E1153" s="2">
        <v>10001</v>
      </c>
      <c r="F1153" s="2" t="s">
        <v>1260</v>
      </c>
      <c r="G1153" s="2" t="s">
        <v>36</v>
      </c>
      <c r="H1153" s="2">
        <v>1</v>
      </c>
      <c r="I1153" s="2" t="s">
        <v>17</v>
      </c>
      <c r="J1153" s="2" t="str">
        <f>VLOOKUP(E1153,[1]LL_Hub!$A$1:$B$13,2,FALSE)</f>
        <v>New York</v>
      </c>
      <c r="K1153" t="str">
        <f>VLOOKUP(D1153,'[2]product Table data'!$A$2:$B$12,2,FALSE)</f>
        <v>Female</v>
      </c>
      <c r="L1153" t="str">
        <f>VLOOKUP($D1153,'[2]product Table data'!$A$2:$G$12,L$1,FALSE)</f>
        <v>Casual n Light</v>
      </c>
      <c r="M1153" t="str">
        <f>VLOOKUP($D1153,'[2]product Table data'!$A$2:$G$12,M$1,FALSE)</f>
        <v>Honduras</v>
      </c>
      <c r="N1153" t="str">
        <f>VLOOKUP($D1153,'[2]product Table data'!$A$2:$G$12,N$1,FALSE)</f>
        <v>Central America</v>
      </c>
      <c r="O1153">
        <f>VLOOKUP($D1153,'[2]product Table data'!$A$2:$G$12,O$1,FALSE)</f>
        <v>30</v>
      </c>
      <c r="P1153">
        <f>VLOOKUP($D1153,'[2]product Table data'!$A$2:$G$12,P$1,FALSE)</f>
        <v>45</v>
      </c>
      <c r="Q1153">
        <f t="shared" si="85"/>
        <v>15</v>
      </c>
      <c r="R1153" t="str">
        <f t="shared" si="86"/>
        <v>-</v>
      </c>
      <c r="S1153" t="str">
        <f t="shared" si="87"/>
        <v>Style Risk</v>
      </c>
      <c r="T1153" t="str">
        <f t="shared" si="88"/>
        <v>-</v>
      </c>
      <c r="U1153" t="str">
        <f t="shared" si="89"/>
        <v>High Value</v>
      </c>
    </row>
    <row r="1154" spans="1:21" hidden="1" x14ac:dyDescent="0.2">
      <c r="A1154" s="2">
        <v>1152</v>
      </c>
      <c r="B1154" s="2" t="s">
        <v>9</v>
      </c>
      <c r="C1154" s="2" t="s">
        <v>1625</v>
      </c>
      <c r="D1154" s="2" t="s">
        <v>505</v>
      </c>
      <c r="E1154" s="2">
        <v>10001</v>
      </c>
      <c r="F1154" s="2" t="s">
        <v>1260</v>
      </c>
      <c r="G1154" s="2" t="s">
        <v>36</v>
      </c>
      <c r="H1154" s="2">
        <v>1</v>
      </c>
      <c r="I1154" s="2" t="s">
        <v>17</v>
      </c>
      <c r="J1154" s="2" t="str">
        <f>VLOOKUP(E1154,[1]LL_Hub!$A$1:$B$13,2,FALSE)</f>
        <v>New York</v>
      </c>
      <c r="K1154" t="str">
        <f>VLOOKUP(D1154,'[2]product Table data'!$A$2:$B$12,2,FALSE)</f>
        <v>Female</v>
      </c>
      <c r="L1154" t="str">
        <f>VLOOKUP($D1154,'[2]product Table data'!$A$2:$G$12,L$1,FALSE)</f>
        <v>Casual n Light</v>
      </c>
      <c r="M1154" t="str">
        <f>VLOOKUP($D1154,'[2]product Table data'!$A$2:$G$12,M$1,FALSE)</f>
        <v>Honduras</v>
      </c>
      <c r="N1154" t="str">
        <f>VLOOKUP($D1154,'[2]product Table data'!$A$2:$G$12,N$1,FALSE)</f>
        <v>Central America</v>
      </c>
      <c r="O1154">
        <f>VLOOKUP($D1154,'[2]product Table data'!$A$2:$G$12,O$1,FALSE)</f>
        <v>30</v>
      </c>
      <c r="P1154">
        <f>VLOOKUP($D1154,'[2]product Table data'!$A$2:$G$12,P$1,FALSE)</f>
        <v>45</v>
      </c>
      <c r="Q1154">
        <f t="shared" si="85"/>
        <v>15</v>
      </c>
      <c r="R1154" t="str">
        <f t="shared" si="86"/>
        <v>-</v>
      </c>
      <c r="S1154" t="str">
        <f t="shared" si="87"/>
        <v>Style Risk</v>
      </c>
      <c r="T1154" t="str">
        <f t="shared" si="88"/>
        <v>-</v>
      </c>
      <c r="U1154" t="str">
        <f t="shared" si="89"/>
        <v>High Value</v>
      </c>
    </row>
    <row r="1155" spans="1:21" hidden="1" x14ac:dyDescent="0.2">
      <c r="A1155" s="2">
        <v>1153</v>
      </c>
      <c r="B1155" s="2" t="s">
        <v>9</v>
      </c>
      <c r="C1155" s="2" t="s">
        <v>1626</v>
      </c>
      <c r="D1155" s="2" t="s">
        <v>505</v>
      </c>
      <c r="E1155" s="2">
        <v>10001</v>
      </c>
      <c r="F1155" s="2" t="s">
        <v>1260</v>
      </c>
      <c r="G1155" s="2" t="s">
        <v>36</v>
      </c>
      <c r="H1155" s="2">
        <v>1</v>
      </c>
      <c r="I1155" s="2" t="s">
        <v>17</v>
      </c>
      <c r="J1155" s="2" t="str">
        <f>VLOOKUP(E1155,[1]LL_Hub!$A$1:$B$13,2,FALSE)</f>
        <v>New York</v>
      </c>
      <c r="K1155" t="str">
        <f>VLOOKUP(D1155,'[2]product Table data'!$A$2:$B$12,2,FALSE)</f>
        <v>Female</v>
      </c>
      <c r="L1155" t="str">
        <f>VLOOKUP($D1155,'[2]product Table data'!$A$2:$G$12,L$1,FALSE)</f>
        <v>Casual n Light</v>
      </c>
      <c r="M1155" t="str">
        <f>VLOOKUP($D1155,'[2]product Table data'!$A$2:$G$12,M$1,FALSE)</f>
        <v>Honduras</v>
      </c>
      <c r="N1155" t="str">
        <f>VLOOKUP($D1155,'[2]product Table data'!$A$2:$G$12,N$1,FALSE)</f>
        <v>Central America</v>
      </c>
      <c r="O1155">
        <f>VLOOKUP($D1155,'[2]product Table data'!$A$2:$G$12,O$1,FALSE)</f>
        <v>30</v>
      </c>
      <c r="P1155">
        <f>VLOOKUP($D1155,'[2]product Table data'!$A$2:$G$12,P$1,FALSE)</f>
        <v>45</v>
      </c>
      <c r="Q1155">
        <f t="shared" ref="Q1155:Q1218" si="90">P1155-O1155</f>
        <v>15</v>
      </c>
      <c r="R1155" t="str">
        <f t="shared" ref="R1155:R1218" si="91">IF(OR(J1155="Los Angeles",J1155="Denver"),"Hub Risk","-")</f>
        <v>-</v>
      </c>
      <c r="S1155" t="str">
        <f t="shared" ref="S1155:S1218" si="92">IF(OR(L1155="Casual n Light",L1155="Fancy Sheek"),"Style Risk","-")</f>
        <v>Style Risk</v>
      </c>
      <c r="T1155" t="str">
        <f t="shared" ref="T1155:T1218" si="93">IF(AND(R1155="Hub Risk", S1155="Style Risk"), "Risk", "-")</f>
        <v>-</v>
      </c>
      <c r="U1155" t="str">
        <f t="shared" ref="U1155:U1218" si="94">IF(Q1155&lt;=5, "Low Value", "High Value")</f>
        <v>High Value</v>
      </c>
    </row>
    <row r="1156" spans="1:21" hidden="1" x14ac:dyDescent="0.2">
      <c r="A1156" s="2">
        <v>1154</v>
      </c>
      <c r="B1156" s="2" t="s">
        <v>9</v>
      </c>
      <c r="C1156" s="2" t="s">
        <v>1627</v>
      </c>
      <c r="D1156" s="2" t="s">
        <v>505</v>
      </c>
      <c r="E1156" s="2">
        <v>10001</v>
      </c>
      <c r="F1156" s="2" t="s">
        <v>1260</v>
      </c>
      <c r="G1156" s="2" t="s">
        <v>36</v>
      </c>
      <c r="H1156" s="2">
        <v>1</v>
      </c>
      <c r="I1156" s="2" t="s">
        <v>17</v>
      </c>
      <c r="J1156" s="2" t="str">
        <f>VLOOKUP(E1156,[1]LL_Hub!$A$1:$B$13,2,FALSE)</f>
        <v>New York</v>
      </c>
      <c r="K1156" t="str">
        <f>VLOOKUP(D1156,'[2]product Table data'!$A$2:$B$12,2,FALSE)</f>
        <v>Female</v>
      </c>
      <c r="L1156" t="str">
        <f>VLOOKUP($D1156,'[2]product Table data'!$A$2:$G$12,L$1,FALSE)</f>
        <v>Casual n Light</v>
      </c>
      <c r="M1156" t="str">
        <f>VLOOKUP($D1156,'[2]product Table data'!$A$2:$G$12,M$1,FALSE)</f>
        <v>Honduras</v>
      </c>
      <c r="N1156" t="str">
        <f>VLOOKUP($D1156,'[2]product Table data'!$A$2:$G$12,N$1,FALSE)</f>
        <v>Central America</v>
      </c>
      <c r="O1156">
        <f>VLOOKUP($D1156,'[2]product Table data'!$A$2:$G$12,O$1,FALSE)</f>
        <v>30</v>
      </c>
      <c r="P1156">
        <f>VLOOKUP($D1156,'[2]product Table data'!$A$2:$G$12,P$1,FALSE)</f>
        <v>45</v>
      </c>
      <c r="Q1156">
        <f t="shared" si="90"/>
        <v>15</v>
      </c>
      <c r="R1156" t="str">
        <f t="shared" si="91"/>
        <v>-</v>
      </c>
      <c r="S1156" t="str">
        <f t="shared" si="92"/>
        <v>Style Risk</v>
      </c>
      <c r="T1156" t="str">
        <f t="shared" si="93"/>
        <v>-</v>
      </c>
      <c r="U1156" t="str">
        <f t="shared" si="94"/>
        <v>High Value</v>
      </c>
    </row>
    <row r="1157" spans="1:21" hidden="1" x14ac:dyDescent="0.2">
      <c r="A1157" s="2">
        <v>1155</v>
      </c>
      <c r="B1157" s="2" t="s">
        <v>9</v>
      </c>
      <c r="C1157" s="2" t="s">
        <v>1628</v>
      </c>
      <c r="D1157" s="2" t="s">
        <v>505</v>
      </c>
      <c r="E1157" s="2">
        <v>10001</v>
      </c>
      <c r="F1157" s="2" t="s">
        <v>1260</v>
      </c>
      <c r="G1157" s="2" t="s">
        <v>36</v>
      </c>
      <c r="H1157" s="2">
        <v>1</v>
      </c>
      <c r="I1157" s="2" t="s">
        <v>17</v>
      </c>
      <c r="J1157" s="2" t="str">
        <f>VLOOKUP(E1157,[1]LL_Hub!$A$1:$B$13,2,FALSE)</f>
        <v>New York</v>
      </c>
      <c r="K1157" t="str">
        <f>VLOOKUP(D1157,'[2]product Table data'!$A$2:$B$12,2,FALSE)</f>
        <v>Female</v>
      </c>
      <c r="L1157" t="str">
        <f>VLOOKUP($D1157,'[2]product Table data'!$A$2:$G$12,L$1,FALSE)</f>
        <v>Casual n Light</v>
      </c>
      <c r="M1157" t="str">
        <f>VLOOKUP($D1157,'[2]product Table data'!$A$2:$G$12,M$1,FALSE)</f>
        <v>Honduras</v>
      </c>
      <c r="N1157" t="str">
        <f>VLOOKUP($D1157,'[2]product Table data'!$A$2:$G$12,N$1,FALSE)</f>
        <v>Central America</v>
      </c>
      <c r="O1157">
        <f>VLOOKUP($D1157,'[2]product Table data'!$A$2:$G$12,O$1,FALSE)</f>
        <v>30</v>
      </c>
      <c r="P1157">
        <f>VLOOKUP($D1157,'[2]product Table data'!$A$2:$G$12,P$1,FALSE)</f>
        <v>45</v>
      </c>
      <c r="Q1157">
        <f t="shared" si="90"/>
        <v>15</v>
      </c>
      <c r="R1157" t="str">
        <f t="shared" si="91"/>
        <v>-</v>
      </c>
      <c r="S1157" t="str">
        <f t="shared" si="92"/>
        <v>Style Risk</v>
      </c>
      <c r="T1157" t="str">
        <f t="shared" si="93"/>
        <v>-</v>
      </c>
      <c r="U1157" t="str">
        <f t="shared" si="94"/>
        <v>High Value</v>
      </c>
    </row>
    <row r="1158" spans="1:21" hidden="1" x14ac:dyDescent="0.2">
      <c r="A1158" s="2">
        <v>1156</v>
      </c>
      <c r="B1158" s="2" t="s">
        <v>9</v>
      </c>
      <c r="C1158" s="2" t="s">
        <v>1629</v>
      </c>
      <c r="D1158" s="2" t="s">
        <v>505</v>
      </c>
      <c r="E1158" s="2">
        <v>10001</v>
      </c>
      <c r="F1158" s="2" t="s">
        <v>1630</v>
      </c>
      <c r="G1158" s="2" t="s">
        <v>13</v>
      </c>
      <c r="H1158" s="2">
        <v>1</v>
      </c>
      <c r="I1158" s="2" t="s">
        <v>17</v>
      </c>
      <c r="J1158" s="2" t="str">
        <f>VLOOKUP(E1158,[1]LL_Hub!$A$1:$B$13,2,FALSE)</f>
        <v>New York</v>
      </c>
      <c r="K1158" t="str">
        <f>VLOOKUP(D1158,'[2]product Table data'!$A$2:$B$12,2,FALSE)</f>
        <v>Female</v>
      </c>
      <c r="L1158" t="str">
        <f>VLOOKUP($D1158,'[2]product Table data'!$A$2:$G$12,L$1,FALSE)</f>
        <v>Casual n Light</v>
      </c>
      <c r="M1158" t="str">
        <f>VLOOKUP($D1158,'[2]product Table data'!$A$2:$G$12,M$1,FALSE)</f>
        <v>Honduras</v>
      </c>
      <c r="N1158" t="str">
        <f>VLOOKUP($D1158,'[2]product Table data'!$A$2:$G$12,N$1,FALSE)</f>
        <v>Central America</v>
      </c>
      <c r="O1158">
        <f>VLOOKUP($D1158,'[2]product Table data'!$A$2:$G$12,O$1,FALSE)</f>
        <v>30</v>
      </c>
      <c r="P1158">
        <f>VLOOKUP($D1158,'[2]product Table data'!$A$2:$G$12,P$1,FALSE)</f>
        <v>45</v>
      </c>
      <c r="Q1158">
        <f t="shared" si="90"/>
        <v>15</v>
      </c>
      <c r="R1158" t="str">
        <f t="shared" si="91"/>
        <v>-</v>
      </c>
      <c r="S1158" t="str">
        <f t="shared" si="92"/>
        <v>Style Risk</v>
      </c>
      <c r="T1158" t="str">
        <f t="shared" si="93"/>
        <v>-</v>
      </c>
      <c r="U1158" t="str">
        <f t="shared" si="94"/>
        <v>High Value</v>
      </c>
    </row>
    <row r="1159" spans="1:21" hidden="1" x14ac:dyDescent="0.2">
      <c r="A1159" s="2">
        <v>1157</v>
      </c>
      <c r="B1159" s="2" t="s">
        <v>9</v>
      </c>
      <c r="C1159" s="2" t="s">
        <v>1631</v>
      </c>
      <c r="D1159" s="2" t="s">
        <v>505</v>
      </c>
      <c r="E1159" s="2">
        <v>10001</v>
      </c>
      <c r="F1159" s="2" t="s">
        <v>1632</v>
      </c>
      <c r="G1159" s="2" t="s">
        <v>13</v>
      </c>
      <c r="H1159" s="2">
        <v>1</v>
      </c>
      <c r="I1159" s="2" t="s">
        <v>17</v>
      </c>
      <c r="J1159" s="2" t="str">
        <f>VLOOKUP(E1159,[1]LL_Hub!$A$1:$B$13,2,FALSE)</f>
        <v>New York</v>
      </c>
      <c r="K1159" t="str">
        <f>VLOOKUP(D1159,'[2]product Table data'!$A$2:$B$12,2,FALSE)</f>
        <v>Female</v>
      </c>
      <c r="L1159" t="str">
        <f>VLOOKUP($D1159,'[2]product Table data'!$A$2:$G$12,L$1,FALSE)</f>
        <v>Casual n Light</v>
      </c>
      <c r="M1159" t="str">
        <f>VLOOKUP($D1159,'[2]product Table data'!$A$2:$G$12,M$1,FALSE)</f>
        <v>Honduras</v>
      </c>
      <c r="N1159" t="str">
        <f>VLOOKUP($D1159,'[2]product Table data'!$A$2:$G$12,N$1,FALSE)</f>
        <v>Central America</v>
      </c>
      <c r="O1159">
        <f>VLOOKUP($D1159,'[2]product Table data'!$A$2:$G$12,O$1,FALSE)</f>
        <v>30</v>
      </c>
      <c r="P1159">
        <f>VLOOKUP($D1159,'[2]product Table data'!$A$2:$G$12,P$1,FALSE)</f>
        <v>45</v>
      </c>
      <c r="Q1159">
        <f t="shared" si="90"/>
        <v>15</v>
      </c>
      <c r="R1159" t="str">
        <f t="shared" si="91"/>
        <v>-</v>
      </c>
      <c r="S1159" t="str">
        <f t="shared" si="92"/>
        <v>Style Risk</v>
      </c>
      <c r="T1159" t="str">
        <f t="shared" si="93"/>
        <v>-</v>
      </c>
      <c r="U1159" t="str">
        <f t="shared" si="94"/>
        <v>High Value</v>
      </c>
    </row>
    <row r="1160" spans="1:21" hidden="1" x14ac:dyDescent="0.2">
      <c r="A1160" s="2">
        <v>1158</v>
      </c>
      <c r="B1160" s="2" t="s">
        <v>9</v>
      </c>
      <c r="C1160" s="2" t="s">
        <v>1633</v>
      </c>
      <c r="D1160" s="2" t="s">
        <v>505</v>
      </c>
      <c r="E1160" s="2">
        <v>10001</v>
      </c>
      <c r="F1160" s="2" t="s">
        <v>1634</v>
      </c>
      <c r="G1160" s="2" t="s">
        <v>13</v>
      </c>
      <c r="H1160" s="2">
        <v>1</v>
      </c>
      <c r="I1160" s="2" t="s">
        <v>17</v>
      </c>
      <c r="J1160" s="2" t="str">
        <f>VLOOKUP(E1160,[1]LL_Hub!$A$1:$B$13,2,FALSE)</f>
        <v>New York</v>
      </c>
      <c r="K1160" t="str">
        <f>VLOOKUP(D1160,'[2]product Table data'!$A$2:$B$12,2,FALSE)</f>
        <v>Female</v>
      </c>
      <c r="L1160" t="str">
        <f>VLOOKUP($D1160,'[2]product Table data'!$A$2:$G$12,L$1,FALSE)</f>
        <v>Casual n Light</v>
      </c>
      <c r="M1160" t="str">
        <f>VLOOKUP($D1160,'[2]product Table data'!$A$2:$G$12,M$1,FALSE)</f>
        <v>Honduras</v>
      </c>
      <c r="N1160" t="str">
        <f>VLOOKUP($D1160,'[2]product Table data'!$A$2:$G$12,N$1,FALSE)</f>
        <v>Central America</v>
      </c>
      <c r="O1160">
        <f>VLOOKUP($D1160,'[2]product Table data'!$A$2:$G$12,O$1,FALSE)</f>
        <v>30</v>
      </c>
      <c r="P1160">
        <f>VLOOKUP($D1160,'[2]product Table data'!$A$2:$G$12,P$1,FALSE)</f>
        <v>45</v>
      </c>
      <c r="Q1160">
        <f t="shared" si="90"/>
        <v>15</v>
      </c>
      <c r="R1160" t="str">
        <f t="shared" si="91"/>
        <v>-</v>
      </c>
      <c r="S1160" t="str">
        <f t="shared" si="92"/>
        <v>Style Risk</v>
      </c>
      <c r="T1160" t="str">
        <f t="shared" si="93"/>
        <v>-</v>
      </c>
      <c r="U1160" t="str">
        <f t="shared" si="94"/>
        <v>High Value</v>
      </c>
    </row>
    <row r="1161" spans="1:21" hidden="1" x14ac:dyDescent="0.2">
      <c r="A1161" s="2">
        <v>1159</v>
      </c>
      <c r="B1161" s="2" t="s">
        <v>9</v>
      </c>
      <c r="C1161" s="2" t="s">
        <v>1635</v>
      </c>
      <c r="D1161" s="2" t="s">
        <v>505</v>
      </c>
      <c r="E1161" s="2">
        <v>10001</v>
      </c>
      <c r="F1161" s="2" t="s">
        <v>1636</v>
      </c>
      <c r="G1161" s="2" t="s">
        <v>13</v>
      </c>
      <c r="H1161" s="2">
        <v>1</v>
      </c>
      <c r="I1161" s="2" t="s">
        <v>17</v>
      </c>
      <c r="J1161" s="2" t="str">
        <f>VLOOKUP(E1161,[1]LL_Hub!$A$1:$B$13,2,FALSE)</f>
        <v>New York</v>
      </c>
      <c r="K1161" t="str">
        <f>VLOOKUP(D1161,'[2]product Table data'!$A$2:$B$12,2,FALSE)</f>
        <v>Female</v>
      </c>
      <c r="L1161" t="str">
        <f>VLOOKUP($D1161,'[2]product Table data'!$A$2:$G$12,L$1,FALSE)</f>
        <v>Casual n Light</v>
      </c>
      <c r="M1161" t="str">
        <f>VLOOKUP($D1161,'[2]product Table data'!$A$2:$G$12,M$1,FALSE)</f>
        <v>Honduras</v>
      </c>
      <c r="N1161" t="str">
        <f>VLOOKUP($D1161,'[2]product Table data'!$A$2:$G$12,N$1,FALSE)</f>
        <v>Central America</v>
      </c>
      <c r="O1161">
        <f>VLOOKUP($D1161,'[2]product Table data'!$A$2:$G$12,O$1,FALSE)</f>
        <v>30</v>
      </c>
      <c r="P1161">
        <f>VLOOKUP($D1161,'[2]product Table data'!$A$2:$G$12,P$1,FALSE)</f>
        <v>45</v>
      </c>
      <c r="Q1161">
        <f t="shared" si="90"/>
        <v>15</v>
      </c>
      <c r="R1161" t="str">
        <f t="shared" si="91"/>
        <v>-</v>
      </c>
      <c r="S1161" t="str">
        <f t="shared" si="92"/>
        <v>Style Risk</v>
      </c>
      <c r="T1161" t="str">
        <f t="shared" si="93"/>
        <v>-</v>
      </c>
      <c r="U1161" t="str">
        <f t="shared" si="94"/>
        <v>High Value</v>
      </c>
    </row>
    <row r="1162" spans="1:21" hidden="1" x14ac:dyDescent="0.2">
      <c r="A1162" s="2">
        <v>1160</v>
      </c>
      <c r="B1162" s="2" t="s">
        <v>9</v>
      </c>
      <c r="C1162" s="2" t="s">
        <v>1637</v>
      </c>
      <c r="D1162" s="2" t="s">
        <v>505</v>
      </c>
      <c r="E1162" s="2">
        <v>10001</v>
      </c>
      <c r="F1162" s="2" t="s">
        <v>1638</v>
      </c>
      <c r="G1162" s="2" t="s">
        <v>13</v>
      </c>
      <c r="H1162" s="2">
        <v>1</v>
      </c>
      <c r="I1162" s="2" t="s">
        <v>17</v>
      </c>
      <c r="J1162" s="2" t="str">
        <f>VLOOKUP(E1162,[1]LL_Hub!$A$1:$B$13,2,FALSE)</f>
        <v>New York</v>
      </c>
      <c r="K1162" t="str">
        <f>VLOOKUP(D1162,'[2]product Table data'!$A$2:$B$12,2,FALSE)</f>
        <v>Female</v>
      </c>
      <c r="L1162" t="str">
        <f>VLOOKUP($D1162,'[2]product Table data'!$A$2:$G$12,L$1,FALSE)</f>
        <v>Casual n Light</v>
      </c>
      <c r="M1162" t="str">
        <f>VLOOKUP($D1162,'[2]product Table data'!$A$2:$G$12,M$1,FALSE)</f>
        <v>Honduras</v>
      </c>
      <c r="N1162" t="str">
        <f>VLOOKUP($D1162,'[2]product Table data'!$A$2:$G$12,N$1,FALSE)</f>
        <v>Central America</v>
      </c>
      <c r="O1162">
        <f>VLOOKUP($D1162,'[2]product Table data'!$A$2:$G$12,O$1,FALSE)</f>
        <v>30</v>
      </c>
      <c r="P1162">
        <f>VLOOKUP($D1162,'[2]product Table data'!$A$2:$G$12,P$1,FALSE)</f>
        <v>45</v>
      </c>
      <c r="Q1162">
        <f t="shared" si="90"/>
        <v>15</v>
      </c>
      <c r="R1162" t="str">
        <f t="shared" si="91"/>
        <v>-</v>
      </c>
      <c r="S1162" t="str">
        <f t="shared" si="92"/>
        <v>Style Risk</v>
      </c>
      <c r="T1162" t="str">
        <f t="shared" si="93"/>
        <v>-</v>
      </c>
      <c r="U1162" t="str">
        <f t="shared" si="94"/>
        <v>High Value</v>
      </c>
    </row>
    <row r="1163" spans="1:21" hidden="1" x14ac:dyDescent="0.2">
      <c r="A1163" s="2">
        <v>1161</v>
      </c>
      <c r="B1163" s="2" t="s">
        <v>9</v>
      </c>
      <c r="C1163" s="2" t="s">
        <v>1639</v>
      </c>
      <c r="D1163" s="2" t="s">
        <v>505</v>
      </c>
      <c r="E1163" s="2">
        <v>10001</v>
      </c>
      <c r="F1163" s="2" t="s">
        <v>1640</v>
      </c>
      <c r="G1163" s="2" t="s">
        <v>13</v>
      </c>
      <c r="H1163" s="2">
        <v>1</v>
      </c>
      <c r="I1163" s="2" t="s">
        <v>17</v>
      </c>
      <c r="J1163" s="2" t="str">
        <f>VLOOKUP(E1163,[1]LL_Hub!$A$1:$B$13,2,FALSE)</f>
        <v>New York</v>
      </c>
      <c r="K1163" t="str">
        <f>VLOOKUP(D1163,'[2]product Table data'!$A$2:$B$12,2,FALSE)</f>
        <v>Female</v>
      </c>
      <c r="L1163" t="str">
        <f>VLOOKUP($D1163,'[2]product Table data'!$A$2:$G$12,L$1,FALSE)</f>
        <v>Casual n Light</v>
      </c>
      <c r="M1163" t="str">
        <f>VLOOKUP($D1163,'[2]product Table data'!$A$2:$G$12,M$1,FALSE)</f>
        <v>Honduras</v>
      </c>
      <c r="N1163" t="str">
        <f>VLOOKUP($D1163,'[2]product Table data'!$A$2:$G$12,N$1,FALSE)</f>
        <v>Central America</v>
      </c>
      <c r="O1163">
        <f>VLOOKUP($D1163,'[2]product Table data'!$A$2:$G$12,O$1,FALSE)</f>
        <v>30</v>
      </c>
      <c r="P1163">
        <f>VLOOKUP($D1163,'[2]product Table data'!$A$2:$G$12,P$1,FALSE)</f>
        <v>45</v>
      </c>
      <c r="Q1163">
        <f t="shared" si="90"/>
        <v>15</v>
      </c>
      <c r="R1163" t="str">
        <f t="shared" si="91"/>
        <v>-</v>
      </c>
      <c r="S1163" t="str">
        <f t="shared" si="92"/>
        <v>Style Risk</v>
      </c>
      <c r="T1163" t="str">
        <f t="shared" si="93"/>
        <v>-</v>
      </c>
      <c r="U1163" t="str">
        <f t="shared" si="94"/>
        <v>High Value</v>
      </c>
    </row>
    <row r="1164" spans="1:21" hidden="1" x14ac:dyDescent="0.2">
      <c r="A1164" s="2">
        <v>1162</v>
      </c>
      <c r="B1164" s="2" t="s">
        <v>9</v>
      </c>
      <c r="C1164" s="2" t="s">
        <v>1641</v>
      </c>
      <c r="D1164" s="2" t="s">
        <v>505</v>
      </c>
      <c r="E1164" s="2">
        <v>10001</v>
      </c>
      <c r="F1164" s="2" t="s">
        <v>1642</v>
      </c>
      <c r="G1164" s="2" t="s">
        <v>13</v>
      </c>
      <c r="H1164" s="2">
        <v>1</v>
      </c>
      <c r="I1164" s="2" t="s">
        <v>17</v>
      </c>
      <c r="J1164" s="2" t="str">
        <f>VLOOKUP(E1164,[1]LL_Hub!$A$1:$B$13,2,FALSE)</f>
        <v>New York</v>
      </c>
      <c r="K1164" t="str">
        <f>VLOOKUP(D1164,'[2]product Table data'!$A$2:$B$12,2,FALSE)</f>
        <v>Female</v>
      </c>
      <c r="L1164" t="str">
        <f>VLOOKUP($D1164,'[2]product Table data'!$A$2:$G$12,L$1,FALSE)</f>
        <v>Casual n Light</v>
      </c>
      <c r="M1164" t="str">
        <f>VLOOKUP($D1164,'[2]product Table data'!$A$2:$G$12,M$1,FALSE)</f>
        <v>Honduras</v>
      </c>
      <c r="N1164" t="str">
        <f>VLOOKUP($D1164,'[2]product Table data'!$A$2:$G$12,N$1,FALSE)</f>
        <v>Central America</v>
      </c>
      <c r="O1164">
        <f>VLOOKUP($D1164,'[2]product Table data'!$A$2:$G$12,O$1,FALSE)</f>
        <v>30</v>
      </c>
      <c r="P1164">
        <f>VLOOKUP($D1164,'[2]product Table data'!$A$2:$G$12,P$1,FALSE)</f>
        <v>45</v>
      </c>
      <c r="Q1164">
        <f t="shared" si="90"/>
        <v>15</v>
      </c>
      <c r="R1164" t="str">
        <f t="shared" si="91"/>
        <v>-</v>
      </c>
      <c r="S1164" t="str">
        <f t="shared" si="92"/>
        <v>Style Risk</v>
      </c>
      <c r="T1164" t="str">
        <f t="shared" si="93"/>
        <v>-</v>
      </c>
      <c r="U1164" t="str">
        <f t="shared" si="94"/>
        <v>High Value</v>
      </c>
    </row>
    <row r="1165" spans="1:21" hidden="1" x14ac:dyDescent="0.2">
      <c r="A1165" s="2">
        <v>1163</v>
      </c>
      <c r="B1165" s="2" t="s">
        <v>9</v>
      </c>
      <c r="C1165" s="2" t="s">
        <v>1643</v>
      </c>
      <c r="D1165" s="2" t="s">
        <v>505</v>
      </c>
      <c r="E1165" s="2">
        <v>10001</v>
      </c>
      <c r="F1165" s="2" t="s">
        <v>1644</v>
      </c>
      <c r="G1165" s="2" t="s">
        <v>13</v>
      </c>
      <c r="H1165" s="2">
        <v>1</v>
      </c>
      <c r="I1165" s="2" t="s">
        <v>17</v>
      </c>
      <c r="J1165" s="2" t="str">
        <f>VLOOKUP(E1165,[1]LL_Hub!$A$1:$B$13,2,FALSE)</f>
        <v>New York</v>
      </c>
      <c r="K1165" t="str">
        <f>VLOOKUP(D1165,'[2]product Table data'!$A$2:$B$12,2,FALSE)</f>
        <v>Female</v>
      </c>
      <c r="L1165" t="str">
        <f>VLOOKUP($D1165,'[2]product Table data'!$A$2:$G$12,L$1,FALSE)</f>
        <v>Casual n Light</v>
      </c>
      <c r="M1165" t="str">
        <f>VLOOKUP($D1165,'[2]product Table data'!$A$2:$G$12,M$1,FALSE)</f>
        <v>Honduras</v>
      </c>
      <c r="N1165" t="str">
        <f>VLOOKUP($D1165,'[2]product Table data'!$A$2:$G$12,N$1,FALSE)</f>
        <v>Central America</v>
      </c>
      <c r="O1165">
        <f>VLOOKUP($D1165,'[2]product Table data'!$A$2:$G$12,O$1,FALSE)</f>
        <v>30</v>
      </c>
      <c r="P1165">
        <f>VLOOKUP($D1165,'[2]product Table data'!$A$2:$G$12,P$1,FALSE)</f>
        <v>45</v>
      </c>
      <c r="Q1165">
        <f t="shared" si="90"/>
        <v>15</v>
      </c>
      <c r="R1165" t="str">
        <f t="shared" si="91"/>
        <v>-</v>
      </c>
      <c r="S1165" t="str">
        <f t="shared" si="92"/>
        <v>Style Risk</v>
      </c>
      <c r="T1165" t="str">
        <f t="shared" si="93"/>
        <v>-</v>
      </c>
      <c r="U1165" t="str">
        <f t="shared" si="94"/>
        <v>High Value</v>
      </c>
    </row>
    <row r="1166" spans="1:21" hidden="1" x14ac:dyDescent="0.2">
      <c r="A1166" s="2">
        <v>1164</v>
      </c>
      <c r="B1166" s="2" t="s">
        <v>9</v>
      </c>
      <c r="C1166" s="2" t="s">
        <v>1645</v>
      </c>
      <c r="D1166" s="2" t="s">
        <v>505</v>
      </c>
      <c r="E1166" s="2">
        <v>10001</v>
      </c>
      <c r="F1166" s="2" t="s">
        <v>1646</v>
      </c>
      <c r="G1166" s="2" t="s">
        <v>13</v>
      </c>
      <c r="H1166" s="2">
        <v>1</v>
      </c>
      <c r="I1166" s="2" t="s">
        <v>17</v>
      </c>
      <c r="J1166" s="2" t="str">
        <f>VLOOKUP(E1166,[1]LL_Hub!$A$1:$B$13,2,FALSE)</f>
        <v>New York</v>
      </c>
      <c r="K1166" t="str">
        <f>VLOOKUP(D1166,'[2]product Table data'!$A$2:$B$12,2,FALSE)</f>
        <v>Female</v>
      </c>
      <c r="L1166" t="str">
        <f>VLOOKUP($D1166,'[2]product Table data'!$A$2:$G$12,L$1,FALSE)</f>
        <v>Casual n Light</v>
      </c>
      <c r="M1166" t="str">
        <f>VLOOKUP($D1166,'[2]product Table data'!$A$2:$G$12,M$1,FALSE)</f>
        <v>Honduras</v>
      </c>
      <c r="N1166" t="str">
        <f>VLOOKUP($D1166,'[2]product Table data'!$A$2:$G$12,N$1,FALSE)</f>
        <v>Central America</v>
      </c>
      <c r="O1166">
        <f>VLOOKUP($D1166,'[2]product Table data'!$A$2:$G$12,O$1,FALSE)</f>
        <v>30</v>
      </c>
      <c r="P1166">
        <f>VLOOKUP($D1166,'[2]product Table data'!$A$2:$G$12,P$1,FALSE)</f>
        <v>45</v>
      </c>
      <c r="Q1166">
        <f t="shared" si="90"/>
        <v>15</v>
      </c>
      <c r="R1166" t="str">
        <f t="shared" si="91"/>
        <v>-</v>
      </c>
      <c r="S1166" t="str">
        <f t="shared" si="92"/>
        <v>Style Risk</v>
      </c>
      <c r="T1166" t="str">
        <f t="shared" si="93"/>
        <v>-</v>
      </c>
      <c r="U1166" t="str">
        <f t="shared" si="94"/>
        <v>High Value</v>
      </c>
    </row>
    <row r="1167" spans="1:21" hidden="1" x14ac:dyDescent="0.2">
      <c r="A1167" s="2">
        <v>1165</v>
      </c>
      <c r="B1167" s="2" t="s">
        <v>9</v>
      </c>
      <c r="C1167" s="2" t="s">
        <v>1647</v>
      </c>
      <c r="D1167" s="2" t="s">
        <v>505</v>
      </c>
      <c r="E1167" s="2">
        <v>10001</v>
      </c>
      <c r="F1167" s="2" t="s">
        <v>1260</v>
      </c>
      <c r="G1167" s="2" t="s">
        <v>36</v>
      </c>
      <c r="H1167" s="2">
        <v>1</v>
      </c>
      <c r="I1167" s="2" t="s">
        <v>17</v>
      </c>
      <c r="J1167" s="2" t="str">
        <f>VLOOKUP(E1167,[1]LL_Hub!$A$1:$B$13,2,FALSE)</f>
        <v>New York</v>
      </c>
      <c r="K1167" t="str">
        <f>VLOOKUP(D1167,'[2]product Table data'!$A$2:$B$12,2,FALSE)</f>
        <v>Female</v>
      </c>
      <c r="L1167" t="str">
        <f>VLOOKUP($D1167,'[2]product Table data'!$A$2:$G$12,L$1,FALSE)</f>
        <v>Casual n Light</v>
      </c>
      <c r="M1167" t="str">
        <f>VLOOKUP($D1167,'[2]product Table data'!$A$2:$G$12,M$1,FALSE)</f>
        <v>Honduras</v>
      </c>
      <c r="N1167" t="str">
        <f>VLOOKUP($D1167,'[2]product Table data'!$A$2:$G$12,N$1,FALSE)</f>
        <v>Central America</v>
      </c>
      <c r="O1167">
        <f>VLOOKUP($D1167,'[2]product Table data'!$A$2:$G$12,O$1,FALSE)</f>
        <v>30</v>
      </c>
      <c r="P1167">
        <f>VLOOKUP($D1167,'[2]product Table data'!$A$2:$G$12,P$1,FALSE)</f>
        <v>45</v>
      </c>
      <c r="Q1167">
        <f t="shared" si="90"/>
        <v>15</v>
      </c>
      <c r="R1167" t="str">
        <f t="shared" si="91"/>
        <v>-</v>
      </c>
      <c r="S1167" t="str">
        <f t="shared" si="92"/>
        <v>Style Risk</v>
      </c>
      <c r="T1167" t="str">
        <f t="shared" si="93"/>
        <v>-</v>
      </c>
      <c r="U1167" t="str">
        <f t="shared" si="94"/>
        <v>High Value</v>
      </c>
    </row>
    <row r="1168" spans="1:21" hidden="1" x14ac:dyDescent="0.2">
      <c r="A1168" s="2">
        <v>1166</v>
      </c>
      <c r="B1168" s="2" t="s">
        <v>9</v>
      </c>
      <c r="C1168" s="2" t="s">
        <v>1648</v>
      </c>
      <c r="D1168" s="2" t="s">
        <v>505</v>
      </c>
      <c r="E1168" s="2">
        <v>10001</v>
      </c>
      <c r="F1168" s="2" t="s">
        <v>1260</v>
      </c>
      <c r="G1168" s="2" t="s">
        <v>36</v>
      </c>
      <c r="H1168" s="2">
        <v>1</v>
      </c>
      <c r="I1168" s="2" t="s">
        <v>17</v>
      </c>
      <c r="J1168" s="2" t="str">
        <f>VLOOKUP(E1168,[1]LL_Hub!$A$1:$B$13,2,FALSE)</f>
        <v>New York</v>
      </c>
      <c r="K1168" t="str">
        <f>VLOOKUP(D1168,'[2]product Table data'!$A$2:$B$12,2,FALSE)</f>
        <v>Female</v>
      </c>
      <c r="L1168" t="str">
        <f>VLOOKUP($D1168,'[2]product Table data'!$A$2:$G$12,L$1,FALSE)</f>
        <v>Casual n Light</v>
      </c>
      <c r="M1168" t="str">
        <f>VLOOKUP($D1168,'[2]product Table data'!$A$2:$G$12,M$1,FALSE)</f>
        <v>Honduras</v>
      </c>
      <c r="N1168" t="str">
        <f>VLOOKUP($D1168,'[2]product Table data'!$A$2:$G$12,N$1,FALSE)</f>
        <v>Central America</v>
      </c>
      <c r="O1168">
        <f>VLOOKUP($D1168,'[2]product Table data'!$A$2:$G$12,O$1,FALSE)</f>
        <v>30</v>
      </c>
      <c r="P1168">
        <f>VLOOKUP($D1168,'[2]product Table data'!$A$2:$G$12,P$1,FALSE)</f>
        <v>45</v>
      </c>
      <c r="Q1168">
        <f t="shared" si="90"/>
        <v>15</v>
      </c>
      <c r="R1168" t="str">
        <f t="shared" si="91"/>
        <v>-</v>
      </c>
      <c r="S1168" t="str">
        <f t="shared" si="92"/>
        <v>Style Risk</v>
      </c>
      <c r="T1168" t="str">
        <f t="shared" si="93"/>
        <v>-</v>
      </c>
      <c r="U1168" t="str">
        <f t="shared" si="94"/>
        <v>High Value</v>
      </c>
    </row>
    <row r="1169" spans="1:21" hidden="1" x14ac:dyDescent="0.2">
      <c r="A1169" s="2">
        <v>1167</v>
      </c>
      <c r="B1169" s="2" t="s">
        <v>9</v>
      </c>
      <c r="C1169" s="2" t="s">
        <v>1649</v>
      </c>
      <c r="D1169" s="2" t="s">
        <v>505</v>
      </c>
      <c r="E1169" s="2">
        <v>10001</v>
      </c>
      <c r="F1169" s="2" t="s">
        <v>1260</v>
      </c>
      <c r="G1169" s="2" t="s">
        <v>36</v>
      </c>
      <c r="H1169" s="2">
        <v>1</v>
      </c>
      <c r="I1169" s="2" t="s">
        <v>17</v>
      </c>
      <c r="J1169" s="2" t="str">
        <f>VLOOKUP(E1169,[1]LL_Hub!$A$1:$B$13,2,FALSE)</f>
        <v>New York</v>
      </c>
      <c r="K1169" t="str">
        <f>VLOOKUP(D1169,'[2]product Table data'!$A$2:$B$12,2,FALSE)</f>
        <v>Female</v>
      </c>
      <c r="L1169" t="str">
        <f>VLOOKUP($D1169,'[2]product Table data'!$A$2:$G$12,L$1,FALSE)</f>
        <v>Casual n Light</v>
      </c>
      <c r="M1169" t="str">
        <f>VLOOKUP($D1169,'[2]product Table data'!$A$2:$G$12,M$1,FALSE)</f>
        <v>Honduras</v>
      </c>
      <c r="N1169" t="str">
        <f>VLOOKUP($D1169,'[2]product Table data'!$A$2:$G$12,N$1,FALSE)</f>
        <v>Central America</v>
      </c>
      <c r="O1169">
        <f>VLOOKUP($D1169,'[2]product Table data'!$A$2:$G$12,O$1,FALSE)</f>
        <v>30</v>
      </c>
      <c r="P1169">
        <f>VLOOKUP($D1169,'[2]product Table data'!$A$2:$G$12,P$1,FALSE)</f>
        <v>45</v>
      </c>
      <c r="Q1169">
        <f t="shared" si="90"/>
        <v>15</v>
      </c>
      <c r="R1169" t="str">
        <f t="shared" si="91"/>
        <v>-</v>
      </c>
      <c r="S1169" t="str">
        <f t="shared" si="92"/>
        <v>Style Risk</v>
      </c>
      <c r="T1169" t="str">
        <f t="shared" si="93"/>
        <v>-</v>
      </c>
      <c r="U1169" t="str">
        <f t="shared" si="94"/>
        <v>High Value</v>
      </c>
    </row>
    <row r="1170" spans="1:21" hidden="1" x14ac:dyDescent="0.2">
      <c r="A1170" s="2">
        <v>1168</v>
      </c>
      <c r="B1170" s="2" t="s">
        <v>9</v>
      </c>
      <c r="C1170" s="2" t="s">
        <v>1650</v>
      </c>
      <c r="D1170" s="2" t="s">
        <v>505</v>
      </c>
      <c r="E1170" s="2">
        <v>10001</v>
      </c>
      <c r="F1170" s="2" t="s">
        <v>1260</v>
      </c>
      <c r="G1170" s="2" t="s">
        <v>36</v>
      </c>
      <c r="H1170" s="2">
        <v>1</v>
      </c>
      <c r="I1170" s="2" t="s">
        <v>17</v>
      </c>
      <c r="J1170" s="2" t="str">
        <f>VLOOKUP(E1170,[1]LL_Hub!$A$1:$B$13,2,FALSE)</f>
        <v>New York</v>
      </c>
      <c r="K1170" t="str">
        <f>VLOOKUP(D1170,'[2]product Table data'!$A$2:$B$12,2,FALSE)</f>
        <v>Female</v>
      </c>
      <c r="L1170" t="str">
        <f>VLOOKUP($D1170,'[2]product Table data'!$A$2:$G$12,L$1,FALSE)</f>
        <v>Casual n Light</v>
      </c>
      <c r="M1170" t="str">
        <f>VLOOKUP($D1170,'[2]product Table data'!$A$2:$G$12,M$1,FALSE)</f>
        <v>Honduras</v>
      </c>
      <c r="N1170" t="str">
        <f>VLOOKUP($D1170,'[2]product Table data'!$A$2:$G$12,N$1,FALSE)</f>
        <v>Central America</v>
      </c>
      <c r="O1170">
        <f>VLOOKUP($D1170,'[2]product Table data'!$A$2:$G$12,O$1,FALSE)</f>
        <v>30</v>
      </c>
      <c r="P1170">
        <f>VLOOKUP($D1170,'[2]product Table data'!$A$2:$G$12,P$1,FALSE)</f>
        <v>45</v>
      </c>
      <c r="Q1170">
        <f t="shared" si="90"/>
        <v>15</v>
      </c>
      <c r="R1170" t="str">
        <f t="shared" si="91"/>
        <v>-</v>
      </c>
      <c r="S1170" t="str">
        <f t="shared" si="92"/>
        <v>Style Risk</v>
      </c>
      <c r="T1170" t="str">
        <f t="shared" si="93"/>
        <v>-</v>
      </c>
      <c r="U1170" t="str">
        <f t="shared" si="94"/>
        <v>High Value</v>
      </c>
    </row>
    <row r="1171" spans="1:21" hidden="1" x14ac:dyDescent="0.2">
      <c r="A1171" s="2">
        <v>1169</v>
      </c>
      <c r="B1171" s="2" t="s">
        <v>9</v>
      </c>
      <c r="C1171" s="2" t="s">
        <v>1651</v>
      </c>
      <c r="D1171" s="2" t="s">
        <v>505</v>
      </c>
      <c r="E1171" s="2">
        <v>10001</v>
      </c>
      <c r="F1171" s="2" t="s">
        <v>1260</v>
      </c>
      <c r="G1171" s="2" t="s">
        <v>36</v>
      </c>
      <c r="H1171" s="2">
        <v>1</v>
      </c>
      <c r="I1171" s="2" t="s">
        <v>17</v>
      </c>
      <c r="J1171" s="2" t="str">
        <f>VLOOKUP(E1171,[1]LL_Hub!$A$1:$B$13,2,FALSE)</f>
        <v>New York</v>
      </c>
      <c r="K1171" t="str">
        <f>VLOOKUP(D1171,'[2]product Table data'!$A$2:$B$12,2,FALSE)</f>
        <v>Female</v>
      </c>
      <c r="L1171" t="str">
        <f>VLOOKUP($D1171,'[2]product Table data'!$A$2:$G$12,L$1,FALSE)</f>
        <v>Casual n Light</v>
      </c>
      <c r="M1171" t="str">
        <f>VLOOKUP($D1171,'[2]product Table data'!$A$2:$G$12,M$1,FALSE)</f>
        <v>Honduras</v>
      </c>
      <c r="N1171" t="str">
        <f>VLOOKUP($D1171,'[2]product Table data'!$A$2:$G$12,N$1,FALSE)</f>
        <v>Central America</v>
      </c>
      <c r="O1171">
        <f>VLOOKUP($D1171,'[2]product Table data'!$A$2:$G$12,O$1,FALSE)</f>
        <v>30</v>
      </c>
      <c r="P1171">
        <f>VLOOKUP($D1171,'[2]product Table data'!$A$2:$G$12,P$1,FALSE)</f>
        <v>45</v>
      </c>
      <c r="Q1171">
        <f t="shared" si="90"/>
        <v>15</v>
      </c>
      <c r="R1171" t="str">
        <f t="shared" si="91"/>
        <v>-</v>
      </c>
      <c r="S1171" t="str">
        <f t="shared" si="92"/>
        <v>Style Risk</v>
      </c>
      <c r="T1171" t="str">
        <f t="shared" si="93"/>
        <v>-</v>
      </c>
      <c r="U1171" t="str">
        <f t="shared" si="94"/>
        <v>High Value</v>
      </c>
    </row>
    <row r="1172" spans="1:21" hidden="1" x14ac:dyDescent="0.2">
      <c r="A1172" s="2">
        <v>1170</v>
      </c>
      <c r="B1172" s="2" t="s">
        <v>9</v>
      </c>
      <c r="C1172" s="2" t="s">
        <v>1652</v>
      </c>
      <c r="D1172" s="2" t="s">
        <v>505</v>
      </c>
      <c r="E1172" s="2">
        <v>10001</v>
      </c>
      <c r="F1172" s="2" t="s">
        <v>1260</v>
      </c>
      <c r="G1172" s="2" t="s">
        <v>36</v>
      </c>
      <c r="H1172" s="2">
        <v>1</v>
      </c>
      <c r="I1172" s="2" t="s">
        <v>17</v>
      </c>
      <c r="J1172" s="2" t="str">
        <f>VLOOKUP(E1172,[1]LL_Hub!$A$1:$B$13,2,FALSE)</f>
        <v>New York</v>
      </c>
      <c r="K1172" t="str">
        <f>VLOOKUP(D1172,'[2]product Table data'!$A$2:$B$12,2,FALSE)</f>
        <v>Female</v>
      </c>
      <c r="L1172" t="str">
        <f>VLOOKUP($D1172,'[2]product Table data'!$A$2:$G$12,L$1,FALSE)</f>
        <v>Casual n Light</v>
      </c>
      <c r="M1172" t="str">
        <f>VLOOKUP($D1172,'[2]product Table data'!$A$2:$G$12,M$1,FALSE)</f>
        <v>Honduras</v>
      </c>
      <c r="N1172" t="str">
        <f>VLOOKUP($D1172,'[2]product Table data'!$A$2:$G$12,N$1,FALSE)</f>
        <v>Central America</v>
      </c>
      <c r="O1172">
        <f>VLOOKUP($D1172,'[2]product Table data'!$A$2:$G$12,O$1,FALSE)</f>
        <v>30</v>
      </c>
      <c r="P1172">
        <f>VLOOKUP($D1172,'[2]product Table data'!$A$2:$G$12,P$1,FALSE)</f>
        <v>45</v>
      </c>
      <c r="Q1172">
        <f t="shared" si="90"/>
        <v>15</v>
      </c>
      <c r="R1172" t="str">
        <f t="shared" si="91"/>
        <v>-</v>
      </c>
      <c r="S1172" t="str">
        <f t="shared" si="92"/>
        <v>Style Risk</v>
      </c>
      <c r="T1172" t="str">
        <f t="shared" si="93"/>
        <v>-</v>
      </c>
      <c r="U1172" t="str">
        <f t="shared" si="94"/>
        <v>High Value</v>
      </c>
    </row>
    <row r="1173" spans="1:21" hidden="1" x14ac:dyDescent="0.2">
      <c r="A1173" s="2">
        <v>1171</v>
      </c>
      <c r="B1173" s="2" t="s">
        <v>9</v>
      </c>
      <c r="C1173" s="2" t="s">
        <v>1653</v>
      </c>
      <c r="D1173" s="2" t="s">
        <v>505</v>
      </c>
      <c r="E1173" s="2">
        <v>10001</v>
      </c>
      <c r="F1173" s="2" t="s">
        <v>1260</v>
      </c>
      <c r="G1173" s="2" t="s">
        <v>36</v>
      </c>
      <c r="H1173" s="2">
        <v>1</v>
      </c>
      <c r="I1173" s="2" t="s">
        <v>17</v>
      </c>
      <c r="J1173" s="2" t="str">
        <f>VLOOKUP(E1173,[1]LL_Hub!$A$1:$B$13,2,FALSE)</f>
        <v>New York</v>
      </c>
      <c r="K1173" t="str">
        <f>VLOOKUP(D1173,'[2]product Table data'!$A$2:$B$12,2,FALSE)</f>
        <v>Female</v>
      </c>
      <c r="L1173" t="str">
        <f>VLOOKUP($D1173,'[2]product Table data'!$A$2:$G$12,L$1,FALSE)</f>
        <v>Casual n Light</v>
      </c>
      <c r="M1173" t="str">
        <f>VLOOKUP($D1173,'[2]product Table data'!$A$2:$G$12,M$1,FALSE)</f>
        <v>Honduras</v>
      </c>
      <c r="N1173" t="str">
        <f>VLOOKUP($D1173,'[2]product Table data'!$A$2:$G$12,N$1,FALSE)</f>
        <v>Central America</v>
      </c>
      <c r="O1173">
        <f>VLOOKUP($D1173,'[2]product Table data'!$A$2:$G$12,O$1,FALSE)</f>
        <v>30</v>
      </c>
      <c r="P1173">
        <f>VLOOKUP($D1173,'[2]product Table data'!$A$2:$G$12,P$1,FALSE)</f>
        <v>45</v>
      </c>
      <c r="Q1173">
        <f t="shared" si="90"/>
        <v>15</v>
      </c>
      <c r="R1173" t="str">
        <f t="shared" si="91"/>
        <v>-</v>
      </c>
      <c r="S1173" t="str">
        <f t="shared" si="92"/>
        <v>Style Risk</v>
      </c>
      <c r="T1173" t="str">
        <f t="shared" si="93"/>
        <v>-</v>
      </c>
      <c r="U1173" t="str">
        <f t="shared" si="94"/>
        <v>High Value</v>
      </c>
    </row>
    <row r="1174" spans="1:21" hidden="1" x14ac:dyDescent="0.2">
      <c r="A1174" s="2">
        <v>1172</v>
      </c>
      <c r="B1174" s="2" t="s">
        <v>9</v>
      </c>
      <c r="C1174" s="2" t="s">
        <v>1654</v>
      </c>
      <c r="D1174" s="2" t="s">
        <v>505</v>
      </c>
      <c r="E1174" s="2">
        <v>10001</v>
      </c>
      <c r="F1174" s="2" t="s">
        <v>1260</v>
      </c>
      <c r="G1174" s="2" t="s">
        <v>36</v>
      </c>
      <c r="H1174" s="2">
        <v>1</v>
      </c>
      <c r="I1174" s="2" t="s">
        <v>17</v>
      </c>
      <c r="J1174" s="2" t="str">
        <f>VLOOKUP(E1174,[1]LL_Hub!$A$1:$B$13,2,FALSE)</f>
        <v>New York</v>
      </c>
      <c r="K1174" t="str">
        <f>VLOOKUP(D1174,'[2]product Table data'!$A$2:$B$12,2,FALSE)</f>
        <v>Female</v>
      </c>
      <c r="L1174" t="str">
        <f>VLOOKUP($D1174,'[2]product Table data'!$A$2:$G$12,L$1,FALSE)</f>
        <v>Casual n Light</v>
      </c>
      <c r="M1174" t="str">
        <f>VLOOKUP($D1174,'[2]product Table data'!$A$2:$G$12,M$1,FALSE)</f>
        <v>Honduras</v>
      </c>
      <c r="N1174" t="str">
        <f>VLOOKUP($D1174,'[2]product Table data'!$A$2:$G$12,N$1,FALSE)</f>
        <v>Central America</v>
      </c>
      <c r="O1174">
        <f>VLOOKUP($D1174,'[2]product Table data'!$A$2:$G$12,O$1,FALSE)</f>
        <v>30</v>
      </c>
      <c r="P1174">
        <f>VLOOKUP($D1174,'[2]product Table data'!$A$2:$G$12,P$1,FALSE)</f>
        <v>45</v>
      </c>
      <c r="Q1174">
        <f t="shared" si="90"/>
        <v>15</v>
      </c>
      <c r="R1174" t="str">
        <f t="shared" si="91"/>
        <v>-</v>
      </c>
      <c r="S1174" t="str">
        <f t="shared" si="92"/>
        <v>Style Risk</v>
      </c>
      <c r="T1174" t="str">
        <f t="shared" si="93"/>
        <v>-</v>
      </c>
      <c r="U1174" t="str">
        <f t="shared" si="94"/>
        <v>High Value</v>
      </c>
    </row>
    <row r="1175" spans="1:21" hidden="1" x14ac:dyDescent="0.2">
      <c r="A1175" s="2">
        <v>1173</v>
      </c>
      <c r="B1175" s="2" t="s">
        <v>9</v>
      </c>
      <c r="C1175" s="2" t="s">
        <v>1655</v>
      </c>
      <c r="D1175" s="2" t="s">
        <v>505</v>
      </c>
      <c r="E1175" s="2">
        <v>10001</v>
      </c>
      <c r="F1175" s="2" t="s">
        <v>1260</v>
      </c>
      <c r="G1175" s="2" t="s">
        <v>36</v>
      </c>
      <c r="H1175" s="2">
        <v>1</v>
      </c>
      <c r="I1175" s="2" t="s">
        <v>17</v>
      </c>
      <c r="J1175" s="2" t="str">
        <f>VLOOKUP(E1175,[1]LL_Hub!$A$1:$B$13,2,FALSE)</f>
        <v>New York</v>
      </c>
      <c r="K1175" t="str">
        <f>VLOOKUP(D1175,'[2]product Table data'!$A$2:$B$12,2,FALSE)</f>
        <v>Female</v>
      </c>
      <c r="L1175" t="str">
        <f>VLOOKUP($D1175,'[2]product Table data'!$A$2:$G$12,L$1,FALSE)</f>
        <v>Casual n Light</v>
      </c>
      <c r="M1175" t="str">
        <f>VLOOKUP($D1175,'[2]product Table data'!$A$2:$G$12,M$1,FALSE)</f>
        <v>Honduras</v>
      </c>
      <c r="N1175" t="str">
        <f>VLOOKUP($D1175,'[2]product Table data'!$A$2:$G$12,N$1,FALSE)</f>
        <v>Central America</v>
      </c>
      <c r="O1175">
        <f>VLOOKUP($D1175,'[2]product Table data'!$A$2:$G$12,O$1,FALSE)</f>
        <v>30</v>
      </c>
      <c r="P1175">
        <f>VLOOKUP($D1175,'[2]product Table data'!$A$2:$G$12,P$1,FALSE)</f>
        <v>45</v>
      </c>
      <c r="Q1175">
        <f t="shared" si="90"/>
        <v>15</v>
      </c>
      <c r="R1175" t="str">
        <f t="shared" si="91"/>
        <v>-</v>
      </c>
      <c r="S1175" t="str">
        <f t="shared" si="92"/>
        <v>Style Risk</v>
      </c>
      <c r="T1175" t="str">
        <f t="shared" si="93"/>
        <v>-</v>
      </c>
      <c r="U1175" t="str">
        <f t="shared" si="94"/>
        <v>High Value</v>
      </c>
    </row>
    <row r="1176" spans="1:21" hidden="1" x14ac:dyDescent="0.2">
      <c r="A1176" s="2">
        <v>1174</v>
      </c>
      <c r="B1176" s="2" t="s">
        <v>9</v>
      </c>
      <c r="C1176" s="2" t="s">
        <v>1656</v>
      </c>
      <c r="D1176" s="2" t="s">
        <v>505</v>
      </c>
      <c r="E1176" s="2">
        <v>10001</v>
      </c>
      <c r="F1176" s="2" t="s">
        <v>1260</v>
      </c>
      <c r="G1176" s="2" t="s">
        <v>36</v>
      </c>
      <c r="H1176" s="2">
        <v>1</v>
      </c>
      <c r="I1176" s="2" t="s">
        <v>17</v>
      </c>
      <c r="J1176" s="2" t="str">
        <f>VLOOKUP(E1176,[1]LL_Hub!$A$1:$B$13,2,FALSE)</f>
        <v>New York</v>
      </c>
      <c r="K1176" t="str">
        <f>VLOOKUP(D1176,'[2]product Table data'!$A$2:$B$12,2,FALSE)</f>
        <v>Female</v>
      </c>
      <c r="L1176" t="str">
        <f>VLOOKUP($D1176,'[2]product Table data'!$A$2:$G$12,L$1,FALSE)</f>
        <v>Casual n Light</v>
      </c>
      <c r="M1176" t="str">
        <f>VLOOKUP($D1176,'[2]product Table data'!$A$2:$G$12,M$1,FALSE)</f>
        <v>Honduras</v>
      </c>
      <c r="N1176" t="str">
        <f>VLOOKUP($D1176,'[2]product Table data'!$A$2:$G$12,N$1,FALSE)</f>
        <v>Central America</v>
      </c>
      <c r="O1176">
        <f>VLOOKUP($D1176,'[2]product Table data'!$A$2:$G$12,O$1,FALSE)</f>
        <v>30</v>
      </c>
      <c r="P1176">
        <f>VLOOKUP($D1176,'[2]product Table data'!$A$2:$G$12,P$1,FALSE)</f>
        <v>45</v>
      </c>
      <c r="Q1176">
        <f t="shared" si="90"/>
        <v>15</v>
      </c>
      <c r="R1176" t="str">
        <f t="shared" si="91"/>
        <v>-</v>
      </c>
      <c r="S1176" t="str">
        <f t="shared" si="92"/>
        <v>Style Risk</v>
      </c>
      <c r="T1176" t="str">
        <f t="shared" si="93"/>
        <v>-</v>
      </c>
      <c r="U1176" t="str">
        <f t="shared" si="94"/>
        <v>High Value</v>
      </c>
    </row>
    <row r="1177" spans="1:21" hidden="1" x14ac:dyDescent="0.2">
      <c r="A1177" s="2">
        <v>1175</v>
      </c>
      <c r="B1177" s="2" t="s">
        <v>9</v>
      </c>
      <c r="C1177" s="2" t="s">
        <v>1657</v>
      </c>
      <c r="D1177" s="2" t="s">
        <v>505</v>
      </c>
      <c r="E1177" s="2">
        <v>10001</v>
      </c>
      <c r="F1177" s="2" t="s">
        <v>1260</v>
      </c>
      <c r="G1177" s="2" t="s">
        <v>36</v>
      </c>
      <c r="H1177" s="2">
        <v>1</v>
      </c>
      <c r="I1177" s="2" t="s">
        <v>17</v>
      </c>
      <c r="J1177" s="2" t="str">
        <f>VLOOKUP(E1177,[1]LL_Hub!$A$1:$B$13,2,FALSE)</f>
        <v>New York</v>
      </c>
      <c r="K1177" t="str">
        <f>VLOOKUP(D1177,'[2]product Table data'!$A$2:$B$12,2,FALSE)</f>
        <v>Female</v>
      </c>
      <c r="L1177" t="str">
        <f>VLOOKUP($D1177,'[2]product Table data'!$A$2:$G$12,L$1,FALSE)</f>
        <v>Casual n Light</v>
      </c>
      <c r="M1177" t="str">
        <f>VLOOKUP($D1177,'[2]product Table data'!$A$2:$G$12,M$1,FALSE)</f>
        <v>Honduras</v>
      </c>
      <c r="N1177" t="str">
        <f>VLOOKUP($D1177,'[2]product Table data'!$A$2:$G$12,N$1,FALSE)</f>
        <v>Central America</v>
      </c>
      <c r="O1177">
        <f>VLOOKUP($D1177,'[2]product Table data'!$A$2:$G$12,O$1,FALSE)</f>
        <v>30</v>
      </c>
      <c r="P1177">
        <f>VLOOKUP($D1177,'[2]product Table data'!$A$2:$G$12,P$1,FALSE)</f>
        <v>45</v>
      </c>
      <c r="Q1177">
        <f t="shared" si="90"/>
        <v>15</v>
      </c>
      <c r="R1177" t="str">
        <f t="shared" si="91"/>
        <v>-</v>
      </c>
      <c r="S1177" t="str">
        <f t="shared" si="92"/>
        <v>Style Risk</v>
      </c>
      <c r="T1177" t="str">
        <f t="shared" si="93"/>
        <v>-</v>
      </c>
      <c r="U1177" t="str">
        <f t="shared" si="94"/>
        <v>High Value</v>
      </c>
    </row>
    <row r="1178" spans="1:21" hidden="1" x14ac:dyDescent="0.2">
      <c r="A1178" s="2">
        <v>1176</v>
      </c>
      <c r="B1178" s="2" t="s">
        <v>9</v>
      </c>
      <c r="C1178" s="2" t="s">
        <v>1658</v>
      </c>
      <c r="D1178" s="2" t="s">
        <v>505</v>
      </c>
      <c r="E1178" s="2">
        <v>10001</v>
      </c>
      <c r="F1178" s="2" t="s">
        <v>1260</v>
      </c>
      <c r="G1178" s="2" t="s">
        <v>36</v>
      </c>
      <c r="H1178" s="2">
        <v>1</v>
      </c>
      <c r="I1178" s="2" t="s">
        <v>17</v>
      </c>
      <c r="J1178" s="2" t="str">
        <f>VLOOKUP(E1178,[1]LL_Hub!$A$1:$B$13,2,FALSE)</f>
        <v>New York</v>
      </c>
      <c r="K1178" t="str">
        <f>VLOOKUP(D1178,'[2]product Table data'!$A$2:$B$12,2,FALSE)</f>
        <v>Female</v>
      </c>
      <c r="L1178" t="str">
        <f>VLOOKUP($D1178,'[2]product Table data'!$A$2:$G$12,L$1,FALSE)</f>
        <v>Casual n Light</v>
      </c>
      <c r="M1178" t="str">
        <f>VLOOKUP($D1178,'[2]product Table data'!$A$2:$G$12,M$1,FALSE)</f>
        <v>Honduras</v>
      </c>
      <c r="N1178" t="str">
        <f>VLOOKUP($D1178,'[2]product Table data'!$A$2:$G$12,N$1,FALSE)</f>
        <v>Central America</v>
      </c>
      <c r="O1178">
        <f>VLOOKUP($D1178,'[2]product Table data'!$A$2:$G$12,O$1,FALSE)</f>
        <v>30</v>
      </c>
      <c r="P1178">
        <f>VLOOKUP($D1178,'[2]product Table data'!$A$2:$G$12,P$1,FALSE)</f>
        <v>45</v>
      </c>
      <c r="Q1178">
        <f t="shared" si="90"/>
        <v>15</v>
      </c>
      <c r="R1178" t="str">
        <f t="shared" si="91"/>
        <v>-</v>
      </c>
      <c r="S1178" t="str">
        <f t="shared" si="92"/>
        <v>Style Risk</v>
      </c>
      <c r="T1178" t="str">
        <f t="shared" si="93"/>
        <v>-</v>
      </c>
      <c r="U1178" t="str">
        <f t="shared" si="94"/>
        <v>High Value</v>
      </c>
    </row>
    <row r="1179" spans="1:21" hidden="1" x14ac:dyDescent="0.2">
      <c r="A1179" s="2">
        <v>1177</v>
      </c>
      <c r="B1179" s="2" t="s">
        <v>9</v>
      </c>
      <c r="C1179" s="2" t="s">
        <v>1659</v>
      </c>
      <c r="D1179" s="2" t="s">
        <v>505</v>
      </c>
      <c r="E1179" s="2">
        <v>10001</v>
      </c>
      <c r="F1179" s="2" t="s">
        <v>1260</v>
      </c>
      <c r="G1179" s="2" t="s">
        <v>36</v>
      </c>
      <c r="H1179" s="2">
        <v>1</v>
      </c>
      <c r="I1179" s="2" t="s">
        <v>17</v>
      </c>
      <c r="J1179" s="2" t="str">
        <f>VLOOKUP(E1179,[1]LL_Hub!$A$1:$B$13,2,FALSE)</f>
        <v>New York</v>
      </c>
      <c r="K1179" t="str">
        <f>VLOOKUP(D1179,'[2]product Table data'!$A$2:$B$12,2,FALSE)</f>
        <v>Female</v>
      </c>
      <c r="L1179" t="str">
        <f>VLOOKUP($D1179,'[2]product Table data'!$A$2:$G$12,L$1,FALSE)</f>
        <v>Casual n Light</v>
      </c>
      <c r="M1179" t="str">
        <f>VLOOKUP($D1179,'[2]product Table data'!$A$2:$G$12,M$1,FALSE)</f>
        <v>Honduras</v>
      </c>
      <c r="N1179" t="str">
        <f>VLOOKUP($D1179,'[2]product Table data'!$A$2:$G$12,N$1,FALSE)</f>
        <v>Central America</v>
      </c>
      <c r="O1179">
        <f>VLOOKUP($D1179,'[2]product Table data'!$A$2:$G$12,O$1,FALSE)</f>
        <v>30</v>
      </c>
      <c r="P1179">
        <f>VLOOKUP($D1179,'[2]product Table data'!$A$2:$G$12,P$1,FALSE)</f>
        <v>45</v>
      </c>
      <c r="Q1179">
        <f t="shared" si="90"/>
        <v>15</v>
      </c>
      <c r="R1179" t="str">
        <f t="shared" si="91"/>
        <v>-</v>
      </c>
      <c r="S1179" t="str">
        <f t="shared" si="92"/>
        <v>Style Risk</v>
      </c>
      <c r="T1179" t="str">
        <f t="shared" si="93"/>
        <v>-</v>
      </c>
      <c r="U1179" t="str">
        <f t="shared" si="94"/>
        <v>High Value</v>
      </c>
    </row>
    <row r="1180" spans="1:21" hidden="1" x14ac:dyDescent="0.2">
      <c r="A1180" s="2">
        <v>1178</v>
      </c>
      <c r="B1180" s="2" t="s">
        <v>9</v>
      </c>
      <c r="C1180" s="2" t="s">
        <v>1660</v>
      </c>
      <c r="D1180" s="2" t="s">
        <v>505</v>
      </c>
      <c r="E1180" s="2">
        <v>10001</v>
      </c>
      <c r="F1180" s="2" t="s">
        <v>1260</v>
      </c>
      <c r="G1180" s="2" t="s">
        <v>36</v>
      </c>
      <c r="H1180" s="2">
        <v>1</v>
      </c>
      <c r="I1180" s="2" t="s">
        <v>17</v>
      </c>
      <c r="J1180" s="2" t="str">
        <f>VLOOKUP(E1180,[1]LL_Hub!$A$1:$B$13,2,FALSE)</f>
        <v>New York</v>
      </c>
      <c r="K1180" t="str">
        <f>VLOOKUP(D1180,'[2]product Table data'!$A$2:$B$12,2,FALSE)</f>
        <v>Female</v>
      </c>
      <c r="L1180" t="str">
        <f>VLOOKUP($D1180,'[2]product Table data'!$A$2:$G$12,L$1,FALSE)</f>
        <v>Casual n Light</v>
      </c>
      <c r="M1180" t="str">
        <f>VLOOKUP($D1180,'[2]product Table data'!$A$2:$G$12,M$1,FALSE)</f>
        <v>Honduras</v>
      </c>
      <c r="N1180" t="str">
        <f>VLOOKUP($D1180,'[2]product Table data'!$A$2:$G$12,N$1,FALSE)</f>
        <v>Central America</v>
      </c>
      <c r="O1180">
        <f>VLOOKUP($D1180,'[2]product Table data'!$A$2:$G$12,O$1,FALSE)</f>
        <v>30</v>
      </c>
      <c r="P1180">
        <f>VLOOKUP($D1180,'[2]product Table data'!$A$2:$G$12,P$1,FALSE)</f>
        <v>45</v>
      </c>
      <c r="Q1180">
        <f t="shared" si="90"/>
        <v>15</v>
      </c>
      <c r="R1180" t="str">
        <f t="shared" si="91"/>
        <v>-</v>
      </c>
      <c r="S1180" t="str">
        <f t="shared" si="92"/>
        <v>Style Risk</v>
      </c>
      <c r="T1180" t="str">
        <f t="shared" si="93"/>
        <v>-</v>
      </c>
      <c r="U1180" t="str">
        <f t="shared" si="94"/>
        <v>High Value</v>
      </c>
    </row>
    <row r="1181" spans="1:21" x14ac:dyDescent="0.2">
      <c r="A1181" s="2">
        <v>1180</v>
      </c>
      <c r="B1181" s="2" t="s">
        <v>9</v>
      </c>
      <c r="C1181" s="2" t="s">
        <v>1662</v>
      </c>
      <c r="D1181" s="2" t="s">
        <v>45</v>
      </c>
      <c r="E1181" s="2">
        <v>10001</v>
      </c>
      <c r="F1181" s="2" t="s">
        <v>42</v>
      </c>
      <c r="G1181" s="2" t="s">
        <v>36</v>
      </c>
      <c r="H1181" s="2">
        <v>1</v>
      </c>
      <c r="I1181" s="2" t="s">
        <v>14</v>
      </c>
      <c r="J1181" s="2" t="str">
        <f>VLOOKUP(E1181,[1]LL_Hub!$A$1:$B$13,2,FALSE)</f>
        <v>New York</v>
      </c>
      <c r="K1181" t="str">
        <f>VLOOKUP(D1181,'[2]product Table data'!$A$2:$B$12,2,FALSE)</f>
        <v>Female</v>
      </c>
      <c r="L1181" t="str">
        <f>VLOOKUP($D1181,'[2]product Table data'!$A$2:$G$12,L$1,FALSE)</f>
        <v>Winter Warmth</v>
      </c>
      <c r="M1181" t="str">
        <f>VLOOKUP($D1181,'[2]product Table data'!$A$2:$G$12,M$1,FALSE)</f>
        <v>Romania</v>
      </c>
      <c r="N1181" t="str">
        <f>VLOOKUP($D1181,'[2]product Table data'!$A$2:$G$12,N$1,FALSE)</f>
        <v>Eastern Europe</v>
      </c>
      <c r="O1181">
        <f>VLOOKUP($D1181,'[2]product Table data'!$A$2:$G$12,O$1,FALSE)</f>
        <v>350</v>
      </c>
      <c r="P1181">
        <f>VLOOKUP($D1181,'[2]product Table data'!$A$2:$G$12,P$1,FALSE)</f>
        <v>450</v>
      </c>
      <c r="Q1181">
        <f t="shared" si="90"/>
        <v>100</v>
      </c>
      <c r="R1181" t="str">
        <f t="shared" si="91"/>
        <v>-</v>
      </c>
      <c r="S1181" t="str">
        <f t="shared" si="92"/>
        <v>-</v>
      </c>
      <c r="T1181" t="str">
        <f t="shared" si="93"/>
        <v>-</v>
      </c>
      <c r="U1181" t="str">
        <f t="shared" si="94"/>
        <v>High Value</v>
      </c>
    </row>
    <row r="1182" spans="1:21" x14ac:dyDescent="0.2">
      <c r="A1182" s="2">
        <v>1181</v>
      </c>
      <c r="B1182" s="2" t="s">
        <v>9</v>
      </c>
      <c r="C1182" s="2" t="s">
        <v>1663</v>
      </c>
      <c r="D1182" s="2" t="s">
        <v>45</v>
      </c>
      <c r="E1182" s="2">
        <v>10001</v>
      </c>
      <c r="F1182" s="2" t="s">
        <v>42</v>
      </c>
      <c r="G1182" s="2" t="s">
        <v>36</v>
      </c>
      <c r="H1182" s="2">
        <v>1</v>
      </c>
      <c r="I1182" s="2" t="s">
        <v>14</v>
      </c>
      <c r="J1182" s="2" t="str">
        <f>VLOOKUP(E1182,[1]LL_Hub!$A$1:$B$13,2,FALSE)</f>
        <v>New York</v>
      </c>
      <c r="K1182" t="str">
        <f>VLOOKUP(D1182,'[2]product Table data'!$A$2:$B$12,2,FALSE)</f>
        <v>Female</v>
      </c>
      <c r="L1182" t="str">
        <f>VLOOKUP($D1182,'[2]product Table data'!$A$2:$G$12,L$1,FALSE)</f>
        <v>Winter Warmth</v>
      </c>
      <c r="M1182" t="str">
        <f>VLOOKUP($D1182,'[2]product Table data'!$A$2:$G$12,M$1,FALSE)</f>
        <v>Romania</v>
      </c>
      <c r="N1182" t="str">
        <f>VLOOKUP($D1182,'[2]product Table data'!$A$2:$G$12,N$1,FALSE)</f>
        <v>Eastern Europe</v>
      </c>
      <c r="O1182">
        <f>VLOOKUP($D1182,'[2]product Table data'!$A$2:$G$12,O$1,FALSE)</f>
        <v>350</v>
      </c>
      <c r="P1182">
        <f>VLOOKUP($D1182,'[2]product Table data'!$A$2:$G$12,P$1,FALSE)</f>
        <v>450</v>
      </c>
      <c r="Q1182">
        <f t="shared" si="90"/>
        <v>100</v>
      </c>
      <c r="R1182" t="str">
        <f t="shared" si="91"/>
        <v>-</v>
      </c>
      <c r="S1182" t="str">
        <f t="shared" si="92"/>
        <v>-</v>
      </c>
      <c r="T1182" t="str">
        <f t="shared" si="93"/>
        <v>-</v>
      </c>
      <c r="U1182" t="str">
        <f t="shared" si="94"/>
        <v>High Value</v>
      </c>
    </row>
    <row r="1183" spans="1:21" x14ac:dyDescent="0.2">
      <c r="A1183" s="2">
        <v>1182</v>
      </c>
      <c r="B1183" s="2" t="s">
        <v>9</v>
      </c>
      <c r="C1183" s="2" t="s">
        <v>1664</v>
      </c>
      <c r="D1183" s="2" t="s">
        <v>45</v>
      </c>
      <c r="E1183" s="2">
        <v>10001</v>
      </c>
      <c r="F1183" s="2" t="s">
        <v>42</v>
      </c>
      <c r="G1183" s="2" t="s">
        <v>36</v>
      </c>
      <c r="H1183" s="2">
        <v>1</v>
      </c>
      <c r="I1183" s="2" t="s">
        <v>14</v>
      </c>
      <c r="J1183" s="2" t="str">
        <f>VLOOKUP(E1183,[1]LL_Hub!$A$1:$B$13,2,FALSE)</f>
        <v>New York</v>
      </c>
      <c r="K1183" t="str">
        <f>VLOOKUP(D1183,'[2]product Table data'!$A$2:$B$12,2,FALSE)</f>
        <v>Female</v>
      </c>
      <c r="L1183" t="str">
        <f>VLOOKUP($D1183,'[2]product Table data'!$A$2:$G$12,L$1,FALSE)</f>
        <v>Winter Warmth</v>
      </c>
      <c r="M1183" t="str">
        <f>VLOOKUP($D1183,'[2]product Table data'!$A$2:$G$12,M$1,FALSE)</f>
        <v>Romania</v>
      </c>
      <c r="N1183" t="str">
        <f>VLOOKUP($D1183,'[2]product Table data'!$A$2:$G$12,N$1,FALSE)</f>
        <v>Eastern Europe</v>
      </c>
      <c r="O1183">
        <f>VLOOKUP($D1183,'[2]product Table data'!$A$2:$G$12,O$1,FALSE)</f>
        <v>350</v>
      </c>
      <c r="P1183">
        <f>VLOOKUP($D1183,'[2]product Table data'!$A$2:$G$12,P$1,FALSE)</f>
        <v>450</v>
      </c>
      <c r="Q1183">
        <f t="shared" si="90"/>
        <v>100</v>
      </c>
      <c r="R1183" t="str">
        <f t="shared" si="91"/>
        <v>-</v>
      </c>
      <c r="S1183" t="str">
        <f t="shared" si="92"/>
        <v>-</v>
      </c>
      <c r="T1183" t="str">
        <f t="shared" si="93"/>
        <v>-</v>
      </c>
      <c r="U1183" t="str">
        <f t="shared" si="94"/>
        <v>High Value</v>
      </c>
    </row>
    <row r="1184" spans="1:21" x14ac:dyDescent="0.2">
      <c r="A1184" s="2">
        <v>1183</v>
      </c>
      <c r="B1184" s="2" t="s">
        <v>9</v>
      </c>
      <c r="C1184" s="2" t="s">
        <v>1665</v>
      </c>
      <c r="D1184" s="2" t="s">
        <v>45</v>
      </c>
      <c r="E1184" s="2">
        <v>10001</v>
      </c>
      <c r="F1184" s="2" t="s">
        <v>42</v>
      </c>
      <c r="G1184" s="2" t="s">
        <v>36</v>
      </c>
      <c r="H1184" s="2">
        <v>1</v>
      </c>
      <c r="I1184" s="2" t="s">
        <v>14</v>
      </c>
      <c r="J1184" s="2" t="str">
        <f>VLOOKUP(E1184,[1]LL_Hub!$A$1:$B$13,2,FALSE)</f>
        <v>New York</v>
      </c>
      <c r="K1184" t="str">
        <f>VLOOKUP(D1184,'[2]product Table data'!$A$2:$B$12,2,FALSE)</f>
        <v>Female</v>
      </c>
      <c r="L1184" t="str">
        <f>VLOOKUP($D1184,'[2]product Table data'!$A$2:$G$12,L$1,FALSE)</f>
        <v>Winter Warmth</v>
      </c>
      <c r="M1184" t="str">
        <f>VLOOKUP($D1184,'[2]product Table data'!$A$2:$G$12,M$1,FALSE)</f>
        <v>Romania</v>
      </c>
      <c r="N1184" t="str">
        <f>VLOOKUP($D1184,'[2]product Table data'!$A$2:$G$12,N$1,FALSE)</f>
        <v>Eastern Europe</v>
      </c>
      <c r="O1184">
        <f>VLOOKUP($D1184,'[2]product Table data'!$A$2:$G$12,O$1,FALSE)</f>
        <v>350</v>
      </c>
      <c r="P1184">
        <f>VLOOKUP($D1184,'[2]product Table data'!$A$2:$G$12,P$1,FALSE)</f>
        <v>450</v>
      </c>
      <c r="Q1184">
        <f t="shared" si="90"/>
        <v>100</v>
      </c>
      <c r="R1184" t="str">
        <f t="shared" si="91"/>
        <v>-</v>
      </c>
      <c r="S1184" t="str">
        <f t="shared" si="92"/>
        <v>-</v>
      </c>
      <c r="T1184" t="str">
        <f t="shared" si="93"/>
        <v>-</v>
      </c>
      <c r="U1184" t="str">
        <f t="shared" si="94"/>
        <v>High Value</v>
      </c>
    </row>
    <row r="1185" spans="1:21" x14ac:dyDescent="0.2">
      <c r="A1185" s="2">
        <v>1184</v>
      </c>
      <c r="B1185" s="2" t="s">
        <v>9</v>
      </c>
      <c r="C1185" s="2" t="s">
        <v>1666</v>
      </c>
      <c r="D1185" s="2" t="s">
        <v>45</v>
      </c>
      <c r="E1185" s="2">
        <v>10001</v>
      </c>
      <c r="F1185" s="2" t="s">
        <v>42</v>
      </c>
      <c r="G1185" s="2" t="s">
        <v>36</v>
      </c>
      <c r="H1185" s="2">
        <v>1</v>
      </c>
      <c r="I1185" s="2" t="s">
        <v>14</v>
      </c>
      <c r="J1185" s="2" t="str">
        <f>VLOOKUP(E1185,[1]LL_Hub!$A$1:$B$13,2,FALSE)</f>
        <v>New York</v>
      </c>
      <c r="K1185" t="str">
        <f>VLOOKUP(D1185,'[2]product Table data'!$A$2:$B$12,2,FALSE)</f>
        <v>Female</v>
      </c>
      <c r="L1185" t="str">
        <f>VLOOKUP($D1185,'[2]product Table data'!$A$2:$G$12,L$1,FALSE)</f>
        <v>Winter Warmth</v>
      </c>
      <c r="M1185" t="str">
        <f>VLOOKUP($D1185,'[2]product Table data'!$A$2:$G$12,M$1,FALSE)</f>
        <v>Romania</v>
      </c>
      <c r="N1185" t="str">
        <f>VLOOKUP($D1185,'[2]product Table data'!$A$2:$G$12,N$1,FALSE)</f>
        <v>Eastern Europe</v>
      </c>
      <c r="O1185">
        <f>VLOOKUP($D1185,'[2]product Table data'!$A$2:$G$12,O$1,FALSE)</f>
        <v>350</v>
      </c>
      <c r="P1185">
        <f>VLOOKUP($D1185,'[2]product Table data'!$A$2:$G$12,P$1,FALSE)</f>
        <v>450</v>
      </c>
      <c r="Q1185">
        <f t="shared" si="90"/>
        <v>100</v>
      </c>
      <c r="R1185" t="str">
        <f t="shared" si="91"/>
        <v>-</v>
      </c>
      <c r="S1185" t="str">
        <f t="shared" si="92"/>
        <v>-</v>
      </c>
      <c r="T1185" t="str">
        <f t="shared" si="93"/>
        <v>-</v>
      </c>
      <c r="U1185" t="str">
        <f t="shared" si="94"/>
        <v>High Value</v>
      </c>
    </row>
    <row r="1186" spans="1:21" x14ac:dyDescent="0.2">
      <c r="A1186" s="2">
        <v>1185</v>
      </c>
      <c r="B1186" s="2" t="s">
        <v>9</v>
      </c>
      <c r="C1186" s="2" t="s">
        <v>1667</v>
      </c>
      <c r="D1186" s="2" t="s">
        <v>45</v>
      </c>
      <c r="E1186" s="2">
        <v>10001</v>
      </c>
      <c r="F1186" s="2" t="s">
        <v>42</v>
      </c>
      <c r="G1186" s="2" t="s">
        <v>36</v>
      </c>
      <c r="H1186" s="2">
        <v>1</v>
      </c>
      <c r="I1186" s="2" t="s">
        <v>14</v>
      </c>
      <c r="J1186" s="2" t="str">
        <f>VLOOKUP(E1186,[1]LL_Hub!$A$1:$B$13,2,FALSE)</f>
        <v>New York</v>
      </c>
      <c r="K1186" t="str">
        <f>VLOOKUP(D1186,'[2]product Table data'!$A$2:$B$12,2,FALSE)</f>
        <v>Female</v>
      </c>
      <c r="L1186" t="str">
        <f>VLOOKUP($D1186,'[2]product Table data'!$A$2:$G$12,L$1,FALSE)</f>
        <v>Winter Warmth</v>
      </c>
      <c r="M1186" t="str">
        <f>VLOOKUP($D1186,'[2]product Table data'!$A$2:$G$12,M$1,FALSE)</f>
        <v>Romania</v>
      </c>
      <c r="N1186" t="str">
        <f>VLOOKUP($D1186,'[2]product Table data'!$A$2:$G$12,N$1,FALSE)</f>
        <v>Eastern Europe</v>
      </c>
      <c r="O1186">
        <f>VLOOKUP($D1186,'[2]product Table data'!$A$2:$G$12,O$1,FALSE)</f>
        <v>350</v>
      </c>
      <c r="P1186">
        <f>VLOOKUP($D1186,'[2]product Table data'!$A$2:$G$12,P$1,FALSE)</f>
        <v>450</v>
      </c>
      <c r="Q1186">
        <f t="shared" si="90"/>
        <v>100</v>
      </c>
      <c r="R1186" t="str">
        <f t="shared" si="91"/>
        <v>-</v>
      </c>
      <c r="S1186" t="str">
        <f t="shared" si="92"/>
        <v>-</v>
      </c>
      <c r="T1186" t="str">
        <f t="shared" si="93"/>
        <v>-</v>
      </c>
      <c r="U1186" t="str">
        <f t="shared" si="94"/>
        <v>High Value</v>
      </c>
    </row>
    <row r="1187" spans="1:21" x14ac:dyDescent="0.2">
      <c r="A1187" s="2">
        <v>1186</v>
      </c>
      <c r="B1187" s="2" t="s">
        <v>9</v>
      </c>
      <c r="C1187" s="2" t="s">
        <v>1668</v>
      </c>
      <c r="D1187" s="2" t="s">
        <v>45</v>
      </c>
      <c r="E1187" s="2">
        <v>10001</v>
      </c>
      <c r="F1187" s="2" t="s">
        <v>42</v>
      </c>
      <c r="G1187" s="2" t="s">
        <v>36</v>
      </c>
      <c r="H1187" s="2">
        <v>1</v>
      </c>
      <c r="I1187" s="2" t="s">
        <v>14</v>
      </c>
      <c r="J1187" s="2" t="str">
        <f>VLOOKUP(E1187,[1]LL_Hub!$A$1:$B$13,2,FALSE)</f>
        <v>New York</v>
      </c>
      <c r="K1187" t="str">
        <f>VLOOKUP(D1187,'[2]product Table data'!$A$2:$B$12,2,FALSE)</f>
        <v>Female</v>
      </c>
      <c r="L1187" t="str">
        <f>VLOOKUP($D1187,'[2]product Table data'!$A$2:$G$12,L$1,FALSE)</f>
        <v>Winter Warmth</v>
      </c>
      <c r="M1187" t="str">
        <f>VLOOKUP($D1187,'[2]product Table data'!$A$2:$G$12,M$1,FALSE)</f>
        <v>Romania</v>
      </c>
      <c r="N1187" t="str">
        <f>VLOOKUP($D1187,'[2]product Table data'!$A$2:$G$12,N$1,FALSE)</f>
        <v>Eastern Europe</v>
      </c>
      <c r="O1187">
        <f>VLOOKUP($D1187,'[2]product Table data'!$A$2:$G$12,O$1,FALSE)</f>
        <v>350</v>
      </c>
      <c r="P1187">
        <f>VLOOKUP($D1187,'[2]product Table data'!$A$2:$G$12,P$1,FALSE)</f>
        <v>450</v>
      </c>
      <c r="Q1187">
        <f t="shared" si="90"/>
        <v>100</v>
      </c>
      <c r="R1187" t="str">
        <f t="shared" si="91"/>
        <v>-</v>
      </c>
      <c r="S1187" t="str">
        <f t="shared" si="92"/>
        <v>-</v>
      </c>
      <c r="T1187" t="str">
        <f t="shared" si="93"/>
        <v>-</v>
      </c>
      <c r="U1187" t="str">
        <f t="shared" si="94"/>
        <v>High Value</v>
      </c>
    </row>
    <row r="1188" spans="1:21" x14ac:dyDescent="0.2">
      <c r="A1188" s="2">
        <v>1187</v>
      </c>
      <c r="B1188" s="2" t="s">
        <v>9</v>
      </c>
      <c r="C1188" s="2" t="s">
        <v>1669</v>
      </c>
      <c r="D1188" s="2" t="s">
        <v>45</v>
      </c>
      <c r="E1188" s="2">
        <v>10001</v>
      </c>
      <c r="F1188" s="2" t="s">
        <v>42</v>
      </c>
      <c r="G1188" s="2" t="s">
        <v>36</v>
      </c>
      <c r="H1188" s="2">
        <v>1</v>
      </c>
      <c r="I1188" s="2" t="s">
        <v>14</v>
      </c>
      <c r="J1188" s="2" t="str">
        <f>VLOOKUP(E1188,[1]LL_Hub!$A$1:$B$13,2,FALSE)</f>
        <v>New York</v>
      </c>
      <c r="K1188" t="str">
        <f>VLOOKUP(D1188,'[2]product Table data'!$A$2:$B$12,2,FALSE)</f>
        <v>Female</v>
      </c>
      <c r="L1188" t="str">
        <f>VLOOKUP($D1188,'[2]product Table data'!$A$2:$G$12,L$1,FALSE)</f>
        <v>Winter Warmth</v>
      </c>
      <c r="M1188" t="str">
        <f>VLOOKUP($D1188,'[2]product Table data'!$A$2:$G$12,M$1,FALSE)</f>
        <v>Romania</v>
      </c>
      <c r="N1188" t="str">
        <f>VLOOKUP($D1188,'[2]product Table data'!$A$2:$G$12,N$1,FALSE)</f>
        <v>Eastern Europe</v>
      </c>
      <c r="O1188">
        <f>VLOOKUP($D1188,'[2]product Table data'!$A$2:$G$12,O$1,FALSE)</f>
        <v>350</v>
      </c>
      <c r="P1188">
        <f>VLOOKUP($D1188,'[2]product Table data'!$A$2:$G$12,P$1,FALSE)</f>
        <v>450</v>
      </c>
      <c r="Q1188">
        <f t="shared" si="90"/>
        <v>100</v>
      </c>
      <c r="R1188" t="str">
        <f t="shared" si="91"/>
        <v>-</v>
      </c>
      <c r="S1188" t="str">
        <f t="shared" si="92"/>
        <v>-</v>
      </c>
      <c r="T1188" t="str">
        <f t="shared" si="93"/>
        <v>-</v>
      </c>
      <c r="U1188" t="str">
        <f t="shared" si="94"/>
        <v>High Value</v>
      </c>
    </row>
    <row r="1189" spans="1:21" x14ac:dyDescent="0.2">
      <c r="A1189" s="2">
        <v>1188</v>
      </c>
      <c r="B1189" s="2" t="s">
        <v>9</v>
      </c>
      <c r="C1189" s="2" t="s">
        <v>1670</v>
      </c>
      <c r="D1189" s="2" t="s">
        <v>45</v>
      </c>
      <c r="E1189" s="2">
        <v>10001</v>
      </c>
      <c r="F1189" s="2" t="s">
        <v>42</v>
      </c>
      <c r="G1189" s="2" t="s">
        <v>36</v>
      </c>
      <c r="H1189" s="2">
        <v>1</v>
      </c>
      <c r="I1189" s="2" t="s">
        <v>14</v>
      </c>
      <c r="J1189" s="2" t="str">
        <f>VLOOKUP(E1189,[1]LL_Hub!$A$1:$B$13,2,FALSE)</f>
        <v>New York</v>
      </c>
      <c r="K1189" t="str">
        <f>VLOOKUP(D1189,'[2]product Table data'!$A$2:$B$12,2,FALSE)</f>
        <v>Female</v>
      </c>
      <c r="L1189" t="str">
        <f>VLOOKUP($D1189,'[2]product Table data'!$A$2:$G$12,L$1,FALSE)</f>
        <v>Winter Warmth</v>
      </c>
      <c r="M1189" t="str">
        <f>VLOOKUP($D1189,'[2]product Table data'!$A$2:$G$12,M$1,FALSE)</f>
        <v>Romania</v>
      </c>
      <c r="N1189" t="str">
        <f>VLOOKUP($D1189,'[2]product Table data'!$A$2:$G$12,N$1,FALSE)</f>
        <v>Eastern Europe</v>
      </c>
      <c r="O1189">
        <f>VLOOKUP($D1189,'[2]product Table data'!$A$2:$G$12,O$1,FALSE)</f>
        <v>350</v>
      </c>
      <c r="P1189">
        <f>VLOOKUP($D1189,'[2]product Table data'!$A$2:$G$12,P$1,FALSE)</f>
        <v>450</v>
      </c>
      <c r="Q1189">
        <f t="shared" si="90"/>
        <v>100</v>
      </c>
      <c r="R1189" t="str">
        <f t="shared" si="91"/>
        <v>-</v>
      </c>
      <c r="S1189" t="str">
        <f t="shared" si="92"/>
        <v>-</v>
      </c>
      <c r="T1189" t="str">
        <f t="shared" si="93"/>
        <v>-</v>
      </c>
      <c r="U1189" t="str">
        <f t="shared" si="94"/>
        <v>High Value</v>
      </c>
    </row>
    <row r="1190" spans="1:21" x14ac:dyDescent="0.2">
      <c r="A1190" s="2">
        <v>1189</v>
      </c>
      <c r="B1190" s="2" t="s">
        <v>9</v>
      </c>
      <c r="C1190" s="2" t="s">
        <v>1671</v>
      </c>
      <c r="D1190" s="2" t="s">
        <v>45</v>
      </c>
      <c r="E1190" s="2">
        <v>10001</v>
      </c>
      <c r="F1190" s="2" t="s">
        <v>42</v>
      </c>
      <c r="G1190" s="2" t="s">
        <v>36</v>
      </c>
      <c r="H1190" s="2">
        <v>1</v>
      </c>
      <c r="I1190" s="2" t="s">
        <v>14</v>
      </c>
      <c r="J1190" s="2" t="str">
        <f>VLOOKUP(E1190,[1]LL_Hub!$A$1:$B$13,2,FALSE)</f>
        <v>New York</v>
      </c>
      <c r="K1190" t="str">
        <f>VLOOKUP(D1190,'[2]product Table data'!$A$2:$B$12,2,FALSE)</f>
        <v>Female</v>
      </c>
      <c r="L1190" t="str">
        <f>VLOOKUP($D1190,'[2]product Table data'!$A$2:$G$12,L$1,FALSE)</f>
        <v>Winter Warmth</v>
      </c>
      <c r="M1190" t="str">
        <f>VLOOKUP($D1190,'[2]product Table data'!$A$2:$G$12,M$1,FALSE)</f>
        <v>Romania</v>
      </c>
      <c r="N1190" t="str">
        <f>VLOOKUP($D1190,'[2]product Table data'!$A$2:$G$12,N$1,FALSE)</f>
        <v>Eastern Europe</v>
      </c>
      <c r="O1190">
        <f>VLOOKUP($D1190,'[2]product Table data'!$A$2:$G$12,O$1,FALSE)</f>
        <v>350</v>
      </c>
      <c r="P1190">
        <f>VLOOKUP($D1190,'[2]product Table data'!$A$2:$G$12,P$1,FALSE)</f>
        <v>450</v>
      </c>
      <c r="Q1190">
        <f t="shared" si="90"/>
        <v>100</v>
      </c>
      <c r="R1190" t="str">
        <f t="shared" si="91"/>
        <v>-</v>
      </c>
      <c r="S1190" t="str">
        <f t="shared" si="92"/>
        <v>-</v>
      </c>
      <c r="T1190" t="str">
        <f t="shared" si="93"/>
        <v>-</v>
      </c>
      <c r="U1190" t="str">
        <f t="shared" si="94"/>
        <v>High Value</v>
      </c>
    </row>
    <row r="1191" spans="1:21" x14ac:dyDescent="0.2">
      <c r="A1191" s="2">
        <v>1190</v>
      </c>
      <c r="B1191" s="2" t="s">
        <v>9</v>
      </c>
      <c r="C1191" s="2" t="s">
        <v>1672</v>
      </c>
      <c r="D1191" s="2" t="s">
        <v>45</v>
      </c>
      <c r="E1191" s="2">
        <v>10001</v>
      </c>
      <c r="F1191" s="2" t="s">
        <v>42</v>
      </c>
      <c r="G1191" s="2" t="s">
        <v>36</v>
      </c>
      <c r="H1191" s="2">
        <v>1</v>
      </c>
      <c r="I1191" s="2" t="s">
        <v>14</v>
      </c>
      <c r="J1191" s="2" t="str">
        <f>VLOOKUP(E1191,[1]LL_Hub!$A$1:$B$13,2,FALSE)</f>
        <v>New York</v>
      </c>
      <c r="K1191" t="str">
        <f>VLOOKUP(D1191,'[2]product Table data'!$A$2:$B$12,2,FALSE)</f>
        <v>Female</v>
      </c>
      <c r="L1191" t="str">
        <f>VLOOKUP($D1191,'[2]product Table data'!$A$2:$G$12,L$1,FALSE)</f>
        <v>Winter Warmth</v>
      </c>
      <c r="M1191" t="str">
        <f>VLOOKUP($D1191,'[2]product Table data'!$A$2:$G$12,M$1,FALSE)</f>
        <v>Romania</v>
      </c>
      <c r="N1191" t="str">
        <f>VLOOKUP($D1191,'[2]product Table data'!$A$2:$G$12,N$1,FALSE)</f>
        <v>Eastern Europe</v>
      </c>
      <c r="O1191">
        <f>VLOOKUP($D1191,'[2]product Table data'!$A$2:$G$12,O$1,FALSE)</f>
        <v>350</v>
      </c>
      <c r="P1191">
        <f>VLOOKUP($D1191,'[2]product Table data'!$A$2:$G$12,P$1,FALSE)</f>
        <v>450</v>
      </c>
      <c r="Q1191">
        <f t="shared" si="90"/>
        <v>100</v>
      </c>
      <c r="R1191" t="str">
        <f t="shared" si="91"/>
        <v>-</v>
      </c>
      <c r="S1191" t="str">
        <f t="shared" si="92"/>
        <v>-</v>
      </c>
      <c r="T1191" t="str">
        <f t="shared" si="93"/>
        <v>-</v>
      </c>
      <c r="U1191" t="str">
        <f t="shared" si="94"/>
        <v>High Value</v>
      </c>
    </row>
    <row r="1192" spans="1:21" x14ac:dyDescent="0.2">
      <c r="A1192" s="2">
        <v>1191</v>
      </c>
      <c r="B1192" s="2" t="s">
        <v>9</v>
      </c>
      <c r="C1192" s="2" t="s">
        <v>1673</v>
      </c>
      <c r="D1192" s="2" t="s">
        <v>45</v>
      </c>
      <c r="E1192" s="2">
        <v>10001</v>
      </c>
      <c r="F1192" s="2" t="s">
        <v>42</v>
      </c>
      <c r="G1192" s="2" t="s">
        <v>36</v>
      </c>
      <c r="H1192" s="2">
        <v>1</v>
      </c>
      <c r="I1192" s="2" t="s">
        <v>14</v>
      </c>
      <c r="J1192" s="2" t="str">
        <f>VLOOKUP(E1192,[1]LL_Hub!$A$1:$B$13,2,FALSE)</f>
        <v>New York</v>
      </c>
      <c r="K1192" t="str">
        <f>VLOOKUP(D1192,'[2]product Table data'!$A$2:$B$12,2,FALSE)</f>
        <v>Female</v>
      </c>
      <c r="L1192" t="str">
        <f>VLOOKUP($D1192,'[2]product Table data'!$A$2:$G$12,L$1,FALSE)</f>
        <v>Winter Warmth</v>
      </c>
      <c r="M1192" t="str">
        <f>VLOOKUP($D1192,'[2]product Table data'!$A$2:$G$12,M$1,FALSE)</f>
        <v>Romania</v>
      </c>
      <c r="N1192" t="str">
        <f>VLOOKUP($D1192,'[2]product Table data'!$A$2:$G$12,N$1,FALSE)</f>
        <v>Eastern Europe</v>
      </c>
      <c r="O1192">
        <f>VLOOKUP($D1192,'[2]product Table data'!$A$2:$G$12,O$1,FALSE)</f>
        <v>350</v>
      </c>
      <c r="P1192">
        <f>VLOOKUP($D1192,'[2]product Table data'!$A$2:$G$12,P$1,FALSE)</f>
        <v>450</v>
      </c>
      <c r="Q1192">
        <f t="shared" si="90"/>
        <v>100</v>
      </c>
      <c r="R1192" t="str">
        <f t="shared" si="91"/>
        <v>-</v>
      </c>
      <c r="S1192" t="str">
        <f t="shared" si="92"/>
        <v>-</v>
      </c>
      <c r="T1192" t="str">
        <f t="shared" si="93"/>
        <v>-</v>
      </c>
      <c r="U1192" t="str">
        <f t="shared" si="94"/>
        <v>High Value</v>
      </c>
    </row>
    <row r="1193" spans="1:21" x14ac:dyDescent="0.2">
      <c r="A1193" s="2">
        <v>1192</v>
      </c>
      <c r="B1193" s="2" t="s">
        <v>9</v>
      </c>
      <c r="C1193" s="2" t="s">
        <v>1674</v>
      </c>
      <c r="D1193" s="2" t="s">
        <v>45</v>
      </c>
      <c r="E1193" s="2">
        <v>10001</v>
      </c>
      <c r="F1193" s="2" t="s">
        <v>42</v>
      </c>
      <c r="G1193" s="2" t="s">
        <v>36</v>
      </c>
      <c r="H1193" s="2">
        <v>1</v>
      </c>
      <c r="I1193" s="2" t="s">
        <v>14</v>
      </c>
      <c r="J1193" s="2" t="str">
        <f>VLOOKUP(E1193,[1]LL_Hub!$A$1:$B$13,2,FALSE)</f>
        <v>New York</v>
      </c>
      <c r="K1193" t="str">
        <f>VLOOKUP(D1193,'[2]product Table data'!$A$2:$B$12,2,FALSE)</f>
        <v>Female</v>
      </c>
      <c r="L1193" t="str">
        <f>VLOOKUP($D1193,'[2]product Table data'!$A$2:$G$12,L$1,FALSE)</f>
        <v>Winter Warmth</v>
      </c>
      <c r="M1193" t="str">
        <f>VLOOKUP($D1193,'[2]product Table data'!$A$2:$G$12,M$1,FALSE)</f>
        <v>Romania</v>
      </c>
      <c r="N1193" t="str">
        <f>VLOOKUP($D1193,'[2]product Table data'!$A$2:$G$12,N$1,FALSE)</f>
        <v>Eastern Europe</v>
      </c>
      <c r="O1193">
        <f>VLOOKUP($D1193,'[2]product Table data'!$A$2:$G$12,O$1,FALSE)</f>
        <v>350</v>
      </c>
      <c r="P1193">
        <f>VLOOKUP($D1193,'[2]product Table data'!$A$2:$G$12,P$1,FALSE)</f>
        <v>450</v>
      </c>
      <c r="Q1193">
        <f t="shared" si="90"/>
        <v>100</v>
      </c>
      <c r="R1193" t="str">
        <f t="shared" si="91"/>
        <v>-</v>
      </c>
      <c r="S1193" t="str">
        <f t="shared" si="92"/>
        <v>-</v>
      </c>
      <c r="T1193" t="str">
        <f t="shared" si="93"/>
        <v>-</v>
      </c>
      <c r="U1193" t="str">
        <f t="shared" si="94"/>
        <v>High Value</v>
      </c>
    </row>
    <row r="1194" spans="1:21" x14ac:dyDescent="0.2">
      <c r="A1194" s="2">
        <v>1193</v>
      </c>
      <c r="B1194" s="2" t="s">
        <v>9</v>
      </c>
      <c r="C1194" s="2" t="s">
        <v>1675</v>
      </c>
      <c r="D1194" s="2" t="s">
        <v>45</v>
      </c>
      <c r="E1194" s="2">
        <v>10001</v>
      </c>
      <c r="F1194" s="2" t="s">
        <v>42</v>
      </c>
      <c r="G1194" s="2" t="s">
        <v>36</v>
      </c>
      <c r="H1194" s="2">
        <v>1</v>
      </c>
      <c r="I1194" s="2" t="s">
        <v>14</v>
      </c>
      <c r="J1194" s="2" t="str">
        <f>VLOOKUP(E1194,[1]LL_Hub!$A$1:$B$13,2,FALSE)</f>
        <v>New York</v>
      </c>
      <c r="K1194" t="str">
        <f>VLOOKUP(D1194,'[2]product Table data'!$A$2:$B$12,2,FALSE)</f>
        <v>Female</v>
      </c>
      <c r="L1194" t="str">
        <f>VLOOKUP($D1194,'[2]product Table data'!$A$2:$G$12,L$1,FALSE)</f>
        <v>Winter Warmth</v>
      </c>
      <c r="M1194" t="str">
        <f>VLOOKUP($D1194,'[2]product Table data'!$A$2:$G$12,M$1,FALSE)</f>
        <v>Romania</v>
      </c>
      <c r="N1194" t="str">
        <f>VLOOKUP($D1194,'[2]product Table data'!$A$2:$G$12,N$1,FALSE)</f>
        <v>Eastern Europe</v>
      </c>
      <c r="O1194">
        <f>VLOOKUP($D1194,'[2]product Table data'!$A$2:$G$12,O$1,FALSE)</f>
        <v>350</v>
      </c>
      <c r="P1194">
        <f>VLOOKUP($D1194,'[2]product Table data'!$A$2:$G$12,P$1,FALSE)</f>
        <v>450</v>
      </c>
      <c r="Q1194">
        <f t="shared" si="90"/>
        <v>100</v>
      </c>
      <c r="R1194" t="str">
        <f t="shared" si="91"/>
        <v>-</v>
      </c>
      <c r="S1194" t="str">
        <f t="shared" si="92"/>
        <v>-</v>
      </c>
      <c r="T1194" t="str">
        <f t="shared" si="93"/>
        <v>-</v>
      </c>
      <c r="U1194" t="str">
        <f t="shared" si="94"/>
        <v>High Value</v>
      </c>
    </row>
    <row r="1195" spans="1:21" x14ac:dyDescent="0.2">
      <c r="A1195" s="2">
        <v>1194</v>
      </c>
      <c r="B1195" s="2" t="s">
        <v>9</v>
      </c>
      <c r="C1195" s="2" t="s">
        <v>1676</v>
      </c>
      <c r="D1195" s="2" t="s">
        <v>45</v>
      </c>
      <c r="E1195" s="2">
        <v>10001</v>
      </c>
      <c r="F1195" s="2" t="s">
        <v>42</v>
      </c>
      <c r="G1195" s="2" t="s">
        <v>36</v>
      </c>
      <c r="H1195" s="2">
        <v>1</v>
      </c>
      <c r="I1195" s="2" t="s">
        <v>14</v>
      </c>
      <c r="J1195" s="2" t="str">
        <f>VLOOKUP(E1195,[1]LL_Hub!$A$1:$B$13,2,FALSE)</f>
        <v>New York</v>
      </c>
      <c r="K1195" t="str">
        <f>VLOOKUP(D1195,'[2]product Table data'!$A$2:$B$12,2,FALSE)</f>
        <v>Female</v>
      </c>
      <c r="L1195" t="str">
        <f>VLOOKUP($D1195,'[2]product Table data'!$A$2:$G$12,L$1,FALSE)</f>
        <v>Winter Warmth</v>
      </c>
      <c r="M1195" t="str">
        <f>VLOOKUP($D1195,'[2]product Table data'!$A$2:$G$12,M$1,FALSE)</f>
        <v>Romania</v>
      </c>
      <c r="N1195" t="str">
        <f>VLOOKUP($D1195,'[2]product Table data'!$A$2:$G$12,N$1,FALSE)</f>
        <v>Eastern Europe</v>
      </c>
      <c r="O1195">
        <f>VLOOKUP($D1195,'[2]product Table data'!$A$2:$G$12,O$1,FALSE)</f>
        <v>350</v>
      </c>
      <c r="P1195">
        <f>VLOOKUP($D1195,'[2]product Table data'!$A$2:$G$12,P$1,FALSE)</f>
        <v>450</v>
      </c>
      <c r="Q1195">
        <f t="shared" si="90"/>
        <v>100</v>
      </c>
      <c r="R1195" t="str">
        <f t="shared" si="91"/>
        <v>-</v>
      </c>
      <c r="S1195" t="str">
        <f t="shared" si="92"/>
        <v>-</v>
      </c>
      <c r="T1195" t="str">
        <f t="shared" si="93"/>
        <v>-</v>
      </c>
      <c r="U1195" t="str">
        <f t="shared" si="94"/>
        <v>High Value</v>
      </c>
    </row>
    <row r="1196" spans="1:21" x14ac:dyDescent="0.2">
      <c r="A1196" s="2">
        <v>1195</v>
      </c>
      <c r="B1196" s="2" t="s">
        <v>9</v>
      </c>
      <c r="C1196" s="2" t="s">
        <v>1677</v>
      </c>
      <c r="D1196" s="2" t="s">
        <v>45</v>
      </c>
      <c r="E1196" s="2">
        <v>10001</v>
      </c>
      <c r="F1196" s="2" t="s">
        <v>42</v>
      </c>
      <c r="G1196" s="2" t="s">
        <v>36</v>
      </c>
      <c r="H1196" s="2">
        <v>1</v>
      </c>
      <c r="I1196" s="2" t="s">
        <v>14</v>
      </c>
      <c r="J1196" s="2" t="str">
        <f>VLOOKUP(E1196,[1]LL_Hub!$A$1:$B$13,2,FALSE)</f>
        <v>New York</v>
      </c>
      <c r="K1196" t="str">
        <f>VLOOKUP(D1196,'[2]product Table data'!$A$2:$B$12,2,FALSE)</f>
        <v>Female</v>
      </c>
      <c r="L1196" t="str">
        <f>VLOOKUP($D1196,'[2]product Table data'!$A$2:$G$12,L$1,FALSE)</f>
        <v>Winter Warmth</v>
      </c>
      <c r="M1196" t="str">
        <f>VLOOKUP($D1196,'[2]product Table data'!$A$2:$G$12,M$1,FALSE)</f>
        <v>Romania</v>
      </c>
      <c r="N1196" t="str">
        <f>VLOOKUP($D1196,'[2]product Table data'!$A$2:$G$12,N$1,FALSE)</f>
        <v>Eastern Europe</v>
      </c>
      <c r="O1196">
        <f>VLOOKUP($D1196,'[2]product Table data'!$A$2:$G$12,O$1,FALSE)</f>
        <v>350</v>
      </c>
      <c r="P1196">
        <f>VLOOKUP($D1196,'[2]product Table data'!$A$2:$G$12,P$1,FALSE)</f>
        <v>450</v>
      </c>
      <c r="Q1196">
        <f t="shared" si="90"/>
        <v>100</v>
      </c>
      <c r="R1196" t="str">
        <f t="shared" si="91"/>
        <v>-</v>
      </c>
      <c r="S1196" t="str">
        <f t="shared" si="92"/>
        <v>-</v>
      </c>
      <c r="T1196" t="str">
        <f t="shared" si="93"/>
        <v>-</v>
      </c>
      <c r="U1196" t="str">
        <f t="shared" si="94"/>
        <v>High Value</v>
      </c>
    </row>
    <row r="1197" spans="1:21" x14ac:dyDescent="0.2">
      <c r="A1197" s="2">
        <v>1196</v>
      </c>
      <c r="B1197" s="2" t="s">
        <v>9</v>
      </c>
      <c r="C1197" s="2" t="s">
        <v>1678</v>
      </c>
      <c r="D1197" s="2" t="s">
        <v>45</v>
      </c>
      <c r="E1197" s="2">
        <v>10001</v>
      </c>
      <c r="F1197" s="2" t="s">
        <v>42</v>
      </c>
      <c r="G1197" s="2" t="s">
        <v>36</v>
      </c>
      <c r="H1197" s="2">
        <v>1</v>
      </c>
      <c r="I1197" s="2" t="s">
        <v>14</v>
      </c>
      <c r="J1197" s="2" t="str">
        <f>VLOOKUP(E1197,[1]LL_Hub!$A$1:$B$13,2,FALSE)</f>
        <v>New York</v>
      </c>
      <c r="K1197" t="str">
        <f>VLOOKUP(D1197,'[2]product Table data'!$A$2:$B$12,2,FALSE)</f>
        <v>Female</v>
      </c>
      <c r="L1197" t="str">
        <f>VLOOKUP($D1197,'[2]product Table data'!$A$2:$G$12,L$1,FALSE)</f>
        <v>Winter Warmth</v>
      </c>
      <c r="M1197" t="str">
        <f>VLOOKUP($D1197,'[2]product Table data'!$A$2:$G$12,M$1,FALSE)</f>
        <v>Romania</v>
      </c>
      <c r="N1197" t="str">
        <f>VLOOKUP($D1197,'[2]product Table data'!$A$2:$G$12,N$1,FALSE)</f>
        <v>Eastern Europe</v>
      </c>
      <c r="O1197">
        <f>VLOOKUP($D1197,'[2]product Table data'!$A$2:$G$12,O$1,FALSE)</f>
        <v>350</v>
      </c>
      <c r="P1197">
        <f>VLOOKUP($D1197,'[2]product Table data'!$A$2:$G$12,P$1,FALSE)</f>
        <v>450</v>
      </c>
      <c r="Q1197">
        <f t="shared" si="90"/>
        <v>100</v>
      </c>
      <c r="R1197" t="str">
        <f t="shared" si="91"/>
        <v>-</v>
      </c>
      <c r="S1197" t="str">
        <f t="shared" si="92"/>
        <v>-</v>
      </c>
      <c r="T1197" t="str">
        <f t="shared" si="93"/>
        <v>-</v>
      </c>
      <c r="U1197" t="str">
        <f t="shared" si="94"/>
        <v>High Value</v>
      </c>
    </row>
    <row r="1198" spans="1:21" x14ac:dyDescent="0.2">
      <c r="A1198" s="2">
        <v>1197</v>
      </c>
      <c r="B1198" s="2" t="s">
        <v>9</v>
      </c>
      <c r="C1198" s="2" t="s">
        <v>1679</v>
      </c>
      <c r="D1198" s="2" t="s">
        <v>45</v>
      </c>
      <c r="E1198" s="2">
        <v>10001</v>
      </c>
      <c r="F1198" s="2" t="s">
        <v>42</v>
      </c>
      <c r="G1198" s="2" t="s">
        <v>36</v>
      </c>
      <c r="H1198" s="2">
        <v>1</v>
      </c>
      <c r="I1198" s="2" t="s">
        <v>14</v>
      </c>
      <c r="J1198" s="2" t="str">
        <f>VLOOKUP(E1198,[1]LL_Hub!$A$1:$B$13,2,FALSE)</f>
        <v>New York</v>
      </c>
      <c r="K1198" t="str">
        <f>VLOOKUP(D1198,'[2]product Table data'!$A$2:$B$12,2,FALSE)</f>
        <v>Female</v>
      </c>
      <c r="L1198" t="str">
        <f>VLOOKUP($D1198,'[2]product Table data'!$A$2:$G$12,L$1,FALSE)</f>
        <v>Winter Warmth</v>
      </c>
      <c r="M1198" t="str">
        <f>VLOOKUP($D1198,'[2]product Table data'!$A$2:$G$12,M$1,FALSE)</f>
        <v>Romania</v>
      </c>
      <c r="N1198" t="str">
        <f>VLOOKUP($D1198,'[2]product Table data'!$A$2:$G$12,N$1,FALSE)</f>
        <v>Eastern Europe</v>
      </c>
      <c r="O1198">
        <f>VLOOKUP($D1198,'[2]product Table data'!$A$2:$G$12,O$1,FALSE)</f>
        <v>350</v>
      </c>
      <c r="P1198">
        <f>VLOOKUP($D1198,'[2]product Table data'!$A$2:$G$12,P$1,FALSE)</f>
        <v>450</v>
      </c>
      <c r="Q1198">
        <f t="shared" si="90"/>
        <v>100</v>
      </c>
      <c r="R1198" t="str">
        <f t="shared" si="91"/>
        <v>-</v>
      </c>
      <c r="S1198" t="str">
        <f t="shared" si="92"/>
        <v>-</v>
      </c>
      <c r="T1198" t="str">
        <f t="shared" si="93"/>
        <v>-</v>
      </c>
      <c r="U1198" t="str">
        <f t="shared" si="94"/>
        <v>High Value</v>
      </c>
    </row>
    <row r="1199" spans="1:21" x14ac:dyDescent="0.2">
      <c r="A1199" s="2">
        <v>1198</v>
      </c>
      <c r="B1199" s="2" t="s">
        <v>9</v>
      </c>
      <c r="C1199" s="2" t="s">
        <v>1680</v>
      </c>
      <c r="D1199" s="2" t="s">
        <v>45</v>
      </c>
      <c r="E1199" s="2">
        <v>10001</v>
      </c>
      <c r="F1199" s="2" t="s">
        <v>42</v>
      </c>
      <c r="G1199" s="2" t="s">
        <v>36</v>
      </c>
      <c r="H1199" s="2">
        <v>1</v>
      </c>
      <c r="I1199" s="2" t="s">
        <v>14</v>
      </c>
      <c r="J1199" s="2" t="str">
        <f>VLOOKUP(E1199,[1]LL_Hub!$A$1:$B$13,2,FALSE)</f>
        <v>New York</v>
      </c>
      <c r="K1199" t="str">
        <f>VLOOKUP(D1199,'[2]product Table data'!$A$2:$B$12,2,FALSE)</f>
        <v>Female</v>
      </c>
      <c r="L1199" t="str">
        <f>VLOOKUP($D1199,'[2]product Table data'!$A$2:$G$12,L$1,FALSE)</f>
        <v>Winter Warmth</v>
      </c>
      <c r="M1199" t="str">
        <f>VLOOKUP($D1199,'[2]product Table data'!$A$2:$G$12,M$1,FALSE)</f>
        <v>Romania</v>
      </c>
      <c r="N1199" t="str">
        <f>VLOOKUP($D1199,'[2]product Table data'!$A$2:$G$12,N$1,FALSE)</f>
        <v>Eastern Europe</v>
      </c>
      <c r="O1199">
        <f>VLOOKUP($D1199,'[2]product Table data'!$A$2:$G$12,O$1,FALSE)</f>
        <v>350</v>
      </c>
      <c r="P1199">
        <f>VLOOKUP($D1199,'[2]product Table data'!$A$2:$G$12,P$1,FALSE)</f>
        <v>450</v>
      </c>
      <c r="Q1199">
        <f t="shared" si="90"/>
        <v>100</v>
      </c>
      <c r="R1199" t="str">
        <f t="shared" si="91"/>
        <v>-</v>
      </c>
      <c r="S1199" t="str">
        <f t="shared" si="92"/>
        <v>-</v>
      </c>
      <c r="T1199" t="str">
        <f t="shared" si="93"/>
        <v>-</v>
      </c>
      <c r="U1199" t="str">
        <f t="shared" si="94"/>
        <v>High Value</v>
      </c>
    </row>
    <row r="1200" spans="1:21" x14ac:dyDescent="0.2">
      <c r="A1200" s="2">
        <v>1199</v>
      </c>
      <c r="B1200" s="2" t="s">
        <v>9</v>
      </c>
      <c r="C1200" s="2" t="s">
        <v>1681</v>
      </c>
      <c r="D1200" s="2" t="s">
        <v>45</v>
      </c>
      <c r="E1200" s="2">
        <v>10001</v>
      </c>
      <c r="F1200" s="2" t="s">
        <v>42</v>
      </c>
      <c r="G1200" s="2" t="s">
        <v>36</v>
      </c>
      <c r="H1200" s="2">
        <v>1</v>
      </c>
      <c r="I1200" s="2" t="s">
        <v>14</v>
      </c>
      <c r="J1200" s="2" t="str">
        <f>VLOOKUP(E1200,[1]LL_Hub!$A$1:$B$13,2,FALSE)</f>
        <v>New York</v>
      </c>
      <c r="K1200" t="str">
        <f>VLOOKUP(D1200,'[2]product Table data'!$A$2:$B$12,2,FALSE)</f>
        <v>Female</v>
      </c>
      <c r="L1200" t="str">
        <f>VLOOKUP($D1200,'[2]product Table data'!$A$2:$G$12,L$1,FALSE)</f>
        <v>Winter Warmth</v>
      </c>
      <c r="M1200" t="str">
        <f>VLOOKUP($D1200,'[2]product Table data'!$A$2:$G$12,M$1,FALSE)</f>
        <v>Romania</v>
      </c>
      <c r="N1200" t="str">
        <f>VLOOKUP($D1200,'[2]product Table data'!$A$2:$G$12,N$1,FALSE)</f>
        <v>Eastern Europe</v>
      </c>
      <c r="O1200">
        <f>VLOOKUP($D1200,'[2]product Table data'!$A$2:$G$12,O$1,FALSE)</f>
        <v>350</v>
      </c>
      <c r="P1200">
        <f>VLOOKUP($D1200,'[2]product Table data'!$A$2:$G$12,P$1,FALSE)</f>
        <v>450</v>
      </c>
      <c r="Q1200">
        <f t="shared" si="90"/>
        <v>100</v>
      </c>
      <c r="R1200" t="str">
        <f t="shared" si="91"/>
        <v>-</v>
      </c>
      <c r="S1200" t="str">
        <f t="shared" si="92"/>
        <v>-</v>
      </c>
      <c r="T1200" t="str">
        <f t="shared" si="93"/>
        <v>-</v>
      </c>
      <c r="U1200" t="str">
        <f t="shared" si="94"/>
        <v>High Value</v>
      </c>
    </row>
    <row r="1201" spans="1:21" x14ac:dyDescent="0.2">
      <c r="A1201" s="2">
        <v>1200</v>
      </c>
      <c r="B1201" s="2" t="s">
        <v>9</v>
      </c>
      <c r="C1201" s="2" t="s">
        <v>1682</v>
      </c>
      <c r="D1201" s="2" t="s">
        <v>45</v>
      </c>
      <c r="E1201" s="2">
        <v>10001</v>
      </c>
      <c r="F1201" s="2" t="s">
        <v>42</v>
      </c>
      <c r="G1201" s="2" t="s">
        <v>36</v>
      </c>
      <c r="H1201" s="2">
        <v>1</v>
      </c>
      <c r="I1201" s="2" t="s">
        <v>14</v>
      </c>
      <c r="J1201" s="2" t="str">
        <f>VLOOKUP(E1201,[1]LL_Hub!$A$1:$B$13,2,FALSE)</f>
        <v>New York</v>
      </c>
      <c r="K1201" t="str">
        <f>VLOOKUP(D1201,'[2]product Table data'!$A$2:$B$12,2,FALSE)</f>
        <v>Female</v>
      </c>
      <c r="L1201" t="str">
        <f>VLOOKUP($D1201,'[2]product Table data'!$A$2:$G$12,L$1,FALSE)</f>
        <v>Winter Warmth</v>
      </c>
      <c r="M1201" t="str">
        <f>VLOOKUP($D1201,'[2]product Table data'!$A$2:$G$12,M$1,FALSE)</f>
        <v>Romania</v>
      </c>
      <c r="N1201" t="str">
        <f>VLOOKUP($D1201,'[2]product Table data'!$A$2:$G$12,N$1,FALSE)</f>
        <v>Eastern Europe</v>
      </c>
      <c r="O1201">
        <f>VLOOKUP($D1201,'[2]product Table data'!$A$2:$G$12,O$1,FALSE)</f>
        <v>350</v>
      </c>
      <c r="P1201">
        <f>VLOOKUP($D1201,'[2]product Table data'!$A$2:$G$12,P$1,FALSE)</f>
        <v>450</v>
      </c>
      <c r="Q1201">
        <f t="shared" si="90"/>
        <v>100</v>
      </c>
      <c r="R1201" t="str">
        <f t="shared" si="91"/>
        <v>-</v>
      </c>
      <c r="S1201" t="str">
        <f t="shared" si="92"/>
        <v>-</v>
      </c>
      <c r="T1201" t="str">
        <f t="shared" si="93"/>
        <v>-</v>
      </c>
      <c r="U1201" t="str">
        <f t="shared" si="94"/>
        <v>High Value</v>
      </c>
    </row>
    <row r="1202" spans="1:21" x14ac:dyDescent="0.2">
      <c r="A1202" s="2">
        <v>1201</v>
      </c>
      <c r="B1202" s="2" t="s">
        <v>9</v>
      </c>
      <c r="C1202" s="2" t="s">
        <v>1683</v>
      </c>
      <c r="D1202" s="2" t="s">
        <v>45</v>
      </c>
      <c r="E1202" s="2">
        <v>10001</v>
      </c>
      <c r="F1202" s="2" t="s">
        <v>42</v>
      </c>
      <c r="G1202" s="2" t="s">
        <v>36</v>
      </c>
      <c r="H1202" s="2">
        <v>1</v>
      </c>
      <c r="I1202" s="2" t="s">
        <v>14</v>
      </c>
      <c r="J1202" s="2" t="str">
        <f>VLOOKUP(E1202,[1]LL_Hub!$A$1:$B$13,2,FALSE)</f>
        <v>New York</v>
      </c>
      <c r="K1202" t="str">
        <f>VLOOKUP(D1202,'[2]product Table data'!$A$2:$B$12,2,FALSE)</f>
        <v>Female</v>
      </c>
      <c r="L1202" t="str">
        <f>VLOOKUP($D1202,'[2]product Table data'!$A$2:$G$12,L$1,FALSE)</f>
        <v>Winter Warmth</v>
      </c>
      <c r="M1202" t="str">
        <f>VLOOKUP($D1202,'[2]product Table data'!$A$2:$G$12,M$1,FALSE)</f>
        <v>Romania</v>
      </c>
      <c r="N1202" t="str">
        <f>VLOOKUP($D1202,'[2]product Table data'!$A$2:$G$12,N$1,FALSE)</f>
        <v>Eastern Europe</v>
      </c>
      <c r="O1202">
        <f>VLOOKUP($D1202,'[2]product Table data'!$A$2:$G$12,O$1,FALSE)</f>
        <v>350</v>
      </c>
      <c r="P1202">
        <f>VLOOKUP($D1202,'[2]product Table data'!$A$2:$G$12,P$1,FALSE)</f>
        <v>450</v>
      </c>
      <c r="Q1202">
        <f t="shared" si="90"/>
        <v>100</v>
      </c>
      <c r="R1202" t="str">
        <f t="shared" si="91"/>
        <v>-</v>
      </c>
      <c r="S1202" t="str">
        <f t="shared" si="92"/>
        <v>-</v>
      </c>
      <c r="T1202" t="str">
        <f t="shared" si="93"/>
        <v>-</v>
      </c>
      <c r="U1202" t="str">
        <f t="shared" si="94"/>
        <v>High Value</v>
      </c>
    </row>
    <row r="1203" spans="1:21" x14ac:dyDescent="0.2">
      <c r="A1203" s="2">
        <v>1202</v>
      </c>
      <c r="B1203" s="2" t="s">
        <v>9</v>
      </c>
      <c r="C1203" s="2" t="s">
        <v>1684</v>
      </c>
      <c r="D1203" s="2" t="s">
        <v>45</v>
      </c>
      <c r="E1203" s="2">
        <v>10001</v>
      </c>
      <c r="F1203" s="2" t="s">
        <v>42</v>
      </c>
      <c r="G1203" s="2" t="s">
        <v>36</v>
      </c>
      <c r="H1203" s="2">
        <v>1</v>
      </c>
      <c r="I1203" s="2" t="s">
        <v>14</v>
      </c>
      <c r="J1203" s="2" t="str">
        <f>VLOOKUP(E1203,[1]LL_Hub!$A$1:$B$13,2,FALSE)</f>
        <v>New York</v>
      </c>
      <c r="K1203" t="str">
        <f>VLOOKUP(D1203,'[2]product Table data'!$A$2:$B$12,2,FALSE)</f>
        <v>Female</v>
      </c>
      <c r="L1203" t="str">
        <f>VLOOKUP($D1203,'[2]product Table data'!$A$2:$G$12,L$1,FALSE)</f>
        <v>Winter Warmth</v>
      </c>
      <c r="M1203" t="str">
        <f>VLOOKUP($D1203,'[2]product Table data'!$A$2:$G$12,M$1,FALSE)</f>
        <v>Romania</v>
      </c>
      <c r="N1203" t="str">
        <f>VLOOKUP($D1203,'[2]product Table data'!$A$2:$G$12,N$1,FALSE)</f>
        <v>Eastern Europe</v>
      </c>
      <c r="O1203">
        <f>VLOOKUP($D1203,'[2]product Table data'!$A$2:$G$12,O$1,FALSE)</f>
        <v>350</v>
      </c>
      <c r="P1203">
        <f>VLOOKUP($D1203,'[2]product Table data'!$A$2:$G$12,P$1,FALSE)</f>
        <v>450</v>
      </c>
      <c r="Q1203">
        <f t="shared" si="90"/>
        <v>100</v>
      </c>
      <c r="R1203" t="str">
        <f t="shared" si="91"/>
        <v>-</v>
      </c>
      <c r="S1203" t="str">
        <f t="shared" si="92"/>
        <v>-</v>
      </c>
      <c r="T1203" t="str">
        <f t="shared" si="93"/>
        <v>-</v>
      </c>
      <c r="U1203" t="str">
        <f t="shared" si="94"/>
        <v>High Value</v>
      </c>
    </row>
    <row r="1204" spans="1:21" x14ac:dyDescent="0.2">
      <c r="A1204" s="2">
        <v>1203</v>
      </c>
      <c r="B1204" s="2" t="s">
        <v>9</v>
      </c>
      <c r="C1204" s="2" t="s">
        <v>1685</v>
      </c>
      <c r="D1204" s="2" t="s">
        <v>45</v>
      </c>
      <c r="E1204" s="2">
        <v>10001</v>
      </c>
      <c r="F1204" s="2" t="s">
        <v>42</v>
      </c>
      <c r="G1204" s="2" t="s">
        <v>36</v>
      </c>
      <c r="H1204" s="2">
        <v>1</v>
      </c>
      <c r="I1204" s="2" t="s">
        <v>14</v>
      </c>
      <c r="J1204" s="2" t="str">
        <f>VLOOKUP(E1204,[1]LL_Hub!$A$1:$B$13,2,FALSE)</f>
        <v>New York</v>
      </c>
      <c r="K1204" t="str">
        <f>VLOOKUP(D1204,'[2]product Table data'!$A$2:$B$12,2,FALSE)</f>
        <v>Female</v>
      </c>
      <c r="L1204" t="str">
        <f>VLOOKUP($D1204,'[2]product Table data'!$A$2:$G$12,L$1,FALSE)</f>
        <v>Winter Warmth</v>
      </c>
      <c r="M1204" t="str">
        <f>VLOOKUP($D1204,'[2]product Table data'!$A$2:$G$12,M$1,FALSE)</f>
        <v>Romania</v>
      </c>
      <c r="N1204" t="str">
        <f>VLOOKUP($D1204,'[2]product Table data'!$A$2:$G$12,N$1,FALSE)</f>
        <v>Eastern Europe</v>
      </c>
      <c r="O1204">
        <f>VLOOKUP($D1204,'[2]product Table data'!$A$2:$G$12,O$1,FALSE)</f>
        <v>350</v>
      </c>
      <c r="P1204">
        <f>VLOOKUP($D1204,'[2]product Table data'!$A$2:$G$12,P$1,FALSE)</f>
        <v>450</v>
      </c>
      <c r="Q1204">
        <f t="shared" si="90"/>
        <v>100</v>
      </c>
      <c r="R1204" t="str">
        <f t="shared" si="91"/>
        <v>-</v>
      </c>
      <c r="S1204" t="str">
        <f t="shared" si="92"/>
        <v>-</v>
      </c>
      <c r="T1204" t="str">
        <f t="shared" si="93"/>
        <v>-</v>
      </c>
      <c r="U1204" t="str">
        <f t="shared" si="94"/>
        <v>High Value</v>
      </c>
    </row>
    <row r="1205" spans="1:21" x14ac:dyDescent="0.2">
      <c r="A1205" s="2">
        <v>1204</v>
      </c>
      <c r="B1205" s="2" t="s">
        <v>9</v>
      </c>
      <c r="C1205" s="2" t="s">
        <v>1686</v>
      </c>
      <c r="D1205" s="2" t="s">
        <v>45</v>
      </c>
      <c r="E1205" s="2">
        <v>10001</v>
      </c>
      <c r="F1205" s="2" t="s">
        <v>42</v>
      </c>
      <c r="G1205" s="2" t="s">
        <v>36</v>
      </c>
      <c r="H1205" s="2">
        <v>1</v>
      </c>
      <c r="I1205" s="2" t="s">
        <v>14</v>
      </c>
      <c r="J1205" s="2" t="str">
        <f>VLOOKUP(E1205,[1]LL_Hub!$A$1:$B$13,2,FALSE)</f>
        <v>New York</v>
      </c>
      <c r="K1205" t="str">
        <f>VLOOKUP(D1205,'[2]product Table data'!$A$2:$B$12,2,FALSE)</f>
        <v>Female</v>
      </c>
      <c r="L1205" t="str">
        <f>VLOOKUP($D1205,'[2]product Table data'!$A$2:$G$12,L$1,FALSE)</f>
        <v>Winter Warmth</v>
      </c>
      <c r="M1205" t="str">
        <f>VLOOKUP($D1205,'[2]product Table data'!$A$2:$G$12,M$1,FALSE)</f>
        <v>Romania</v>
      </c>
      <c r="N1205" t="str">
        <f>VLOOKUP($D1205,'[2]product Table data'!$A$2:$G$12,N$1,FALSE)</f>
        <v>Eastern Europe</v>
      </c>
      <c r="O1205">
        <f>VLOOKUP($D1205,'[2]product Table data'!$A$2:$G$12,O$1,FALSE)</f>
        <v>350</v>
      </c>
      <c r="P1205">
        <f>VLOOKUP($D1205,'[2]product Table data'!$A$2:$G$12,P$1,FALSE)</f>
        <v>450</v>
      </c>
      <c r="Q1205">
        <f t="shared" si="90"/>
        <v>100</v>
      </c>
      <c r="R1205" t="str">
        <f t="shared" si="91"/>
        <v>-</v>
      </c>
      <c r="S1205" t="str">
        <f t="shared" si="92"/>
        <v>-</v>
      </c>
      <c r="T1205" t="str">
        <f t="shared" si="93"/>
        <v>-</v>
      </c>
      <c r="U1205" t="str">
        <f t="shared" si="94"/>
        <v>High Value</v>
      </c>
    </row>
    <row r="1206" spans="1:21" x14ac:dyDescent="0.2">
      <c r="A1206" s="2">
        <v>1205</v>
      </c>
      <c r="B1206" s="2" t="s">
        <v>9</v>
      </c>
      <c r="C1206" s="2" t="s">
        <v>1687</v>
      </c>
      <c r="D1206" s="2" t="s">
        <v>45</v>
      </c>
      <c r="E1206" s="2">
        <v>10001</v>
      </c>
      <c r="F1206" s="2" t="s">
        <v>42</v>
      </c>
      <c r="G1206" s="2" t="s">
        <v>36</v>
      </c>
      <c r="H1206" s="2">
        <v>1</v>
      </c>
      <c r="I1206" s="2" t="s">
        <v>14</v>
      </c>
      <c r="J1206" s="2" t="str">
        <f>VLOOKUP(E1206,[1]LL_Hub!$A$1:$B$13,2,FALSE)</f>
        <v>New York</v>
      </c>
      <c r="K1206" t="str">
        <f>VLOOKUP(D1206,'[2]product Table data'!$A$2:$B$12,2,FALSE)</f>
        <v>Female</v>
      </c>
      <c r="L1206" t="str">
        <f>VLOOKUP($D1206,'[2]product Table data'!$A$2:$G$12,L$1,FALSE)</f>
        <v>Winter Warmth</v>
      </c>
      <c r="M1206" t="str">
        <f>VLOOKUP($D1206,'[2]product Table data'!$A$2:$G$12,M$1,FALSE)</f>
        <v>Romania</v>
      </c>
      <c r="N1206" t="str">
        <f>VLOOKUP($D1206,'[2]product Table data'!$A$2:$G$12,N$1,FALSE)</f>
        <v>Eastern Europe</v>
      </c>
      <c r="O1206">
        <f>VLOOKUP($D1206,'[2]product Table data'!$A$2:$G$12,O$1,FALSE)</f>
        <v>350</v>
      </c>
      <c r="P1206">
        <f>VLOOKUP($D1206,'[2]product Table data'!$A$2:$G$12,P$1,FALSE)</f>
        <v>450</v>
      </c>
      <c r="Q1206">
        <f t="shared" si="90"/>
        <v>100</v>
      </c>
      <c r="R1206" t="str">
        <f t="shared" si="91"/>
        <v>-</v>
      </c>
      <c r="S1206" t="str">
        <f t="shared" si="92"/>
        <v>-</v>
      </c>
      <c r="T1206" t="str">
        <f t="shared" si="93"/>
        <v>-</v>
      </c>
      <c r="U1206" t="str">
        <f t="shared" si="94"/>
        <v>High Value</v>
      </c>
    </row>
    <row r="1207" spans="1:21" x14ac:dyDescent="0.2">
      <c r="A1207" s="2">
        <v>1206</v>
      </c>
      <c r="B1207" s="2" t="s">
        <v>9</v>
      </c>
      <c r="C1207" s="2" t="s">
        <v>1688</v>
      </c>
      <c r="D1207" s="2" t="s">
        <v>45</v>
      </c>
      <c r="E1207" s="2">
        <v>10001</v>
      </c>
      <c r="F1207" s="2" t="s">
        <v>42</v>
      </c>
      <c r="G1207" s="2" t="s">
        <v>36</v>
      </c>
      <c r="H1207" s="2">
        <v>1</v>
      </c>
      <c r="I1207" s="2" t="s">
        <v>14</v>
      </c>
      <c r="J1207" s="2" t="str">
        <f>VLOOKUP(E1207,[1]LL_Hub!$A$1:$B$13,2,FALSE)</f>
        <v>New York</v>
      </c>
      <c r="K1207" t="str">
        <f>VLOOKUP(D1207,'[2]product Table data'!$A$2:$B$12,2,FALSE)</f>
        <v>Female</v>
      </c>
      <c r="L1207" t="str">
        <f>VLOOKUP($D1207,'[2]product Table data'!$A$2:$G$12,L$1,FALSE)</f>
        <v>Winter Warmth</v>
      </c>
      <c r="M1207" t="str">
        <f>VLOOKUP($D1207,'[2]product Table data'!$A$2:$G$12,M$1,FALSE)</f>
        <v>Romania</v>
      </c>
      <c r="N1207" t="str">
        <f>VLOOKUP($D1207,'[2]product Table data'!$A$2:$G$12,N$1,FALSE)</f>
        <v>Eastern Europe</v>
      </c>
      <c r="O1207">
        <f>VLOOKUP($D1207,'[2]product Table data'!$A$2:$G$12,O$1,FALSE)</f>
        <v>350</v>
      </c>
      <c r="P1207">
        <f>VLOOKUP($D1207,'[2]product Table data'!$A$2:$G$12,P$1,FALSE)</f>
        <v>450</v>
      </c>
      <c r="Q1207">
        <f t="shared" si="90"/>
        <v>100</v>
      </c>
      <c r="R1207" t="str">
        <f t="shared" si="91"/>
        <v>-</v>
      </c>
      <c r="S1207" t="str">
        <f t="shared" si="92"/>
        <v>-</v>
      </c>
      <c r="T1207" t="str">
        <f t="shared" si="93"/>
        <v>-</v>
      </c>
      <c r="U1207" t="str">
        <f t="shared" si="94"/>
        <v>High Value</v>
      </c>
    </row>
    <row r="1208" spans="1:21" x14ac:dyDescent="0.2">
      <c r="A1208" s="2">
        <v>1207</v>
      </c>
      <c r="B1208" s="2" t="s">
        <v>9</v>
      </c>
      <c r="C1208" s="2" t="s">
        <v>1689</v>
      </c>
      <c r="D1208" s="2" t="s">
        <v>45</v>
      </c>
      <c r="E1208" s="2">
        <v>10001</v>
      </c>
      <c r="F1208" s="2" t="s">
        <v>42</v>
      </c>
      <c r="G1208" s="2" t="s">
        <v>36</v>
      </c>
      <c r="H1208" s="2">
        <v>1</v>
      </c>
      <c r="I1208" s="2" t="s">
        <v>14</v>
      </c>
      <c r="J1208" s="2" t="str">
        <f>VLOOKUP(E1208,[1]LL_Hub!$A$1:$B$13,2,FALSE)</f>
        <v>New York</v>
      </c>
      <c r="K1208" t="str">
        <f>VLOOKUP(D1208,'[2]product Table data'!$A$2:$B$12,2,FALSE)</f>
        <v>Female</v>
      </c>
      <c r="L1208" t="str">
        <f>VLOOKUP($D1208,'[2]product Table data'!$A$2:$G$12,L$1,FALSE)</f>
        <v>Winter Warmth</v>
      </c>
      <c r="M1208" t="str">
        <f>VLOOKUP($D1208,'[2]product Table data'!$A$2:$G$12,M$1,FALSE)</f>
        <v>Romania</v>
      </c>
      <c r="N1208" t="str">
        <f>VLOOKUP($D1208,'[2]product Table data'!$A$2:$G$12,N$1,FALSE)</f>
        <v>Eastern Europe</v>
      </c>
      <c r="O1208">
        <f>VLOOKUP($D1208,'[2]product Table data'!$A$2:$G$12,O$1,FALSE)</f>
        <v>350</v>
      </c>
      <c r="P1208">
        <f>VLOOKUP($D1208,'[2]product Table data'!$A$2:$G$12,P$1,FALSE)</f>
        <v>450</v>
      </c>
      <c r="Q1208">
        <f t="shared" si="90"/>
        <v>100</v>
      </c>
      <c r="R1208" t="str">
        <f t="shared" si="91"/>
        <v>-</v>
      </c>
      <c r="S1208" t="str">
        <f t="shared" si="92"/>
        <v>-</v>
      </c>
      <c r="T1208" t="str">
        <f t="shared" si="93"/>
        <v>-</v>
      </c>
      <c r="U1208" t="str">
        <f t="shared" si="94"/>
        <v>High Value</v>
      </c>
    </row>
    <row r="1209" spans="1:21" x14ac:dyDescent="0.2">
      <c r="A1209" s="2">
        <v>1208</v>
      </c>
      <c r="B1209" s="2" t="s">
        <v>9</v>
      </c>
      <c r="C1209" s="2" t="s">
        <v>1690</v>
      </c>
      <c r="D1209" s="2" t="s">
        <v>45</v>
      </c>
      <c r="E1209" s="2">
        <v>10001</v>
      </c>
      <c r="F1209" s="2" t="s">
        <v>42</v>
      </c>
      <c r="G1209" s="2" t="s">
        <v>36</v>
      </c>
      <c r="H1209" s="2">
        <v>1</v>
      </c>
      <c r="I1209" s="2" t="s">
        <v>14</v>
      </c>
      <c r="J1209" s="2" t="str">
        <f>VLOOKUP(E1209,[1]LL_Hub!$A$1:$B$13,2,FALSE)</f>
        <v>New York</v>
      </c>
      <c r="K1209" t="str">
        <f>VLOOKUP(D1209,'[2]product Table data'!$A$2:$B$12,2,FALSE)</f>
        <v>Female</v>
      </c>
      <c r="L1209" t="str">
        <f>VLOOKUP($D1209,'[2]product Table data'!$A$2:$G$12,L$1,FALSE)</f>
        <v>Winter Warmth</v>
      </c>
      <c r="M1209" t="str">
        <f>VLOOKUP($D1209,'[2]product Table data'!$A$2:$G$12,M$1,FALSE)</f>
        <v>Romania</v>
      </c>
      <c r="N1209" t="str">
        <f>VLOOKUP($D1209,'[2]product Table data'!$A$2:$G$12,N$1,FALSE)</f>
        <v>Eastern Europe</v>
      </c>
      <c r="O1209">
        <f>VLOOKUP($D1209,'[2]product Table data'!$A$2:$G$12,O$1,FALSE)</f>
        <v>350</v>
      </c>
      <c r="P1209">
        <f>VLOOKUP($D1209,'[2]product Table data'!$A$2:$G$12,P$1,FALSE)</f>
        <v>450</v>
      </c>
      <c r="Q1209">
        <f t="shared" si="90"/>
        <v>100</v>
      </c>
      <c r="R1209" t="str">
        <f t="shared" si="91"/>
        <v>-</v>
      </c>
      <c r="S1209" t="str">
        <f t="shared" si="92"/>
        <v>-</v>
      </c>
      <c r="T1209" t="str">
        <f t="shared" si="93"/>
        <v>-</v>
      </c>
      <c r="U1209" t="str">
        <f t="shared" si="94"/>
        <v>High Value</v>
      </c>
    </row>
    <row r="1210" spans="1:21" x14ac:dyDescent="0.2">
      <c r="A1210" s="2">
        <v>1209</v>
      </c>
      <c r="B1210" s="2" t="s">
        <v>9</v>
      </c>
      <c r="C1210" s="2" t="s">
        <v>1691</v>
      </c>
      <c r="D1210" s="2" t="s">
        <v>45</v>
      </c>
      <c r="E1210" s="2">
        <v>10001</v>
      </c>
      <c r="F1210" s="2" t="s">
        <v>42</v>
      </c>
      <c r="G1210" s="2" t="s">
        <v>36</v>
      </c>
      <c r="H1210" s="2">
        <v>1</v>
      </c>
      <c r="I1210" s="2" t="s">
        <v>14</v>
      </c>
      <c r="J1210" s="2" t="str">
        <f>VLOOKUP(E1210,[1]LL_Hub!$A$1:$B$13,2,FALSE)</f>
        <v>New York</v>
      </c>
      <c r="K1210" t="str">
        <f>VLOOKUP(D1210,'[2]product Table data'!$A$2:$B$12,2,FALSE)</f>
        <v>Female</v>
      </c>
      <c r="L1210" t="str">
        <f>VLOOKUP($D1210,'[2]product Table data'!$A$2:$G$12,L$1,FALSE)</f>
        <v>Winter Warmth</v>
      </c>
      <c r="M1210" t="str">
        <f>VLOOKUP($D1210,'[2]product Table data'!$A$2:$G$12,M$1,FALSE)</f>
        <v>Romania</v>
      </c>
      <c r="N1210" t="str">
        <f>VLOOKUP($D1210,'[2]product Table data'!$A$2:$G$12,N$1,FALSE)</f>
        <v>Eastern Europe</v>
      </c>
      <c r="O1210">
        <f>VLOOKUP($D1210,'[2]product Table data'!$A$2:$G$12,O$1,FALSE)</f>
        <v>350</v>
      </c>
      <c r="P1210">
        <f>VLOOKUP($D1210,'[2]product Table data'!$A$2:$G$12,P$1,FALSE)</f>
        <v>450</v>
      </c>
      <c r="Q1210">
        <f t="shared" si="90"/>
        <v>100</v>
      </c>
      <c r="R1210" t="str">
        <f t="shared" si="91"/>
        <v>-</v>
      </c>
      <c r="S1210" t="str">
        <f t="shared" si="92"/>
        <v>-</v>
      </c>
      <c r="T1210" t="str">
        <f t="shared" si="93"/>
        <v>-</v>
      </c>
      <c r="U1210" t="str">
        <f t="shared" si="94"/>
        <v>High Value</v>
      </c>
    </row>
    <row r="1211" spans="1:21" x14ac:dyDescent="0.2">
      <c r="A1211" s="2">
        <v>1210</v>
      </c>
      <c r="B1211" s="2" t="s">
        <v>9</v>
      </c>
      <c r="C1211" s="2" t="s">
        <v>1692</v>
      </c>
      <c r="D1211" s="2" t="s">
        <v>45</v>
      </c>
      <c r="E1211" s="2">
        <v>10001</v>
      </c>
      <c r="F1211" s="2" t="s">
        <v>42</v>
      </c>
      <c r="G1211" s="2" t="s">
        <v>36</v>
      </c>
      <c r="H1211" s="2">
        <v>1</v>
      </c>
      <c r="I1211" s="2" t="s">
        <v>14</v>
      </c>
      <c r="J1211" s="2" t="str">
        <f>VLOOKUP(E1211,[1]LL_Hub!$A$1:$B$13,2,FALSE)</f>
        <v>New York</v>
      </c>
      <c r="K1211" t="str">
        <f>VLOOKUP(D1211,'[2]product Table data'!$A$2:$B$12,2,FALSE)</f>
        <v>Female</v>
      </c>
      <c r="L1211" t="str">
        <f>VLOOKUP($D1211,'[2]product Table data'!$A$2:$G$12,L$1,FALSE)</f>
        <v>Winter Warmth</v>
      </c>
      <c r="M1211" t="str">
        <f>VLOOKUP($D1211,'[2]product Table data'!$A$2:$G$12,M$1,FALSE)</f>
        <v>Romania</v>
      </c>
      <c r="N1211" t="str">
        <f>VLOOKUP($D1211,'[2]product Table data'!$A$2:$G$12,N$1,FALSE)</f>
        <v>Eastern Europe</v>
      </c>
      <c r="O1211">
        <f>VLOOKUP($D1211,'[2]product Table data'!$A$2:$G$12,O$1,FALSE)</f>
        <v>350</v>
      </c>
      <c r="P1211">
        <f>VLOOKUP($D1211,'[2]product Table data'!$A$2:$G$12,P$1,FALSE)</f>
        <v>450</v>
      </c>
      <c r="Q1211">
        <f t="shared" si="90"/>
        <v>100</v>
      </c>
      <c r="R1211" t="str">
        <f t="shared" si="91"/>
        <v>-</v>
      </c>
      <c r="S1211" t="str">
        <f t="shared" si="92"/>
        <v>-</v>
      </c>
      <c r="T1211" t="str">
        <f t="shared" si="93"/>
        <v>-</v>
      </c>
      <c r="U1211" t="str">
        <f t="shared" si="94"/>
        <v>High Value</v>
      </c>
    </row>
    <row r="1212" spans="1:21" x14ac:dyDescent="0.2">
      <c r="A1212" s="2">
        <v>1211</v>
      </c>
      <c r="B1212" s="2" t="s">
        <v>9</v>
      </c>
      <c r="C1212" s="2" t="s">
        <v>1693</v>
      </c>
      <c r="D1212" s="2" t="s">
        <v>45</v>
      </c>
      <c r="E1212" s="2">
        <v>10001</v>
      </c>
      <c r="F1212" s="2" t="s">
        <v>42</v>
      </c>
      <c r="G1212" s="2" t="s">
        <v>36</v>
      </c>
      <c r="H1212" s="2">
        <v>1</v>
      </c>
      <c r="I1212" s="2" t="s">
        <v>14</v>
      </c>
      <c r="J1212" s="2" t="str">
        <f>VLOOKUP(E1212,[1]LL_Hub!$A$1:$B$13,2,FALSE)</f>
        <v>New York</v>
      </c>
      <c r="K1212" t="str">
        <f>VLOOKUP(D1212,'[2]product Table data'!$A$2:$B$12,2,FALSE)</f>
        <v>Female</v>
      </c>
      <c r="L1212" t="str">
        <f>VLOOKUP($D1212,'[2]product Table data'!$A$2:$G$12,L$1,FALSE)</f>
        <v>Winter Warmth</v>
      </c>
      <c r="M1212" t="str">
        <f>VLOOKUP($D1212,'[2]product Table data'!$A$2:$G$12,M$1,FALSE)</f>
        <v>Romania</v>
      </c>
      <c r="N1212" t="str">
        <f>VLOOKUP($D1212,'[2]product Table data'!$A$2:$G$12,N$1,FALSE)</f>
        <v>Eastern Europe</v>
      </c>
      <c r="O1212">
        <f>VLOOKUP($D1212,'[2]product Table data'!$A$2:$G$12,O$1,FALSE)</f>
        <v>350</v>
      </c>
      <c r="P1212">
        <f>VLOOKUP($D1212,'[2]product Table data'!$A$2:$G$12,P$1,FALSE)</f>
        <v>450</v>
      </c>
      <c r="Q1212">
        <f t="shared" si="90"/>
        <v>100</v>
      </c>
      <c r="R1212" t="str">
        <f t="shared" si="91"/>
        <v>-</v>
      </c>
      <c r="S1212" t="str">
        <f t="shared" si="92"/>
        <v>-</v>
      </c>
      <c r="T1212" t="str">
        <f t="shared" si="93"/>
        <v>-</v>
      </c>
      <c r="U1212" t="str">
        <f t="shared" si="94"/>
        <v>High Value</v>
      </c>
    </row>
    <row r="1213" spans="1:21" x14ac:dyDescent="0.2">
      <c r="A1213" s="2">
        <v>1212</v>
      </c>
      <c r="B1213" s="2" t="s">
        <v>9</v>
      </c>
      <c r="C1213" s="2" t="s">
        <v>1694</v>
      </c>
      <c r="D1213" s="2" t="s">
        <v>45</v>
      </c>
      <c r="E1213" s="2">
        <v>10001</v>
      </c>
      <c r="F1213" s="2" t="s">
        <v>42</v>
      </c>
      <c r="G1213" s="2" t="s">
        <v>36</v>
      </c>
      <c r="H1213" s="2">
        <v>1</v>
      </c>
      <c r="I1213" s="2" t="s">
        <v>14</v>
      </c>
      <c r="J1213" s="2" t="str">
        <f>VLOOKUP(E1213,[1]LL_Hub!$A$1:$B$13,2,FALSE)</f>
        <v>New York</v>
      </c>
      <c r="K1213" t="str">
        <f>VLOOKUP(D1213,'[2]product Table data'!$A$2:$B$12,2,FALSE)</f>
        <v>Female</v>
      </c>
      <c r="L1213" t="str">
        <f>VLOOKUP($D1213,'[2]product Table data'!$A$2:$G$12,L$1,FALSE)</f>
        <v>Winter Warmth</v>
      </c>
      <c r="M1213" t="str">
        <f>VLOOKUP($D1213,'[2]product Table data'!$A$2:$G$12,M$1,FALSE)</f>
        <v>Romania</v>
      </c>
      <c r="N1213" t="str">
        <f>VLOOKUP($D1213,'[2]product Table data'!$A$2:$G$12,N$1,FALSE)</f>
        <v>Eastern Europe</v>
      </c>
      <c r="O1213">
        <f>VLOOKUP($D1213,'[2]product Table data'!$A$2:$G$12,O$1,FALSE)</f>
        <v>350</v>
      </c>
      <c r="P1213">
        <f>VLOOKUP($D1213,'[2]product Table data'!$A$2:$G$12,P$1,FALSE)</f>
        <v>450</v>
      </c>
      <c r="Q1213">
        <f t="shared" si="90"/>
        <v>100</v>
      </c>
      <c r="R1213" t="str">
        <f t="shared" si="91"/>
        <v>-</v>
      </c>
      <c r="S1213" t="str">
        <f t="shared" si="92"/>
        <v>-</v>
      </c>
      <c r="T1213" t="str">
        <f t="shared" si="93"/>
        <v>-</v>
      </c>
      <c r="U1213" t="str">
        <f t="shared" si="94"/>
        <v>High Value</v>
      </c>
    </row>
    <row r="1214" spans="1:21" x14ac:dyDescent="0.2">
      <c r="A1214" s="2">
        <v>1213</v>
      </c>
      <c r="B1214" s="2" t="s">
        <v>9</v>
      </c>
      <c r="C1214" s="2" t="s">
        <v>1695</v>
      </c>
      <c r="D1214" s="2" t="s">
        <v>45</v>
      </c>
      <c r="E1214" s="2">
        <v>10001</v>
      </c>
      <c r="F1214" s="2" t="s">
        <v>42</v>
      </c>
      <c r="G1214" s="2" t="s">
        <v>36</v>
      </c>
      <c r="H1214" s="2">
        <v>1</v>
      </c>
      <c r="I1214" s="2" t="s">
        <v>14</v>
      </c>
      <c r="J1214" s="2" t="str">
        <f>VLOOKUP(E1214,[1]LL_Hub!$A$1:$B$13,2,FALSE)</f>
        <v>New York</v>
      </c>
      <c r="K1214" t="str">
        <f>VLOOKUP(D1214,'[2]product Table data'!$A$2:$B$12,2,FALSE)</f>
        <v>Female</v>
      </c>
      <c r="L1214" t="str">
        <f>VLOOKUP($D1214,'[2]product Table data'!$A$2:$G$12,L$1,FALSE)</f>
        <v>Winter Warmth</v>
      </c>
      <c r="M1214" t="str">
        <f>VLOOKUP($D1214,'[2]product Table data'!$A$2:$G$12,M$1,FALSE)</f>
        <v>Romania</v>
      </c>
      <c r="N1214" t="str">
        <f>VLOOKUP($D1214,'[2]product Table data'!$A$2:$G$12,N$1,FALSE)</f>
        <v>Eastern Europe</v>
      </c>
      <c r="O1214">
        <f>VLOOKUP($D1214,'[2]product Table data'!$A$2:$G$12,O$1,FALSE)</f>
        <v>350</v>
      </c>
      <c r="P1214">
        <f>VLOOKUP($D1214,'[2]product Table data'!$A$2:$G$12,P$1,FALSE)</f>
        <v>450</v>
      </c>
      <c r="Q1214">
        <f t="shared" si="90"/>
        <v>100</v>
      </c>
      <c r="R1214" t="str">
        <f t="shared" si="91"/>
        <v>-</v>
      </c>
      <c r="S1214" t="str">
        <f t="shared" si="92"/>
        <v>-</v>
      </c>
      <c r="T1214" t="str">
        <f t="shared" si="93"/>
        <v>-</v>
      </c>
      <c r="U1214" t="str">
        <f t="shared" si="94"/>
        <v>High Value</v>
      </c>
    </row>
    <row r="1215" spans="1:21" x14ac:dyDescent="0.2">
      <c r="A1215" s="2">
        <v>1214</v>
      </c>
      <c r="B1215" s="2" t="s">
        <v>9</v>
      </c>
      <c r="C1215" s="2" t="s">
        <v>1696</v>
      </c>
      <c r="D1215" s="2" t="s">
        <v>45</v>
      </c>
      <c r="E1215" s="2">
        <v>10001</v>
      </c>
      <c r="F1215" s="2" t="s">
        <v>42</v>
      </c>
      <c r="G1215" s="2" t="s">
        <v>36</v>
      </c>
      <c r="H1215" s="2">
        <v>1</v>
      </c>
      <c r="I1215" s="2" t="s">
        <v>14</v>
      </c>
      <c r="J1215" s="2" t="str">
        <f>VLOOKUP(E1215,[1]LL_Hub!$A$1:$B$13,2,FALSE)</f>
        <v>New York</v>
      </c>
      <c r="K1215" t="str">
        <f>VLOOKUP(D1215,'[2]product Table data'!$A$2:$B$12,2,FALSE)</f>
        <v>Female</v>
      </c>
      <c r="L1215" t="str">
        <f>VLOOKUP($D1215,'[2]product Table data'!$A$2:$G$12,L$1,FALSE)</f>
        <v>Winter Warmth</v>
      </c>
      <c r="M1215" t="str">
        <f>VLOOKUP($D1215,'[2]product Table data'!$A$2:$G$12,M$1,FALSE)</f>
        <v>Romania</v>
      </c>
      <c r="N1215" t="str">
        <f>VLOOKUP($D1215,'[2]product Table data'!$A$2:$G$12,N$1,FALSE)</f>
        <v>Eastern Europe</v>
      </c>
      <c r="O1215">
        <f>VLOOKUP($D1215,'[2]product Table data'!$A$2:$G$12,O$1,FALSE)</f>
        <v>350</v>
      </c>
      <c r="P1215">
        <f>VLOOKUP($D1215,'[2]product Table data'!$A$2:$G$12,P$1,FALSE)</f>
        <v>450</v>
      </c>
      <c r="Q1215">
        <f t="shared" si="90"/>
        <v>100</v>
      </c>
      <c r="R1215" t="str">
        <f t="shared" si="91"/>
        <v>-</v>
      </c>
      <c r="S1215" t="str">
        <f t="shared" si="92"/>
        <v>-</v>
      </c>
      <c r="T1215" t="str">
        <f t="shared" si="93"/>
        <v>-</v>
      </c>
      <c r="U1215" t="str">
        <f t="shared" si="94"/>
        <v>High Value</v>
      </c>
    </row>
    <row r="1216" spans="1:21" x14ac:dyDescent="0.2">
      <c r="A1216" s="2">
        <v>1215</v>
      </c>
      <c r="B1216" s="2" t="s">
        <v>9</v>
      </c>
      <c r="C1216" s="2" t="s">
        <v>1697</v>
      </c>
      <c r="D1216" s="2" t="s">
        <v>45</v>
      </c>
      <c r="E1216" s="2">
        <v>10001</v>
      </c>
      <c r="F1216" s="2" t="s">
        <v>42</v>
      </c>
      <c r="G1216" s="2" t="s">
        <v>36</v>
      </c>
      <c r="H1216" s="2">
        <v>1</v>
      </c>
      <c r="I1216" s="2" t="s">
        <v>14</v>
      </c>
      <c r="J1216" s="2" t="str">
        <f>VLOOKUP(E1216,[1]LL_Hub!$A$1:$B$13,2,FALSE)</f>
        <v>New York</v>
      </c>
      <c r="K1216" t="str">
        <f>VLOOKUP(D1216,'[2]product Table data'!$A$2:$B$12,2,FALSE)</f>
        <v>Female</v>
      </c>
      <c r="L1216" t="str">
        <f>VLOOKUP($D1216,'[2]product Table data'!$A$2:$G$12,L$1,FALSE)</f>
        <v>Winter Warmth</v>
      </c>
      <c r="M1216" t="str">
        <f>VLOOKUP($D1216,'[2]product Table data'!$A$2:$G$12,M$1,FALSE)</f>
        <v>Romania</v>
      </c>
      <c r="N1216" t="str">
        <f>VLOOKUP($D1216,'[2]product Table data'!$A$2:$G$12,N$1,FALSE)</f>
        <v>Eastern Europe</v>
      </c>
      <c r="O1216">
        <f>VLOOKUP($D1216,'[2]product Table data'!$A$2:$G$12,O$1,FALSE)</f>
        <v>350</v>
      </c>
      <c r="P1216">
        <f>VLOOKUP($D1216,'[2]product Table data'!$A$2:$G$12,P$1,FALSE)</f>
        <v>450</v>
      </c>
      <c r="Q1216">
        <f t="shared" si="90"/>
        <v>100</v>
      </c>
      <c r="R1216" t="str">
        <f t="shared" si="91"/>
        <v>-</v>
      </c>
      <c r="S1216" t="str">
        <f t="shared" si="92"/>
        <v>-</v>
      </c>
      <c r="T1216" t="str">
        <f t="shared" si="93"/>
        <v>-</v>
      </c>
      <c r="U1216" t="str">
        <f t="shared" si="94"/>
        <v>High Value</v>
      </c>
    </row>
    <row r="1217" spans="1:21" x14ac:dyDescent="0.2">
      <c r="A1217" s="2">
        <v>124</v>
      </c>
      <c r="B1217" s="2" t="s">
        <v>9</v>
      </c>
      <c r="C1217" s="2" t="s">
        <v>62</v>
      </c>
      <c r="D1217" s="2" t="s">
        <v>41</v>
      </c>
      <c r="E1217" s="2">
        <v>10022</v>
      </c>
      <c r="F1217" s="2" t="s">
        <v>35</v>
      </c>
      <c r="G1217" s="2" t="s">
        <v>36</v>
      </c>
      <c r="H1217" s="2">
        <v>1</v>
      </c>
      <c r="I1217" s="2" t="s">
        <v>14</v>
      </c>
      <c r="J1217" s="2" t="str">
        <f>VLOOKUP(E1217,[1]LL_Hub!$A$1:$B$13,2,FALSE)</f>
        <v>New York</v>
      </c>
      <c r="K1217" t="str">
        <f>VLOOKUP(D1217,'[2]product Table data'!$A$2:$B$12,2,FALSE)</f>
        <v>Male</v>
      </c>
      <c r="L1217" t="str">
        <f>VLOOKUP($D1217,'[2]product Table data'!$A$2:$G$12,L$1,FALSE)</f>
        <v>Winter Warmth</v>
      </c>
      <c r="M1217" t="str">
        <f>VLOOKUP($D1217,'[2]product Table data'!$A$2:$G$12,M$1,FALSE)</f>
        <v>Moldova</v>
      </c>
      <c r="N1217" t="str">
        <f>VLOOKUP($D1217,'[2]product Table data'!$A$2:$G$12,N$1,FALSE)</f>
        <v>Eastern Europe</v>
      </c>
      <c r="O1217">
        <f>VLOOKUP($D1217,'[2]product Table data'!$A$2:$G$12,O$1,FALSE)</f>
        <v>475</v>
      </c>
      <c r="P1217">
        <f>VLOOKUP($D1217,'[2]product Table data'!$A$2:$G$12,P$1,FALSE)</f>
        <v>600</v>
      </c>
      <c r="Q1217">
        <f t="shared" si="90"/>
        <v>125</v>
      </c>
      <c r="R1217" t="str">
        <f t="shared" si="91"/>
        <v>-</v>
      </c>
      <c r="S1217" t="str">
        <f t="shared" si="92"/>
        <v>-</v>
      </c>
      <c r="T1217" t="str">
        <f t="shared" si="93"/>
        <v>-</v>
      </c>
      <c r="U1217" t="str">
        <f t="shared" si="94"/>
        <v>High Value</v>
      </c>
    </row>
    <row r="1218" spans="1:21" hidden="1" x14ac:dyDescent="0.2">
      <c r="A1218" s="2">
        <v>1216</v>
      </c>
      <c r="B1218" s="2" t="s">
        <v>9</v>
      </c>
      <c r="C1218" s="2" t="s">
        <v>1698</v>
      </c>
      <c r="D1218" s="2" t="s">
        <v>45</v>
      </c>
      <c r="E1218" s="2">
        <v>10001</v>
      </c>
      <c r="F1218" s="2" t="s">
        <v>42</v>
      </c>
      <c r="G1218" s="2" t="s">
        <v>36</v>
      </c>
      <c r="H1218" s="2">
        <v>1</v>
      </c>
      <c r="I1218" s="2" t="s">
        <v>17</v>
      </c>
      <c r="J1218" s="2" t="str">
        <f>VLOOKUP(E1218,[1]LL_Hub!$A$1:$B$13,2,FALSE)</f>
        <v>New York</v>
      </c>
      <c r="K1218" t="str">
        <f>VLOOKUP(D1218,'[2]product Table data'!$A$2:$B$12,2,FALSE)</f>
        <v>Female</v>
      </c>
      <c r="L1218" t="str">
        <f>VLOOKUP($D1218,'[2]product Table data'!$A$2:$G$12,L$1,FALSE)</f>
        <v>Winter Warmth</v>
      </c>
      <c r="M1218" t="str">
        <f>VLOOKUP($D1218,'[2]product Table data'!$A$2:$G$12,M$1,FALSE)</f>
        <v>Romania</v>
      </c>
      <c r="N1218" t="str">
        <f>VLOOKUP($D1218,'[2]product Table data'!$A$2:$G$12,N$1,FALSE)</f>
        <v>Eastern Europe</v>
      </c>
      <c r="O1218">
        <f>VLOOKUP($D1218,'[2]product Table data'!$A$2:$G$12,O$1,FALSE)</f>
        <v>350</v>
      </c>
      <c r="P1218">
        <f>VLOOKUP($D1218,'[2]product Table data'!$A$2:$G$12,P$1,FALSE)</f>
        <v>450</v>
      </c>
      <c r="Q1218">
        <f t="shared" si="90"/>
        <v>100</v>
      </c>
      <c r="R1218" t="str">
        <f t="shared" si="91"/>
        <v>-</v>
      </c>
      <c r="S1218" t="str">
        <f t="shared" si="92"/>
        <v>-</v>
      </c>
      <c r="T1218" t="str">
        <f t="shared" si="93"/>
        <v>-</v>
      </c>
      <c r="U1218" t="str">
        <f t="shared" si="94"/>
        <v>High Value</v>
      </c>
    </row>
    <row r="1219" spans="1:21" hidden="1" x14ac:dyDescent="0.2">
      <c r="A1219" s="2">
        <v>1217</v>
      </c>
      <c r="B1219" s="2" t="s">
        <v>9</v>
      </c>
      <c r="C1219" s="2" t="s">
        <v>1699</v>
      </c>
      <c r="D1219" s="2" t="s">
        <v>45</v>
      </c>
      <c r="E1219" s="2">
        <v>10001</v>
      </c>
      <c r="F1219" s="2" t="s">
        <v>42</v>
      </c>
      <c r="G1219" s="2" t="s">
        <v>36</v>
      </c>
      <c r="H1219" s="2">
        <v>1</v>
      </c>
      <c r="I1219" s="2" t="s">
        <v>17</v>
      </c>
      <c r="J1219" s="2" t="str">
        <f>VLOOKUP(E1219,[1]LL_Hub!$A$1:$B$13,2,FALSE)</f>
        <v>New York</v>
      </c>
      <c r="K1219" t="str">
        <f>VLOOKUP(D1219,'[2]product Table data'!$A$2:$B$12,2,FALSE)</f>
        <v>Female</v>
      </c>
      <c r="L1219" t="str">
        <f>VLOOKUP($D1219,'[2]product Table data'!$A$2:$G$12,L$1,FALSE)</f>
        <v>Winter Warmth</v>
      </c>
      <c r="M1219" t="str">
        <f>VLOOKUP($D1219,'[2]product Table data'!$A$2:$G$12,M$1,FALSE)</f>
        <v>Romania</v>
      </c>
      <c r="N1219" t="str">
        <f>VLOOKUP($D1219,'[2]product Table data'!$A$2:$G$12,N$1,FALSE)</f>
        <v>Eastern Europe</v>
      </c>
      <c r="O1219">
        <f>VLOOKUP($D1219,'[2]product Table data'!$A$2:$G$12,O$1,FALSE)</f>
        <v>350</v>
      </c>
      <c r="P1219">
        <f>VLOOKUP($D1219,'[2]product Table data'!$A$2:$G$12,P$1,FALSE)</f>
        <v>450</v>
      </c>
      <c r="Q1219">
        <f t="shared" ref="Q1219:Q1282" si="95">P1219-O1219</f>
        <v>100</v>
      </c>
      <c r="R1219" t="str">
        <f t="shared" ref="R1219:R1282" si="96">IF(OR(J1219="Los Angeles",J1219="Denver"),"Hub Risk","-")</f>
        <v>-</v>
      </c>
      <c r="S1219" t="str">
        <f t="shared" ref="S1219:S1282" si="97">IF(OR(L1219="Casual n Light",L1219="Fancy Sheek"),"Style Risk","-")</f>
        <v>-</v>
      </c>
      <c r="T1219" t="str">
        <f t="shared" ref="T1219:T1282" si="98">IF(AND(R1219="Hub Risk", S1219="Style Risk"), "Risk", "-")</f>
        <v>-</v>
      </c>
      <c r="U1219" t="str">
        <f t="shared" ref="U1219:U1282" si="99">IF(Q1219&lt;=5, "Low Value", "High Value")</f>
        <v>High Value</v>
      </c>
    </row>
    <row r="1220" spans="1:21" hidden="1" x14ac:dyDescent="0.2">
      <c r="A1220" s="2">
        <v>1218</v>
      </c>
      <c r="B1220" s="2" t="s">
        <v>9</v>
      </c>
      <c r="C1220" s="2" t="s">
        <v>1700</v>
      </c>
      <c r="D1220" s="2" t="s">
        <v>45</v>
      </c>
      <c r="E1220" s="2">
        <v>10001</v>
      </c>
      <c r="F1220" s="2" t="s">
        <v>42</v>
      </c>
      <c r="G1220" s="2" t="s">
        <v>36</v>
      </c>
      <c r="H1220" s="2">
        <v>1</v>
      </c>
      <c r="I1220" s="2" t="s">
        <v>17</v>
      </c>
      <c r="J1220" s="2" t="str">
        <f>VLOOKUP(E1220,[1]LL_Hub!$A$1:$B$13,2,FALSE)</f>
        <v>New York</v>
      </c>
      <c r="K1220" t="str">
        <f>VLOOKUP(D1220,'[2]product Table data'!$A$2:$B$12,2,FALSE)</f>
        <v>Female</v>
      </c>
      <c r="L1220" t="str">
        <f>VLOOKUP($D1220,'[2]product Table data'!$A$2:$G$12,L$1,FALSE)</f>
        <v>Winter Warmth</v>
      </c>
      <c r="M1220" t="str">
        <f>VLOOKUP($D1220,'[2]product Table data'!$A$2:$G$12,M$1,FALSE)</f>
        <v>Romania</v>
      </c>
      <c r="N1220" t="str">
        <f>VLOOKUP($D1220,'[2]product Table data'!$A$2:$G$12,N$1,FALSE)</f>
        <v>Eastern Europe</v>
      </c>
      <c r="O1220">
        <f>VLOOKUP($D1220,'[2]product Table data'!$A$2:$G$12,O$1,FALSE)</f>
        <v>350</v>
      </c>
      <c r="P1220">
        <f>VLOOKUP($D1220,'[2]product Table data'!$A$2:$G$12,P$1,FALSE)</f>
        <v>450</v>
      </c>
      <c r="Q1220">
        <f t="shared" si="95"/>
        <v>100</v>
      </c>
      <c r="R1220" t="str">
        <f t="shared" si="96"/>
        <v>-</v>
      </c>
      <c r="S1220" t="str">
        <f t="shared" si="97"/>
        <v>-</v>
      </c>
      <c r="T1220" t="str">
        <f t="shared" si="98"/>
        <v>-</v>
      </c>
      <c r="U1220" t="str">
        <f t="shared" si="99"/>
        <v>High Value</v>
      </c>
    </row>
    <row r="1221" spans="1:21" hidden="1" x14ac:dyDescent="0.2">
      <c r="A1221" s="2">
        <v>1219</v>
      </c>
      <c r="B1221" s="2" t="s">
        <v>9</v>
      </c>
      <c r="C1221" s="2" t="s">
        <v>1701</v>
      </c>
      <c r="D1221" s="2" t="s">
        <v>45</v>
      </c>
      <c r="E1221" s="2">
        <v>10001</v>
      </c>
      <c r="F1221" s="2" t="s">
        <v>42</v>
      </c>
      <c r="G1221" s="2" t="s">
        <v>36</v>
      </c>
      <c r="H1221" s="2">
        <v>1</v>
      </c>
      <c r="I1221" s="2" t="s">
        <v>17</v>
      </c>
      <c r="J1221" s="2" t="str">
        <f>VLOOKUP(E1221,[1]LL_Hub!$A$1:$B$13,2,FALSE)</f>
        <v>New York</v>
      </c>
      <c r="K1221" t="str">
        <f>VLOOKUP(D1221,'[2]product Table data'!$A$2:$B$12,2,FALSE)</f>
        <v>Female</v>
      </c>
      <c r="L1221" t="str">
        <f>VLOOKUP($D1221,'[2]product Table data'!$A$2:$G$12,L$1,FALSE)</f>
        <v>Winter Warmth</v>
      </c>
      <c r="M1221" t="str">
        <f>VLOOKUP($D1221,'[2]product Table data'!$A$2:$G$12,M$1,FALSE)</f>
        <v>Romania</v>
      </c>
      <c r="N1221" t="str">
        <f>VLOOKUP($D1221,'[2]product Table data'!$A$2:$G$12,N$1,FALSE)</f>
        <v>Eastern Europe</v>
      </c>
      <c r="O1221">
        <f>VLOOKUP($D1221,'[2]product Table data'!$A$2:$G$12,O$1,FALSE)</f>
        <v>350</v>
      </c>
      <c r="P1221">
        <f>VLOOKUP($D1221,'[2]product Table data'!$A$2:$G$12,P$1,FALSE)</f>
        <v>450</v>
      </c>
      <c r="Q1221">
        <f t="shared" si="95"/>
        <v>100</v>
      </c>
      <c r="R1221" t="str">
        <f t="shared" si="96"/>
        <v>-</v>
      </c>
      <c r="S1221" t="str">
        <f t="shared" si="97"/>
        <v>-</v>
      </c>
      <c r="T1221" t="str">
        <f t="shared" si="98"/>
        <v>-</v>
      </c>
      <c r="U1221" t="str">
        <f t="shared" si="99"/>
        <v>High Value</v>
      </c>
    </row>
    <row r="1222" spans="1:21" hidden="1" x14ac:dyDescent="0.2">
      <c r="A1222" s="2">
        <v>1220</v>
      </c>
      <c r="B1222" s="2" t="s">
        <v>9</v>
      </c>
      <c r="C1222" s="2" t="s">
        <v>1702</v>
      </c>
      <c r="D1222" s="2" t="s">
        <v>45</v>
      </c>
      <c r="E1222" s="2">
        <v>10001</v>
      </c>
      <c r="F1222" s="2" t="s">
        <v>42</v>
      </c>
      <c r="G1222" s="2" t="s">
        <v>36</v>
      </c>
      <c r="H1222" s="2">
        <v>1</v>
      </c>
      <c r="I1222" s="2" t="s">
        <v>17</v>
      </c>
      <c r="J1222" s="2" t="str">
        <f>VLOOKUP(E1222,[1]LL_Hub!$A$1:$B$13,2,FALSE)</f>
        <v>New York</v>
      </c>
      <c r="K1222" t="str">
        <f>VLOOKUP(D1222,'[2]product Table data'!$A$2:$B$12,2,FALSE)</f>
        <v>Female</v>
      </c>
      <c r="L1222" t="str">
        <f>VLOOKUP($D1222,'[2]product Table data'!$A$2:$G$12,L$1,FALSE)</f>
        <v>Winter Warmth</v>
      </c>
      <c r="M1222" t="str">
        <f>VLOOKUP($D1222,'[2]product Table data'!$A$2:$G$12,M$1,FALSE)</f>
        <v>Romania</v>
      </c>
      <c r="N1222" t="str">
        <f>VLOOKUP($D1222,'[2]product Table data'!$A$2:$G$12,N$1,FALSE)</f>
        <v>Eastern Europe</v>
      </c>
      <c r="O1222">
        <f>VLOOKUP($D1222,'[2]product Table data'!$A$2:$G$12,O$1,FALSE)</f>
        <v>350</v>
      </c>
      <c r="P1222">
        <f>VLOOKUP($D1222,'[2]product Table data'!$A$2:$G$12,P$1,FALSE)</f>
        <v>450</v>
      </c>
      <c r="Q1222">
        <f t="shared" si="95"/>
        <v>100</v>
      </c>
      <c r="R1222" t="str">
        <f t="shared" si="96"/>
        <v>-</v>
      </c>
      <c r="S1222" t="str">
        <f t="shared" si="97"/>
        <v>-</v>
      </c>
      <c r="T1222" t="str">
        <f t="shared" si="98"/>
        <v>-</v>
      </c>
      <c r="U1222" t="str">
        <f t="shared" si="99"/>
        <v>High Value</v>
      </c>
    </row>
    <row r="1223" spans="1:21" hidden="1" x14ac:dyDescent="0.2">
      <c r="A1223" s="2">
        <v>1221</v>
      </c>
      <c r="B1223" s="2" t="s">
        <v>9</v>
      </c>
      <c r="C1223" s="2" t="s">
        <v>1703</v>
      </c>
      <c r="D1223" s="2" t="s">
        <v>45</v>
      </c>
      <c r="E1223" s="2">
        <v>10001</v>
      </c>
      <c r="F1223" s="2" t="s">
        <v>42</v>
      </c>
      <c r="G1223" s="2" t="s">
        <v>36</v>
      </c>
      <c r="H1223" s="2">
        <v>1</v>
      </c>
      <c r="I1223" s="2" t="s">
        <v>17</v>
      </c>
      <c r="J1223" s="2" t="str">
        <f>VLOOKUP(E1223,[1]LL_Hub!$A$1:$B$13,2,FALSE)</f>
        <v>New York</v>
      </c>
      <c r="K1223" t="str">
        <f>VLOOKUP(D1223,'[2]product Table data'!$A$2:$B$12,2,FALSE)</f>
        <v>Female</v>
      </c>
      <c r="L1223" t="str">
        <f>VLOOKUP($D1223,'[2]product Table data'!$A$2:$G$12,L$1,FALSE)</f>
        <v>Winter Warmth</v>
      </c>
      <c r="M1223" t="str">
        <f>VLOOKUP($D1223,'[2]product Table data'!$A$2:$G$12,M$1,FALSE)</f>
        <v>Romania</v>
      </c>
      <c r="N1223" t="str">
        <f>VLOOKUP($D1223,'[2]product Table data'!$A$2:$G$12,N$1,FALSE)</f>
        <v>Eastern Europe</v>
      </c>
      <c r="O1223">
        <f>VLOOKUP($D1223,'[2]product Table data'!$A$2:$G$12,O$1,FALSE)</f>
        <v>350</v>
      </c>
      <c r="P1223">
        <f>VLOOKUP($D1223,'[2]product Table data'!$A$2:$G$12,P$1,FALSE)</f>
        <v>450</v>
      </c>
      <c r="Q1223">
        <f t="shared" si="95"/>
        <v>100</v>
      </c>
      <c r="R1223" t="str">
        <f t="shared" si="96"/>
        <v>-</v>
      </c>
      <c r="S1223" t="str">
        <f t="shared" si="97"/>
        <v>-</v>
      </c>
      <c r="T1223" t="str">
        <f t="shared" si="98"/>
        <v>-</v>
      </c>
      <c r="U1223" t="str">
        <f t="shared" si="99"/>
        <v>High Value</v>
      </c>
    </row>
    <row r="1224" spans="1:21" hidden="1" x14ac:dyDescent="0.2">
      <c r="A1224" s="2">
        <v>1222</v>
      </c>
      <c r="B1224" s="2" t="s">
        <v>9</v>
      </c>
      <c r="C1224" s="2" t="s">
        <v>1704</v>
      </c>
      <c r="D1224" s="2" t="s">
        <v>45</v>
      </c>
      <c r="E1224" s="2">
        <v>10001</v>
      </c>
      <c r="F1224" s="2" t="s">
        <v>42</v>
      </c>
      <c r="G1224" s="2" t="s">
        <v>36</v>
      </c>
      <c r="H1224" s="2">
        <v>1</v>
      </c>
      <c r="I1224" s="2" t="s">
        <v>17</v>
      </c>
      <c r="J1224" s="2" t="str">
        <f>VLOOKUP(E1224,[1]LL_Hub!$A$1:$B$13,2,FALSE)</f>
        <v>New York</v>
      </c>
      <c r="K1224" t="str">
        <f>VLOOKUP(D1224,'[2]product Table data'!$A$2:$B$12,2,FALSE)</f>
        <v>Female</v>
      </c>
      <c r="L1224" t="str">
        <f>VLOOKUP($D1224,'[2]product Table data'!$A$2:$G$12,L$1,FALSE)</f>
        <v>Winter Warmth</v>
      </c>
      <c r="M1224" t="str">
        <f>VLOOKUP($D1224,'[2]product Table data'!$A$2:$G$12,M$1,FALSE)</f>
        <v>Romania</v>
      </c>
      <c r="N1224" t="str">
        <f>VLOOKUP($D1224,'[2]product Table data'!$A$2:$G$12,N$1,FALSE)</f>
        <v>Eastern Europe</v>
      </c>
      <c r="O1224">
        <f>VLOOKUP($D1224,'[2]product Table data'!$A$2:$G$12,O$1,FALSE)</f>
        <v>350</v>
      </c>
      <c r="P1224">
        <f>VLOOKUP($D1224,'[2]product Table data'!$A$2:$G$12,P$1,FALSE)</f>
        <v>450</v>
      </c>
      <c r="Q1224">
        <f t="shared" si="95"/>
        <v>100</v>
      </c>
      <c r="R1224" t="str">
        <f t="shared" si="96"/>
        <v>-</v>
      </c>
      <c r="S1224" t="str">
        <f t="shared" si="97"/>
        <v>-</v>
      </c>
      <c r="T1224" t="str">
        <f t="shared" si="98"/>
        <v>-</v>
      </c>
      <c r="U1224" t="str">
        <f t="shared" si="99"/>
        <v>High Value</v>
      </c>
    </row>
    <row r="1225" spans="1:21" hidden="1" x14ac:dyDescent="0.2">
      <c r="A1225" s="2">
        <v>1223</v>
      </c>
      <c r="B1225" s="2" t="s">
        <v>9</v>
      </c>
      <c r="C1225" s="2" t="s">
        <v>1705</v>
      </c>
      <c r="D1225" s="2" t="s">
        <v>45</v>
      </c>
      <c r="E1225" s="2">
        <v>10001</v>
      </c>
      <c r="F1225" s="2" t="s">
        <v>42</v>
      </c>
      <c r="G1225" s="2" t="s">
        <v>36</v>
      </c>
      <c r="H1225" s="2">
        <v>1</v>
      </c>
      <c r="I1225" s="2" t="s">
        <v>17</v>
      </c>
      <c r="J1225" s="2" t="str">
        <f>VLOOKUP(E1225,[1]LL_Hub!$A$1:$B$13,2,FALSE)</f>
        <v>New York</v>
      </c>
      <c r="K1225" t="str">
        <f>VLOOKUP(D1225,'[2]product Table data'!$A$2:$B$12,2,FALSE)</f>
        <v>Female</v>
      </c>
      <c r="L1225" t="str">
        <f>VLOOKUP($D1225,'[2]product Table data'!$A$2:$G$12,L$1,FALSE)</f>
        <v>Winter Warmth</v>
      </c>
      <c r="M1225" t="str">
        <f>VLOOKUP($D1225,'[2]product Table data'!$A$2:$G$12,M$1,FALSE)</f>
        <v>Romania</v>
      </c>
      <c r="N1225" t="str">
        <f>VLOOKUP($D1225,'[2]product Table data'!$A$2:$G$12,N$1,FALSE)</f>
        <v>Eastern Europe</v>
      </c>
      <c r="O1225">
        <f>VLOOKUP($D1225,'[2]product Table data'!$A$2:$G$12,O$1,FALSE)</f>
        <v>350</v>
      </c>
      <c r="P1225">
        <f>VLOOKUP($D1225,'[2]product Table data'!$A$2:$G$12,P$1,FALSE)</f>
        <v>450</v>
      </c>
      <c r="Q1225">
        <f t="shared" si="95"/>
        <v>100</v>
      </c>
      <c r="R1225" t="str">
        <f t="shared" si="96"/>
        <v>-</v>
      </c>
      <c r="S1225" t="str">
        <f t="shared" si="97"/>
        <v>-</v>
      </c>
      <c r="T1225" t="str">
        <f t="shared" si="98"/>
        <v>-</v>
      </c>
      <c r="U1225" t="str">
        <f t="shared" si="99"/>
        <v>High Value</v>
      </c>
    </row>
    <row r="1226" spans="1:21" hidden="1" x14ac:dyDescent="0.2">
      <c r="A1226" s="2">
        <v>1224</v>
      </c>
      <c r="B1226" s="2" t="s">
        <v>9</v>
      </c>
      <c r="C1226" s="2" t="s">
        <v>1706</v>
      </c>
      <c r="D1226" s="2" t="s">
        <v>45</v>
      </c>
      <c r="E1226" s="2">
        <v>10001</v>
      </c>
      <c r="F1226" s="2" t="s">
        <v>42</v>
      </c>
      <c r="G1226" s="2" t="s">
        <v>36</v>
      </c>
      <c r="H1226" s="2">
        <v>1</v>
      </c>
      <c r="I1226" s="2" t="s">
        <v>17</v>
      </c>
      <c r="J1226" s="2" t="str">
        <f>VLOOKUP(E1226,[1]LL_Hub!$A$1:$B$13,2,FALSE)</f>
        <v>New York</v>
      </c>
      <c r="K1226" t="str">
        <f>VLOOKUP(D1226,'[2]product Table data'!$A$2:$B$12,2,FALSE)</f>
        <v>Female</v>
      </c>
      <c r="L1226" t="str">
        <f>VLOOKUP($D1226,'[2]product Table data'!$A$2:$G$12,L$1,FALSE)</f>
        <v>Winter Warmth</v>
      </c>
      <c r="M1226" t="str">
        <f>VLOOKUP($D1226,'[2]product Table data'!$A$2:$G$12,M$1,FALSE)</f>
        <v>Romania</v>
      </c>
      <c r="N1226" t="str">
        <f>VLOOKUP($D1226,'[2]product Table data'!$A$2:$G$12,N$1,FALSE)</f>
        <v>Eastern Europe</v>
      </c>
      <c r="O1226">
        <f>VLOOKUP($D1226,'[2]product Table data'!$A$2:$G$12,O$1,FALSE)</f>
        <v>350</v>
      </c>
      <c r="P1226">
        <f>VLOOKUP($D1226,'[2]product Table data'!$A$2:$G$12,P$1,FALSE)</f>
        <v>450</v>
      </c>
      <c r="Q1226">
        <f t="shared" si="95"/>
        <v>100</v>
      </c>
      <c r="R1226" t="str">
        <f t="shared" si="96"/>
        <v>-</v>
      </c>
      <c r="S1226" t="str">
        <f t="shared" si="97"/>
        <v>-</v>
      </c>
      <c r="T1226" t="str">
        <f t="shared" si="98"/>
        <v>-</v>
      </c>
      <c r="U1226" t="str">
        <f t="shared" si="99"/>
        <v>High Value</v>
      </c>
    </row>
    <row r="1227" spans="1:21" hidden="1" x14ac:dyDescent="0.2">
      <c r="A1227" s="2">
        <v>1225</v>
      </c>
      <c r="B1227" s="2" t="s">
        <v>9</v>
      </c>
      <c r="C1227" s="2" t="s">
        <v>1707</v>
      </c>
      <c r="D1227" s="2" t="s">
        <v>45</v>
      </c>
      <c r="E1227" s="2">
        <v>10001</v>
      </c>
      <c r="F1227" s="2" t="s">
        <v>42</v>
      </c>
      <c r="G1227" s="2" t="s">
        <v>36</v>
      </c>
      <c r="H1227" s="2">
        <v>1</v>
      </c>
      <c r="I1227" s="2" t="s">
        <v>17</v>
      </c>
      <c r="J1227" s="2" t="str">
        <f>VLOOKUP(E1227,[1]LL_Hub!$A$1:$B$13,2,FALSE)</f>
        <v>New York</v>
      </c>
      <c r="K1227" t="str">
        <f>VLOOKUP(D1227,'[2]product Table data'!$A$2:$B$12,2,FALSE)</f>
        <v>Female</v>
      </c>
      <c r="L1227" t="str">
        <f>VLOOKUP($D1227,'[2]product Table data'!$A$2:$G$12,L$1,FALSE)</f>
        <v>Winter Warmth</v>
      </c>
      <c r="M1227" t="str">
        <f>VLOOKUP($D1227,'[2]product Table data'!$A$2:$G$12,M$1,FALSE)</f>
        <v>Romania</v>
      </c>
      <c r="N1227" t="str">
        <f>VLOOKUP($D1227,'[2]product Table data'!$A$2:$G$12,N$1,FALSE)</f>
        <v>Eastern Europe</v>
      </c>
      <c r="O1227">
        <f>VLOOKUP($D1227,'[2]product Table data'!$A$2:$G$12,O$1,FALSE)</f>
        <v>350</v>
      </c>
      <c r="P1227">
        <f>VLOOKUP($D1227,'[2]product Table data'!$A$2:$G$12,P$1,FALSE)</f>
        <v>450</v>
      </c>
      <c r="Q1227">
        <f t="shared" si="95"/>
        <v>100</v>
      </c>
      <c r="R1227" t="str">
        <f t="shared" si="96"/>
        <v>-</v>
      </c>
      <c r="S1227" t="str">
        <f t="shared" si="97"/>
        <v>-</v>
      </c>
      <c r="T1227" t="str">
        <f t="shared" si="98"/>
        <v>-</v>
      </c>
      <c r="U1227" t="str">
        <f t="shared" si="99"/>
        <v>High Value</v>
      </c>
    </row>
    <row r="1228" spans="1:21" hidden="1" x14ac:dyDescent="0.2">
      <c r="A1228" s="2">
        <v>1226</v>
      </c>
      <c r="B1228" s="2" t="s">
        <v>9</v>
      </c>
      <c r="C1228" s="2" t="s">
        <v>1708</v>
      </c>
      <c r="D1228" s="2" t="s">
        <v>45</v>
      </c>
      <c r="E1228" s="2">
        <v>10001</v>
      </c>
      <c r="F1228" s="2" t="s">
        <v>42</v>
      </c>
      <c r="G1228" s="2" t="s">
        <v>36</v>
      </c>
      <c r="H1228" s="2">
        <v>1</v>
      </c>
      <c r="I1228" s="2" t="s">
        <v>17</v>
      </c>
      <c r="J1228" s="2" t="str">
        <f>VLOOKUP(E1228,[1]LL_Hub!$A$1:$B$13,2,FALSE)</f>
        <v>New York</v>
      </c>
      <c r="K1228" t="str">
        <f>VLOOKUP(D1228,'[2]product Table data'!$A$2:$B$12,2,FALSE)</f>
        <v>Female</v>
      </c>
      <c r="L1228" t="str">
        <f>VLOOKUP($D1228,'[2]product Table data'!$A$2:$G$12,L$1,FALSE)</f>
        <v>Winter Warmth</v>
      </c>
      <c r="M1228" t="str">
        <f>VLOOKUP($D1228,'[2]product Table data'!$A$2:$G$12,M$1,FALSE)</f>
        <v>Romania</v>
      </c>
      <c r="N1228" t="str">
        <f>VLOOKUP($D1228,'[2]product Table data'!$A$2:$G$12,N$1,FALSE)</f>
        <v>Eastern Europe</v>
      </c>
      <c r="O1228">
        <f>VLOOKUP($D1228,'[2]product Table data'!$A$2:$G$12,O$1,FALSE)</f>
        <v>350</v>
      </c>
      <c r="P1228">
        <f>VLOOKUP($D1228,'[2]product Table data'!$A$2:$G$12,P$1,FALSE)</f>
        <v>450</v>
      </c>
      <c r="Q1228">
        <f t="shared" si="95"/>
        <v>100</v>
      </c>
      <c r="R1228" t="str">
        <f t="shared" si="96"/>
        <v>-</v>
      </c>
      <c r="S1228" t="str">
        <f t="shared" si="97"/>
        <v>-</v>
      </c>
      <c r="T1228" t="str">
        <f t="shared" si="98"/>
        <v>-</v>
      </c>
      <c r="U1228" t="str">
        <f t="shared" si="99"/>
        <v>High Value</v>
      </c>
    </row>
    <row r="1229" spans="1:21" hidden="1" x14ac:dyDescent="0.2">
      <c r="A1229" s="2">
        <v>1227</v>
      </c>
      <c r="B1229" s="2" t="s">
        <v>9</v>
      </c>
      <c r="C1229" s="2" t="s">
        <v>1709</v>
      </c>
      <c r="D1229" s="2" t="s">
        <v>45</v>
      </c>
      <c r="E1229" s="2">
        <v>10001</v>
      </c>
      <c r="F1229" s="2" t="s">
        <v>42</v>
      </c>
      <c r="G1229" s="2" t="s">
        <v>36</v>
      </c>
      <c r="H1229" s="2">
        <v>1</v>
      </c>
      <c r="I1229" s="2" t="s">
        <v>17</v>
      </c>
      <c r="J1229" s="2" t="str">
        <f>VLOOKUP(E1229,[1]LL_Hub!$A$1:$B$13,2,FALSE)</f>
        <v>New York</v>
      </c>
      <c r="K1229" t="str">
        <f>VLOOKUP(D1229,'[2]product Table data'!$A$2:$B$12,2,FALSE)</f>
        <v>Female</v>
      </c>
      <c r="L1229" t="str">
        <f>VLOOKUP($D1229,'[2]product Table data'!$A$2:$G$12,L$1,FALSE)</f>
        <v>Winter Warmth</v>
      </c>
      <c r="M1229" t="str">
        <f>VLOOKUP($D1229,'[2]product Table data'!$A$2:$G$12,M$1,FALSE)</f>
        <v>Romania</v>
      </c>
      <c r="N1229" t="str">
        <f>VLOOKUP($D1229,'[2]product Table data'!$A$2:$G$12,N$1,FALSE)</f>
        <v>Eastern Europe</v>
      </c>
      <c r="O1229">
        <f>VLOOKUP($D1229,'[2]product Table data'!$A$2:$G$12,O$1,FALSE)</f>
        <v>350</v>
      </c>
      <c r="P1229">
        <f>VLOOKUP($D1229,'[2]product Table data'!$A$2:$G$12,P$1,FALSE)</f>
        <v>450</v>
      </c>
      <c r="Q1229">
        <f t="shared" si="95"/>
        <v>100</v>
      </c>
      <c r="R1229" t="str">
        <f t="shared" si="96"/>
        <v>-</v>
      </c>
      <c r="S1229" t="str">
        <f t="shared" si="97"/>
        <v>-</v>
      </c>
      <c r="T1229" t="str">
        <f t="shared" si="98"/>
        <v>-</v>
      </c>
      <c r="U1229" t="str">
        <f t="shared" si="99"/>
        <v>High Value</v>
      </c>
    </row>
    <row r="1230" spans="1:21" hidden="1" x14ac:dyDescent="0.2">
      <c r="A1230" s="2">
        <v>1228</v>
      </c>
      <c r="B1230" s="2" t="s">
        <v>9</v>
      </c>
      <c r="C1230" s="2" t="s">
        <v>1710</v>
      </c>
      <c r="D1230" s="2" t="s">
        <v>45</v>
      </c>
      <c r="E1230" s="2">
        <v>10001</v>
      </c>
      <c r="F1230" s="2" t="s">
        <v>42</v>
      </c>
      <c r="G1230" s="2" t="s">
        <v>36</v>
      </c>
      <c r="H1230" s="2">
        <v>1</v>
      </c>
      <c r="I1230" s="2" t="s">
        <v>17</v>
      </c>
      <c r="J1230" s="2" t="str">
        <f>VLOOKUP(E1230,[1]LL_Hub!$A$1:$B$13,2,FALSE)</f>
        <v>New York</v>
      </c>
      <c r="K1230" t="str">
        <f>VLOOKUP(D1230,'[2]product Table data'!$A$2:$B$12,2,FALSE)</f>
        <v>Female</v>
      </c>
      <c r="L1230" t="str">
        <f>VLOOKUP($D1230,'[2]product Table data'!$A$2:$G$12,L$1,FALSE)</f>
        <v>Winter Warmth</v>
      </c>
      <c r="M1230" t="str">
        <f>VLOOKUP($D1230,'[2]product Table data'!$A$2:$G$12,M$1,FALSE)</f>
        <v>Romania</v>
      </c>
      <c r="N1230" t="str">
        <f>VLOOKUP($D1230,'[2]product Table data'!$A$2:$G$12,N$1,FALSE)</f>
        <v>Eastern Europe</v>
      </c>
      <c r="O1230">
        <f>VLOOKUP($D1230,'[2]product Table data'!$A$2:$G$12,O$1,FALSE)</f>
        <v>350</v>
      </c>
      <c r="P1230">
        <f>VLOOKUP($D1230,'[2]product Table data'!$A$2:$G$12,P$1,FALSE)</f>
        <v>450</v>
      </c>
      <c r="Q1230">
        <f t="shared" si="95"/>
        <v>100</v>
      </c>
      <c r="R1230" t="str">
        <f t="shared" si="96"/>
        <v>-</v>
      </c>
      <c r="S1230" t="str">
        <f t="shared" si="97"/>
        <v>-</v>
      </c>
      <c r="T1230" t="str">
        <f t="shared" si="98"/>
        <v>-</v>
      </c>
      <c r="U1230" t="str">
        <f t="shared" si="99"/>
        <v>High Value</v>
      </c>
    </row>
    <row r="1231" spans="1:21" hidden="1" x14ac:dyDescent="0.2">
      <c r="A1231" s="2">
        <v>1229</v>
      </c>
      <c r="B1231" s="2" t="s">
        <v>9</v>
      </c>
      <c r="C1231" s="2" t="s">
        <v>1711</v>
      </c>
      <c r="D1231" s="2" t="s">
        <v>45</v>
      </c>
      <c r="E1231" s="2">
        <v>10001</v>
      </c>
      <c r="F1231" s="2" t="s">
        <v>42</v>
      </c>
      <c r="G1231" s="2" t="s">
        <v>36</v>
      </c>
      <c r="H1231" s="2">
        <v>1</v>
      </c>
      <c r="I1231" s="2" t="s">
        <v>17</v>
      </c>
      <c r="J1231" s="2" t="str">
        <f>VLOOKUP(E1231,[1]LL_Hub!$A$1:$B$13,2,FALSE)</f>
        <v>New York</v>
      </c>
      <c r="K1231" t="str">
        <f>VLOOKUP(D1231,'[2]product Table data'!$A$2:$B$12,2,FALSE)</f>
        <v>Female</v>
      </c>
      <c r="L1231" t="str">
        <f>VLOOKUP($D1231,'[2]product Table data'!$A$2:$G$12,L$1,FALSE)</f>
        <v>Winter Warmth</v>
      </c>
      <c r="M1231" t="str">
        <f>VLOOKUP($D1231,'[2]product Table data'!$A$2:$G$12,M$1,FALSE)</f>
        <v>Romania</v>
      </c>
      <c r="N1231" t="str">
        <f>VLOOKUP($D1231,'[2]product Table data'!$A$2:$G$12,N$1,FALSE)</f>
        <v>Eastern Europe</v>
      </c>
      <c r="O1231">
        <f>VLOOKUP($D1231,'[2]product Table data'!$A$2:$G$12,O$1,FALSE)</f>
        <v>350</v>
      </c>
      <c r="P1231">
        <f>VLOOKUP($D1231,'[2]product Table data'!$A$2:$G$12,P$1,FALSE)</f>
        <v>450</v>
      </c>
      <c r="Q1231">
        <f t="shared" si="95"/>
        <v>100</v>
      </c>
      <c r="R1231" t="str">
        <f t="shared" si="96"/>
        <v>-</v>
      </c>
      <c r="S1231" t="str">
        <f t="shared" si="97"/>
        <v>-</v>
      </c>
      <c r="T1231" t="str">
        <f t="shared" si="98"/>
        <v>-</v>
      </c>
      <c r="U1231" t="str">
        <f t="shared" si="99"/>
        <v>High Value</v>
      </c>
    </row>
    <row r="1232" spans="1:21" hidden="1" x14ac:dyDescent="0.2">
      <c r="A1232" s="2">
        <v>1230</v>
      </c>
      <c r="B1232" s="2" t="s">
        <v>9</v>
      </c>
      <c r="C1232" s="2" t="s">
        <v>1712</v>
      </c>
      <c r="D1232" s="2" t="s">
        <v>45</v>
      </c>
      <c r="E1232" s="2">
        <v>10001</v>
      </c>
      <c r="F1232" s="2" t="s">
        <v>42</v>
      </c>
      <c r="G1232" s="2" t="s">
        <v>36</v>
      </c>
      <c r="H1232" s="2">
        <v>1</v>
      </c>
      <c r="I1232" s="2" t="s">
        <v>17</v>
      </c>
      <c r="J1232" s="2" t="str">
        <f>VLOOKUP(E1232,[1]LL_Hub!$A$1:$B$13,2,FALSE)</f>
        <v>New York</v>
      </c>
      <c r="K1232" t="str">
        <f>VLOOKUP(D1232,'[2]product Table data'!$A$2:$B$12,2,FALSE)</f>
        <v>Female</v>
      </c>
      <c r="L1232" t="str">
        <f>VLOOKUP($D1232,'[2]product Table data'!$A$2:$G$12,L$1,FALSE)</f>
        <v>Winter Warmth</v>
      </c>
      <c r="M1232" t="str">
        <f>VLOOKUP($D1232,'[2]product Table data'!$A$2:$G$12,M$1,FALSE)</f>
        <v>Romania</v>
      </c>
      <c r="N1232" t="str">
        <f>VLOOKUP($D1232,'[2]product Table data'!$A$2:$G$12,N$1,FALSE)</f>
        <v>Eastern Europe</v>
      </c>
      <c r="O1232">
        <f>VLOOKUP($D1232,'[2]product Table data'!$A$2:$G$12,O$1,FALSE)</f>
        <v>350</v>
      </c>
      <c r="P1232">
        <f>VLOOKUP($D1232,'[2]product Table data'!$A$2:$G$12,P$1,FALSE)</f>
        <v>450</v>
      </c>
      <c r="Q1232">
        <f t="shared" si="95"/>
        <v>100</v>
      </c>
      <c r="R1232" t="str">
        <f t="shared" si="96"/>
        <v>-</v>
      </c>
      <c r="S1232" t="str">
        <f t="shared" si="97"/>
        <v>-</v>
      </c>
      <c r="T1232" t="str">
        <f t="shared" si="98"/>
        <v>-</v>
      </c>
      <c r="U1232" t="str">
        <f t="shared" si="99"/>
        <v>High Value</v>
      </c>
    </row>
    <row r="1233" spans="1:21" hidden="1" x14ac:dyDescent="0.2">
      <c r="A1233" s="2">
        <v>1231</v>
      </c>
      <c r="B1233" s="2" t="s">
        <v>9</v>
      </c>
      <c r="C1233" s="2" t="s">
        <v>1713</v>
      </c>
      <c r="D1233" s="2" t="s">
        <v>45</v>
      </c>
      <c r="E1233" s="2">
        <v>10001</v>
      </c>
      <c r="F1233" s="2" t="s">
        <v>42</v>
      </c>
      <c r="G1233" s="2" t="s">
        <v>36</v>
      </c>
      <c r="H1233" s="2">
        <v>1</v>
      </c>
      <c r="I1233" s="2" t="s">
        <v>17</v>
      </c>
      <c r="J1233" s="2" t="str">
        <f>VLOOKUP(E1233,[1]LL_Hub!$A$1:$B$13,2,FALSE)</f>
        <v>New York</v>
      </c>
      <c r="K1233" t="str">
        <f>VLOOKUP(D1233,'[2]product Table data'!$A$2:$B$12,2,FALSE)</f>
        <v>Female</v>
      </c>
      <c r="L1233" t="str">
        <f>VLOOKUP($D1233,'[2]product Table data'!$A$2:$G$12,L$1,FALSE)</f>
        <v>Winter Warmth</v>
      </c>
      <c r="M1233" t="str">
        <f>VLOOKUP($D1233,'[2]product Table data'!$A$2:$G$12,M$1,FALSE)</f>
        <v>Romania</v>
      </c>
      <c r="N1233" t="str">
        <f>VLOOKUP($D1233,'[2]product Table data'!$A$2:$G$12,N$1,FALSE)</f>
        <v>Eastern Europe</v>
      </c>
      <c r="O1233">
        <f>VLOOKUP($D1233,'[2]product Table data'!$A$2:$G$12,O$1,FALSE)</f>
        <v>350</v>
      </c>
      <c r="P1233">
        <f>VLOOKUP($D1233,'[2]product Table data'!$A$2:$G$12,P$1,FALSE)</f>
        <v>450</v>
      </c>
      <c r="Q1233">
        <f t="shared" si="95"/>
        <v>100</v>
      </c>
      <c r="R1233" t="str">
        <f t="shared" si="96"/>
        <v>-</v>
      </c>
      <c r="S1233" t="str">
        <f t="shared" si="97"/>
        <v>-</v>
      </c>
      <c r="T1233" t="str">
        <f t="shared" si="98"/>
        <v>-</v>
      </c>
      <c r="U1233" t="str">
        <f t="shared" si="99"/>
        <v>High Value</v>
      </c>
    </row>
    <row r="1234" spans="1:21" hidden="1" x14ac:dyDescent="0.2">
      <c r="A1234" s="2">
        <v>1232</v>
      </c>
      <c r="B1234" s="2" t="s">
        <v>9</v>
      </c>
      <c r="C1234" s="2" t="s">
        <v>1714</v>
      </c>
      <c r="D1234" s="2" t="s">
        <v>45</v>
      </c>
      <c r="E1234" s="2">
        <v>10001</v>
      </c>
      <c r="F1234" s="2" t="s">
        <v>42</v>
      </c>
      <c r="G1234" s="2" t="s">
        <v>36</v>
      </c>
      <c r="H1234" s="2">
        <v>1</v>
      </c>
      <c r="I1234" s="2" t="s">
        <v>17</v>
      </c>
      <c r="J1234" s="2" t="str">
        <f>VLOOKUP(E1234,[1]LL_Hub!$A$1:$B$13,2,FALSE)</f>
        <v>New York</v>
      </c>
      <c r="K1234" t="str">
        <f>VLOOKUP(D1234,'[2]product Table data'!$A$2:$B$12,2,FALSE)</f>
        <v>Female</v>
      </c>
      <c r="L1234" t="str">
        <f>VLOOKUP($D1234,'[2]product Table data'!$A$2:$G$12,L$1,FALSE)</f>
        <v>Winter Warmth</v>
      </c>
      <c r="M1234" t="str">
        <f>VLOOKUP($D1234,'[2]product Table data'!$A$2:$G$12,M$1,FALSE)</f>
        <v>Romania</v>
      </c>
      <c r="N1234" t="str">
        <f>VLOOKUP($D1234,'[2]product Table data'!$A$2:$G$12,N$1,FALSE)</f>
        <v>Eastern Europe</v>
      </c>
      <c r="O1234">
        <f>VLOOKUP($D1234,'[2]product Table data'!$A$2:$G$12,O$1,FALSE)</f>
        <v>350</v>
      </c>
      <c r="P1234">
        <f>VLOOKUP($D1234,'[2]product Table data'!$A$2:$G$12,P$1,FALSE)</f>
        <v>450</v>
      </c>
      <c r="Q1234">
        <f t="shared" si="95"/>
        <v>100</v>
      </c>
      <c r="R1234" t="str">
        <f t="shared" si="96"/>
        <v>-</v>
      </c>
      <c r="S1234" t="str">
        <f t="shared" si="97"/>
        <v>-</v>
      </c>
      <c r="T1234" t="str">
        <f t="shared" si="98"/>
        <v>-</v>
      </c>
      <c r="U1234" t="str">
        <f t="shared" si="99"/>
        <v>High Value</v>
      </c>
    </row>
    <row r="1235" spans="1:21" hidden="1" x14ac:dyDescent="0.2">
      <c r="A1235" s="2">
        <v>1233</v>
      </c>
      <c r="B1235" s="2" t="s">
        <v>9</v>
      </c>
      <c r="C1235" s="2" t="s">
        <v>1715</v>
      </c>
      <c r="D1235" s="2" t="s">
        <v>45</v>
      </c>
      <c r="E1235" s="2">
        <v>10001</v>
      </c>
      <c r="F1235" s="2" t="s">
        <v>42</v>
      </c>
      <c r="G1235" s="2" t="s">
        <v>36</v>
      </c>
      <c r="H1235" s="2">
        <v>1</v>
      </c>
      <c r="I1235" s="2" t="s">
        <v>17</v>
      </c>
      <c r="J1235" s="2" t="str">
        <f>VLOOKUP(E1235,[1]LL_Hub!$A$1:$B$13,2,FALSE)</f>
        <v>New York</v>
      </c>
      <c r="K1235" t="str">
        <f>VLOOKUP(D1235,'[2]product Table data'!$A$2:$B$12,2,FALSE)</f>
        <v>Female</v>
      </c>
      <c r="L1235" t="str">
        <f>VLOOKUP($D1235,'[2]product Table data'!$A$2:$G$12,L$1,FALSE)</f>
        <v>Winter Warmth</v>
      </c>
      <c r="M1235" t="str">
        <f>VLOOKUP($D1235,'[2]product Table data'!$A$2:$G$12,M$1,FALSE)</f>
        <v>Romania</v>
      </c>
      <c r="N1235" t="str">
        <f>VLOOKUP($D1235,'[2]product Table data'!$A$2:$G$12,N$1,FALSE)</f>
        <v>Eastern Europe</v>
      </c>
      <c r="O1235">
        <f>VLOOKUP($D1235,'[2]product Table data'!$A$2:$G$12,O$1,FALSE)</f>
        <v>350</v>
      </c>
      <c r="P1235">
        <f>VLOOKUP($D1235,'[2]product Table data'!$A$2:$G$12,P$1,FALSE)</f>
        <v>450</v>
      </c>
      <c r="Q1235">
        <f t="shared" si="95"/>
        <v>100</v>
      </c>
      <c r="R1235" t="str">
        <f t="shared" si="96"/>
        <v>-</v>
      </c>
      <c r="S1235" t="str">
        <f t="shared" si="97"/>
        <v>-</v>
      </c>
      <c r="T1235" t="str">
        <f t="shared" si="98"/>
        <v>-</v>
      </c>
      <c r="U1235" t="str">
        <f t="shared" si="99"/>
        <v>High Value</v>
      </c>
    </row>
    <row r="1236" spans="1:21" hidden="1" x14ac:dyDescent="0.2">
      <c r="A1236" s="2">
        <v>1234</v>
      </c>
      <c r="B1236" s="2" t="s">
        <v>9</v>
      </c>
      <c r="C1236" s="2" t="s">
        <v>1716</v>
      </c>
      <c r="D1236" s="2" t="s">
        <v>505</v>
      </c>
      <c r="E1236" s="2">
        <v>10001</v>
      </c>
      <c r="F1236" s="2" t="s">
        <v>1260</v>
      </c>
      <c r="G1236" s="2" t="s">
        <v>36</v>
      </c>
      <c r="H1236" s="2">
        <v>1</v>
      </c>
      <c r="I1236" s="2" t="s">
        <v>17</v>
      </c>
      <c r="J1236" s="2" t="str">
        <f>VLOOKUP(E1236,[1]LL_Hub!$A$1:$B$13,2,FALSE)</f>
        <v>New York</v>
      </c>
      <c r="K1236" t="str">
        <f>VLOOKUP(D1236,'[2]product Table data'!$A$2:$B$12,2,FALSE)</f>
        <v>Female</v>
      </c>
      <c r="L1236" t="str">
        <f>VLOOKUP($D1236,'[2]product Table data'!$A$2:$G$12,L$1,FALSE)</f>
        <v>Casual n Light</v>
      </c>
      <c r="M1236" t="str">
        <f>VLOOKUP($D1236,'[2]product Table data'!$A$2:$G$12,M$1,FALSE)</f>
        <v>Honduras</v>
      </c>
      <c r="N1236" t="str">
        <f>VLOOKUP($D1236,'[2]product Table data'!$A$2:$G$12,N$1,FALSE)</f>
        <v>Central America</v>
      </c>
      <c r="O1236">
        <f>VLOOKUP($D1236,'[2]product Table data'!$A$2:$G$12,O$1,FALSE)</f>
        <v>30</v>
      </c>
      <c r="P1236">
        <f>VLOOKUP($D1236,'[2]product Table data'!$A$2:$G$12,P$1,FALSE)</f>
        <v>45</v>
      </c>
      <c r="Q1236">
        <f t="shared" si="95"/>
        <v>15</v>
      </c>
      <c r="R1236" t="str">
        <f t="shared" si="96"/>
        <v>-</v>
      </c>
      <c r="S1236" t="str">
        <f t="shared" si="97"/>
        <v>Style Risk</v>
      </c>
      <c r="T1236" t="str">
        <f t="shared" si="98"/>
        <v>-</v>
      </c>
      <c r="U1236" t="str">
        <f t="shared" si="99"/>
        <v>High Value</v>
      </c>
    </row>
    <row r="1237" spans="1:21" hidden="1" x14ac:dyDescent="0.2">
      <c r="A1237" s="2">
        <v>1235</v>
      </c>
      <c r="B1237" s="2" t="s">
        <v>9</v>
      </c>
      <c r="C1237" s="2" t="s">
        <v>1717</v>
      </c>
      <c r="D1237" s="2" t="s">
        <v>505</v>
      </c>
      <c r="E1237" s="2">
        <v>10001</v>
      </c>
      <c r="F1237" s="2" t="s">
        <v>1260</v>
      </c>
      <c r="G1237" s="2" t="s">
        <v>36</v>
      </c>
      <c r="H1237" s="2">
        <v>1</v>
      </c>
      <c r="I1237" s="2" t="s">
        <v>17</v>
      </c>
      <c r="J1237" s="2" t="str">
        <f>VLOOKUP(E1237,[1]LL_Hub!$A$1:$B$13,2,FALSE)</f>
        <v>New York</v>
      </c>
      <c r="K1237" t="str">
        <f>VLOOKUP(D1237,'[2]product Table data'!$A$2:$B$12,2,FALSE)</f>
        <v>Female</v>
      </c>
      <c r="L1237" t="str">
        <f>VLOOKUP($D1237,'[2]product Table data'!$A$2:$G$12,L$1,FALSE)</f>
        <v>Casual n Light</v>
      </c>
      <c r="M1237" t="str">
        <f>VLOOKUP($D1237,'[2]product Table data'!$A$2:$G$12,M$1,FALSE)</f>
        <v>Honduras</v>
      </c>
      <c r="N1237" t="str">
        <f>VLOOKUP($D1237,'[2]product Table data'!$A$2:$G$12,N$1,FALSE)</f>
        <v>Central America</v>
      </c>
      <c r="O1237">
        <f>VLOOKUP($D1237,'[2]product Table data'!$A$2:$G$12,O$1,FALSE)</f>
        <v>30</v>
      </c>
      <c r="P1237">
        <f>VLOOKUP($D1237,'[2]product Table data'!$A$2:$G$12,P$1,FALSE)</f>
        <v>45</v>
      </c>
      <c r="Q1237">
        <f t="shared" si="95"/>
        <v>15</v>
      </c>
      <c r="R1237" t="str">
        <f t="shared" si="96"/>
        <v>-</v>
      </c>
      <c r="S1237" t="str">
        <f t="shared" si="97"/>
        <v>Style Risk</v>
      </c>
      <c r="T1237" t="str">
        <f t="shared" si="98"/>
        <v>-</v>
      </c>
      <c r="U1237" t="str">
        <f t="shared" si="99"/>
        <v>High Value</v>
      </c>
    </row>
    <row r="1238" spans="1:21" hidden="1" x14ac:dyDescent="0.2">
      <c r="A1238" s="2">
        <v>1236</v>
      </c>
      <c r="B1238" s="2" t="s">
        <v>9</v>
      </c>
      <c r="C1238" s="2" t="s">
        <v>1718</v>
      </c>
      <c r="D1238" s="2" t="s">
        <v>505</v>
      </c>
      <c r="E1238" s="2">
        <v>10001</v>
      </c>
      <c r="F1238" s="2" t="s">
        <v>1260</v>
      </c>
      <c r="G1238" s="2" t="s">
        <v>36</v>
      </c>
      <c r="H1238" s="2">
        <v>1</v>
      </c>
      <c r="I1238" s="2" t="s">
        <v>17</v>
      </c>
      <c r="J1238" s="2" t="str">
        <f>VLOOKUP(E1238,[1]LL_Hub!$A$1:$B$13,2,FALSE)</f>
        <v>New York</v>
      </c>
      <c r="K1238" t="str">
        <f>VLOOKUP(D1238,'[2]product Table data'!$A$2:$B$12,2,FALSE)</f>
        <v>Female</v>
      </c>
      <c r="L1238" t="str">
        <f>VLOOKUP($D1238,'[2]product Table data'!$A$2:$G$12,L$1,FALSE)</f>
        <v>Casual n Light</v>
      </c>
      <c r="M1238" t="str">
        <f>VLOOKUP($D1238,'[2]product Table data'!$A$2:$G$12,M$1,FALSE)</f>
        <v>Honduras</v>
      </c>
      <c r="N1238" t="str">
        <f>VLOOKUP($D1238,'[2]product Table data'!$A$2:$G$12,N$1,FALSE)</f>
        <v>Central America</v>
      </c>
      <c r="O1238">
        <f>VLOOKUP($D1238,'[2]product Table data'!$A$2:$G$12,O$1,FALSE)</f>
        <v>30</v>
      </c>
      <c r="P1238">
        <f>VLOOKUP($D1238,'[2]product Table data'!$A$2:$G$12,P$1,FALSE)</f>
        <v>45</v>
      </c>
      <c r="Q1238">
        <f t="shared" si="95"/>
        <v>15</v>
      </c>
      <c r="R1238" t="str">
        <f t="shared" si="96"/>
        <v>-</v>
      </c>
      <c r="S1238" t="str">
        <f t="shared" si="97"/>
        <v>Style Risk</v>
      </c>
      <c r="T1238" t="str">
        <f t="shared" si="98"/>
        <v>-</v>
      </c>
      <c r="U1238" t="str">
        <f t="shared" si="99"/>
        <v>High Value</v>
      </c>
    </row>
    <row r="1239" spans="1:21" hidden="1" x14ac:dyDescent="0.2">
      <c r="A1239" s="2">
        <v>1237</v>
      </c>
      <c r="B1239" s="2" t="s">
        <v>9</v>
      </c>
      <c r="C1239" s="2" t="s">
        <v>1719</v>
      </c>
      <c r="D1239" s="2" t="s">
        <v>505</v>
      </c>
      <c r="E1239" s="2">
        <v>10001</v>
      </c>
      <c r="F1239" s="2" t="s">
        <v>1260</v>
      </c>
      <c r="G1239" s="2" t="s">
        <v>36</v>
      </c>
      <c r="H1239" s="2">
        <v>1</v>
      </c>
      <c r="I1239" s="2" t="s">
        <v>17</v>
      </c>
      <c r="J1239" s="2" t="str">
        <f>VLOOKUP(E1239,[1]LL_Hub!$A$1:$B$13,2,FALSE)</f>
        <v>New York</v>
      </c>
      <c r="K1239" t="str">
        <f>VLOOKUP(D1239,'[2]product Table data'!$A$2:$B$12,2,FALSE)</f>
        <v>Female</v>
      </c>
      <c r="L1239" t="str">
        <f>VLOOKUP($D1239,'[2]product Table data'!$A$2:$G$12,L$1,FALSE)</f>
        <v>Casual n Light</v>
      </c>
      <c r="M1239" t="str">
        <f>VLOOKUP($D1239,'[2]product Table data'!$A$2:$G$12,M$1,FALSE)</f>
        <v>Honduras</v>
      </c>
      <c r="N1239" t="str">
        <f>VLOOKUP($D1239,'[2]product Table data'!$A$2:$G$12,N$1,FALSE)</f>
        <v>Central America</v>
      </c>
      <c r="O1239">
        <f>VLOOKUP($D1239,'[2]product Table data'!$A$2:$G$12,O$1,FALSE)</f>
        <v>30</v>
      </c>
      <c r="P1239">
        <f>VLOOKUP($D1239,'[2]product Table data'!$A$2:$G$12,P$1,FALSE)</f>
        <v>45</v>
      </c>
      <c r="Q1239">
        <f t="shared" si="95"/>
        <v>15</v>
      </c>
      <c r="R1239" t="str">
        <f t="shared" si="96"/>
        <v>-</v>
      </c>
      <c r="S1239" t="str">
        <f t="shared" si="97"/>
        <v>Style Risk</v>
      </c>
      <c r="T1239" t="str">
        <f t="shared" si="98"/>
        <v>-</v>
      </c>
      <c r="U1239" t="str">
        <f t="shared" si="99"/>
        <v>High Value</v>
      </c>
    </row>
    <row r="1240" spans="1:21" hidden="1" x14ac:dyDescent="0.2">
      <c r="A1240" s="2">
        <v>1238</v>
      </c>
      <c r="B1240" s="2" t="s">
        <v>9</v>
      </c>
      <c r="C1240" s="2" t="s">
        <v>1720</v>
      </c>
      <c r="D1240" s="2" t="s">
        <v>505</v>
      </c>
      <c r="E1240" s="2">
        <v>10001</v>
      </c>
      <c r="F1240" s="2" t="s">
        <v>1260</v>
      </c>
      <c r="G1240" s="2" t="s">
        <v>36</v>
      </c>
      <c r="H1240" s="2">
        <v>1</v>
      </c>
      <c r="I1240" s="2" t="s">
        <v>17</v>
      </c>
      <c r="J1240" s="2" t="str">
        <f>VLOOKUP(E1240,[1]LL_Hub!$A$1:$B$13,2,FALSE)</f>
        <v>New York</v>
      </c>
      <c r="K1240" t="str">
        <f>VLOOKUP(D1240,'[2]product Table data'!$A$2:$B$12,2,FALSE)</f>
        <v>Female</v>
      </c>
      <c r="L1240" t="str">
        <f>VLOOKUP($D1240,'[2]product Table data'!$A$2:$G$12,L$1,FALSE)</f>
        <v>Casual n Light</v>
      </c>
      <c r="M1240" t="str">
        <f>VLOOKUP($D1240,'[2]product Table data'!$A$2:$G$12,M$1,FALSE)</f>
        <v>Honduras</v>
      </c>
      <c r="N1240" t="str">
        <f>VLOOKUP($D1240,'[2]product Table data'!$A$2:$G$12,N$1,FALSE)</f>
        <v>Central America</v>
      </c>
      <c r="O1240">
        <f>VLOOKUP($D1240,'[2]product Table data'!$A$2:$G$12,O$1,FALSE)</f>
        <v>30</v>
      </c>
      <c r="P1240">
        <f>VLOOKUP($D1240,'[2]product Table data'!$A$2:$G$12,P$1,FALSE)</f>
        <v>45</v>
      </c>
      <c r="Q1240">
        <f t="shared" si="95"/>
        <v>15</v>
      </c>
      <c r="R1240" t="str">
        <f t="shared" si="96"/>
        <v>-</v>
      </c>
      <c r="S1240" t="str">
        <f t="shared" si="97"/>
        <v>Style Risk</v>
      </c>
      <c r="T1240" t="str">
        <f t="shared" si="98"/>
        <v>-</v>
      </c>
      <c r="U1240" t="str">
        <f t="shared" si="99"/>
        <v>High Value</v>
      </c>
    </row>
    <row r="1241" spans="1:21" hidden="1" x14ac:dyDescent="0.2">
      <c r="A1241" s="2">
        <v>1239</v>
      </c>
      <c r="B1241" s="2" t="s">
        <v>9</v>
      </c>
      <c r="C1241" s="2" t="s">
        <v>1721</v>
      </c>
      <c r="D1241" s="2" t="s">
        <v>505</v>
      </c>
      <c r="E1241" s="2">
        <v>10001</v>
      </c>
      <c r="F1241" s="2" t="s">
        <v>1260</v>
      </c>
      <c r="G1241" s="2" t="s">
        <v>36</v>
      </c>
      <c r="H1241" s="2">
        <v>1</v>
      </c>
      <c r="I1241" s="2" t="s">
        <v>17</v>
      </c>
      <c r="J1241" s="2" t="str">
        <f>VLOOKUP(E1241,[1]LL_Hub!$A$1:$B$13,2,FALSE)</f>
        <v>New York</v>
      </c>
      <c r="K1241" t="str">
        <f>VLOOKUP(D1241,'[2]product Table data'!$A$2:$B$12,2,FALSE)</f>
        <v>Female</v>
      </c>
      <c r="L1241" t="str">
        <f>VLOOKUP($D1241,'[2]product Table data'!$A$2:$G$12,L$1,FALSE)</f>
        <v>Casual n Light</v>
      </c>
      <c r="M1241" t="str">
        <f>VLOOKUP($D1241,'[2]product Table data'!$A$2:$G$12,M$1,FALSE)</f>
        <v>Honduras</v>
      </c>
      <c r="N1241" t="str">
        <f>VLOOKUP($D1241,'[2]product Table data'!$A$2:$G$12,N$1,FALSE)</f>
        <v>Central America</v>
      </c>
      <c r="O1241">
        <f>VLOOKUP($D1241,'[2]product Table data'!$A$2:$G$12,O$1,FALSE)</f>
        <v>30</v>
      </c>
      <c r="P1241">
        <f>VLOOKUP($D1241,'[2]product Table data'!$A$2:$G$12,P$1,FALSE)</f>
        <v>45</v>
      </c>
      <c r="Q1241">
        <f t="shared" si="95"/>
        <v>15</v>
      </c>
      <c r="R1241" t="str">
        <f t="shared" si="96"/>
        <v>-</v>
      </c>
      <c r="S1241" t="str">
        <f t="shared" si="97"/>
        <v>Style Risk</v>
      </c>
      <c r="T1241" t="str">
        <f t="shared" si="98"/>
        <v>-</v>
      </c>
      <c r="U1241" t="str">
        <f t="shared" si="99"/>
        <v>High Value</v>
      </c>
    </row>
    <row r="1242" spans="1:21" hidden="1" x14ac:dyDescent="0.2">
      <c r="A1242" s="2">
        <v>1240</v>
      </c>
      <c r="B1242" s="2" t="s">
        <v>9</v>
      </c>
      <c r="C1242" s="2" t="s">
        <v>1722</v>
      </c>
      <c r="D1242" s="2" t="s">
        <v>505</v>
      </c>
      <c r="E1242" s="2">
        <v>10001</v>
      </c>
      <c r="F1242" s="2" t="s">
        <v>1260</v>
      </c>
      <c r="G1242" s="2" t="s">
        <v>36</v>
      </c>
      <c r="H1242" s="2">
        <v>1</v>
      </c>
      <c r="I1242" s="2" t="s">
        <v>17</v>
      </c>
      <c r="J1242" s="2" t="str">
        <f>VLOOKUP(E1242,[1]LL_Hub!$A$1:$B$13,2,FALSE)</f>
        <v>New York</v>
      </c>
      <c r="K1242" t="str">
        <f>VLOOKUP(D1242,'[2]product Table data'!$A$2:$B$12,2,FALSE)</f>
        <v>Female</v>
      </c>
      <c r="L1242" t="str">
        <f>VLOOKUP($D1242,'[2]product Table data'!$A$2:$G$12,L$1,FALSE)</f>
        <v>Casual n Light</v>
      </c>
      <c r="M1242" t="str">
        <f>VLOOKUP($D1242,'[2]product Table data'!$A$2:$G$12,M$1,FALSE)</f>
        <v>Honduras</v>
      </c>
      <c r="N1242" t="str">
        <f>VLOOKUP($D1242,'[2]product Table data'!$A$2:$G$12,N$1,FALSE)</f>
        <v>Central America</v>
      </c>
      <c r="O1242">
        <f>VLOOKUP($D1242,'[2]product Table data'!$A$2:$G$12,O$1,FALSE)</f>
        <v>30</v>
      </c>
      <c r="P1242">
        <f>VLOOKUP($D1242,'[2]product Table data'!$A$2:$G$12,P$1,FALSE)</f>
        <v>45</v>
      </c>
      <c r="Q1242">
        <f t="shared" si="95"/>
        <v>15</v>
      </c>
      <c r="R1242" t="str">
        <f t="shared" si="96"/>
        <v>-</v>
      </c>
      <c r="S1242" t="str">
        <f t="shared" si="97"/>
        <v>Style Risk</v>
      </c>
      <c r="T1242" t="str">
        <f t="shared" si="98"/>
        <v>-</v>
      </c>
      <c r="U1242" t="str">
        <f t="shared" si="99"/>
        <v>High Value</v>
      </c>
    </row>
    <row r="1243" spans="1:21" hidden="1" x14ac:dyDescent="0.2">
      <c r="A1243" s="2">
        <v>1241</v>
      </c>
      <c r="B1243" s="2" t="s">
        <v>9</v>
      </c>
      <c r="C1243" s="2" t="s">
        <v>1723</v>
      </c>
      <c r="D1243" s="2" t="s">
        <v>505</v>
      </c>
      <c r="E1243" s="2">
        <v>10001</v>
      </c>
      <c r="F1243" s="2" t="s">
        <v>1260</v>
      </c>
      <c r="G1243" s="2" t="s">
        <v>36</v>
      </c>
      <c r="H1243" s="2">
        <v>1</v>
      </c>
      <c r="I1243" s="2" t="s">
        <v>17</v>
      </c>
      <c r="J1243" s="2" t="str">
        <f>VLOOKUP(E1243,[1]LL_Hub!$A$1:$B$13,2,FALSE)</f>
        <v>New York</v>
      </c>
      <c r="K1243" t="str">
        <f>VLOOKUP(D1243,'[2]product Table data'!$A$2:$B$12,2,FALSE)</f>
        <v>Female</v>
      </c>
      <c r="L1243" t="str">
        <f>VLOOKUP($D1243,'[2]product Table data'!$A$2:$G$12,L$1,FALSE)</f>
        <v>Casual n Light</v>
      </c>
      <c r="M1243" t="str">
        <f>VLOOKUP($D1243,'[2]product Table data'!$A$2:$G$12,M$1,FALSE)</f>
        <v>Honduras</v>
      </c>
      <c r="N1243" t="str">
        <f>VLOOKUP($D1243,'[2]product Table data'!$A$2:$G$12,N$1,FALSE)</f>
        <v>Central America</v>
      </c>
      <c r="O1243">
        <f>VLOOKUP($D1243,'[2]product Table data'!$A$2:$G$12,O$1,FALSE)</f>
        <v>30</v>
      </c>
      <c r="P1243">
        <f>VLOOKUP($D1243,'[2]product Table data'!$A$2:$G$12,P$1,FALSE)</f>
        <v>45</v>
      </c>
      <c r="Q1243">
        <f t="shared" si="95"/>
        <v>15</v>
      </c>
      <c r="R1243" t="str">
        <f t="shared" si="96"/>
        <v>-</v>
      </c>
      <c r="S1243" t="str">
        <f t="shared" si="97"/>
        <v>Style Risk</v>
      </c>
      <c r="T1243" t="str">
        <f t="shared" si="98"/>
        <v>-</v>
      </c>
      <c r="U1243" t="str">
        <f t="shared" si="99"/>
        <v>High Value</v>
      </c>
    </row>
    <row r="1244" spans="1:21" hidden="1" x14ac:dyDescent="0.2">
      <c r="A1244" s="2">
        <v>1242</v>
      </c>
      <c r="B1244" s="2" t="s">
        <v>9</v>
      </c>
      <c r="C1244" s="2" t="s">
        <v>1724</v>
      </c>
      <c r="D1244" s="2" t="s">
        <v>505</v>
      </c>
      <c r="E1244" s="2">
        <v>10001</v>
      </c>
      <c r="F1244" s="2" t="s">
        <v>1260</v>
      </c>
      <c r="G1244" s="2" t="s">
        <v>36</v>
      </c>
      <c r="H1244" s="2">
        <v>1</v>
      </c>
      <c r="I1244" s="2" t="s">
        <v>17</v>
      </c>
      <c r="J1244" s="2" t="str">
        <f>VLOOKUP(E1244,[1]LL_Hub!$A$1:$B$13,2,FALSE)</f>
        <v>New York</v>
      </c>
      <c r="K1244" t="str">
        <f>VLOOKUP(D1244,'[2]product Table data'!$A$2:$B$12,2,FALSE)</f>
        <v>Female</v>
      </c>
      <c r="L1244" t="str">
        <f>VLOOKUP($D1244,'[2]product Table data'!$A$2:$G$12,L$1,FALSE)</f>
        <v>Casual n Light</v>
      </c>
      <c r="M1244" t="str">
        <f>VLOOKUP($D1244,'[2]product Table data'!$A$2:$G$12,M$1,FALSE)</f>
        <v>Honduras</v>
      </c>
      <c r="N1244" t="str">
        <f>VLOOKUP($D1244,'[2]product Table data'!$A$2:$G$12,N$1,FALSE)</f>
        <v>Central America</v>
      </c>
      <c r="O1244">
        <f>VLOOKUP($D1244,'[2]product Table data'!$A$2:$G$12,O$1,FALSE)</f>
        <v>30</v>
      </c>
      <c r="P1244">
        <f>VLOOKUP($D1244,'[2]product Table data'!$A$2:$G$12,P$1,FALSE)</f>
        <v>45</v>
      </c>
      <c r="Q1244">
        <f t="shared" si="95"/>
        <v>15</v>
      </c>
      <c r="R1244" t="str">
        <f t="shared" si="96"/>
        <v>-</v>
      </c>
      <c r="S1244" t="str">
        <f t="shared" si="97"/>
        <v>Style Risk</v>
      </c>
      <c r="T1244" t="str">
        <f t="shared" si="98"/>
        <v>-</v>
      </c>
      <c r="U1244" t="str">
        <f t="shared" si="99"/>
        <v>High Value</v>
      </c>
    </row>
    <row r="1245" spans="1:21" hidden="1" x14ac:dyDescent="0.2">
      <c r="A1245" s="2">
        <v>1243</v>
      </c>
      <c r="B1245" s="2" t="s">
        <v>9</v>
      </c>
      <c r="C1245" s="2" t="s">
        <v>1725</v>
      </c>
      <c r="D1245" s="2" t="s">
        <v>505</v>
      </c>
      <c r="E1245" s="2">
        <v>10001</v>
      </c>
      <c r="F1245" s="2" t="s">
        <v>1260</v>
      </c>
      <c r="G1245" s="2" t="s">
        <v>36</v>
      </c>
      <c r="H1245" s="2">
        <v>1</v>
      </c>
      <c r="I1245" s="2" t="s">
        <v>17</v>
      </c>
      <c r="J1245" s="2" t="str">
        <f>VLOOKUP(E1245,[1]LL_Hub!$A$1:$B$13,2,FALSE)</f>
        <v>New York</v>
      </c>
      <c r="K1245" t="str">
        <f>VLOOKUP(D1245,'[2]product Table data'!$A$2:$B$12,2,FALSE)</f>
        <v>Female</v>
      </c>
      <c r="L1245" t="str">
        <f>VLOOKUP($D1245,'[2]product Table data'!$A$2:$G$12,L$1,FALSE)</f>
        <v>Casual n Light</v>
      </c>
      <c r="M1245" t="str">
        <f>VLOOKUP($D1245,'[2]product Table data'!$A$2:$G$12,M$1,FALSE)</f>
        <v>Honduras</v>
      </c>
      <c r="N1245" t="str">
        <f>VLOOKUP($D1245,'[2]product Table data'!$A$2:$G$12,N$1,FALSE)</f>
        <v>Central America</v>
      </c>
      <c r="O1245">
        <f>VLOOKUP($D1245,'[2]product Table data'!$A$2:$G$12,O$1,FALSE)</f>
        <v>30</v>
      </c>
      <c r="P1245">
        <f>VLOOKUP($D1245,'[2]product Table data'!$A$2:$G$12,P$1,FALSE)</f>
        <v>45</v>
      </c>
      <c r="Q1245">
        <f t="shared" si="95"/>
        <v>15</v>
      </c>
      <c r="R1245" t="str">
        <f t="shared" si="96"/>
        <v>-</v>
      </c>
      <c r="S1245" t="str">
        <f t="shared" si="97"/>
        <v>Style Risk</v>
      </c>
      <c r="T1245" t="str">
        <f t="shared" si="98"/>
        <v>-</v>
      </c>
      <c r="U1245" t="str">
        <f t="shared" si="99"/>
        <v>High Value</v>
      </c>
    </row>
    <row r="1246" spans="1:21" hidden="1" x14ac:dyDescent="0.2">
      <c r="A1246" s="2">
        <v>1244</v>
      </c>
      <c r="B1246" s="2" t="s">
        <v>9</v>
      </c>
      <c r="C1246" s="2" t="s">
        <v>1726</v>
      </c>
      <c r="D1246" s="2" t="s">
        <v>505</v>
      </c>
      <c r="E1246" s="2">
        <v>10001</v>
      </c>
      <c r="F1246" s="2" t="s">
        <v>1260</v>
      </c>
      <c r="G1246" s="2" t="s">
        <v>36</v>
      </c>
      <c r="H1246" s="2">
        <v>1</v>
      </c>
      <c r="I1246" s="2" t="s">
        <v>17</v>
      </c>
      <c r="J1246" s="2" t="str">
        <f>VLOOKUP(E1246,[1]LL_Hub!$A$1:$B$13,2,FALSE)</f>
        <v>New York</v>
      </c>
      <c r="K1246" t="str">
        <f>VLOOKUP(D1246,'[2]product Table data'!$A$2:$B$12,2,FALSE)</f>
        <v>Female</v>
      </c>
      <c r="L1246" t="str">
        <f>VLOOKUP($D1246,'[2]product Table data'!$A$2:$G$12,L$1,FALSE)</f>
        <v>Casual n Light</v>
      </c>
      <c r="M1246" t="str">
        <f>VLOOKUP($D1246,'[2]product Table data'!$A$2:$G$12,M$1,FALSE)</f>
        <v>Honduras</v>
      </c>
      <c r="N1246" t="str">
        <f>VLOOKUP($D1246,'[2]product Table data'!$A$2:$G$12,N$1,FALSE)</f>
        <v>Central America</v>
      </c>
      <c r="O1246">
        <f>VLOOKUP($D1246,'[2]product Table data'!$A$2:$G$12,O$1,FALSE)</f>
        <v>30</v>
      </c>
      <c r="P1246">
        <f>VLOOKUP($D1246,'[2]product Table data'!$A$2:$G$12,P$1,FALSE)</f>
        <v>45</v>
      </c>
      <c r="Q1246">
        <f t="shared" si="95"/>
        <v>15</v>
      </c>
      <c r="R1246" t="str">
        <f t="shared" si="96"/>
        <v>-</v>
      </c>
      <c r="S1246" t="str">
        <f t="shared" si="97"/>
        <v>Style Risk</v>
      </c>
      <c r="T1246" t="str">
        <f t="shared" si="98"/>
        <v>-</v>
      </c>
      <c r="U1246" t="str">
        <f t="shared" si="99"/>
        <v>High Value</v>
      </c>
    </row>
    <row r="1247" spans="1:21" hidden="1" x14ac:dyDescent="0.2">
      <c r="A1247" s="2">
        <v>1245</v>
      </c>
      <c r="B1247" s="2" t="s">
        <v>9</v>
      </c>
      <c r="C1247" s="2" t="s">
        <v>1727</v>
      </c>
      <c r="D1247" s="2" t="s">
        <v>505</v>
      </c>
      <c r="E1247" s="2">
        <v>10001</v>
      </c>
      <c r="F1247" s="2" t="s">
        <v>1260</v>
      </c>
      <c r="G1247" s="2" t="s">
        <v>36</v>
      </c>
      <c r="H1247" s="2">
        <v>1</v>
      </c>
      <c r="I1247" s="2" t="s">
        <v>17</v>
      </c>
      <c r="J1247" s="2" t="str">
        <f>VLOOKUP(E1247,[1]LL_Hub!$A$1:$B$13,2,FALSE)</f>
        <v>New York</v>
      </c>
      <c r="K1247" t="str">
        <f>VLOOKUP(D1247,'[2]product Table data'!$A$2:$B$12,2,FALSE)</f>
        <v>Female</v>
      </c>
      <c r="L1247" t="str">
        <f>VLOOKUP($D1247,'[2]product Table data'!$A$2:$G$12,L$1,FALSE)</f>
        <v>Casual n Light</v>
      </c>
      <c r="M1247" t="str">
        <f>VLOOKUP($D1247,'[2]product Table data'!$A$2:$G$12,M$1,FALSE)</f>
        <v>Honduras</v>
      </c>
      <c r="N1247" t="str">
        <f>VLOOKUP($D1247,'[2]product Table data'!$A$2:$G$12,N$1,FALSE)</f>
        <v>Central America</v>
      </c>
      <c r="O1247">
        <f>VLOOKUP($D1247,'[2]product Table data'!$A$2:$G$12,O$1,FALSE)</f>
        <v>30</v>
      </c>
      <c r="P1247">
        <f>VLOOKUP($D1247,'[2]product Table data'!$A$2:$G$12,P$1,FALSE)</f>
        <v>45</v>
      </c>
      <c r="Q1247">
        <f t="shared" si="95"/>
        <v>15</v>
      </c>
      <c r="R1247" t="str">
        <f t="shared" si="96"/>
        <v>-</v>
      </c>
      <c r="S1247" t="str">
        <f t="shared" si="97"/>
        <v>Style Risk</v>
      </c>
      <c r="T1247" t="str">
        <f t="shared" si="98"/>
        <v>-</v>
      </c>
      <c r="U1247" t="str">
        <f t="shared" si="99"/>
        <v>High Value</v>
      </c>
    </row>
    <row r="1248" spans="1:21" hidden="1" x14ac:dyDescent="0.2">
      <c r="A1248" s="2">
        <v>1246</v>
      </c>
      <c r="B1248" s="2" t="s">
        <v>9</v>
      </c>
      <c r="C1248" s="2" t="s">
        <v>1728</v>
      </c>
      <c r="D1248" s="2" t="s">
        <v>505</v>
      </c>
      <c r="E1248" s="2">
        <v>10001</v>
      </c>
      <c r="F1248" s="2" t="s">
        <v>1260</v>
      </c>
      <c r="G1248" s="2" t="s">
        <v>36</v>
      </c>
      <c r="H1248" s="2">
        <v>1</v>
      </c>
      <c r="I1248" s="2" t="s">
        <v>17</v>
      </c>
      <c r="J1248" s="2" t="str">
        <f>VLOOKUP(E1248,[1]LL_Hub!$A$1:$B$13,2,FALSE)</f>
        <v>New York</v>
      </c>
      <c r="K1248" t="str">
        <f>VLOOKUP(D1248,'[2]product Table data'!$A$2:$B$12,2,FALSE)</f>
        <v>Female</v>
      </c>
      <c r="L1248" t="str">
        <f>VLOOKUP($D1248,'[2]product Table data'!$A$2:$G$12,L$1,FALSE)</f>
        <v>Casual n Light</v>
      </c>
      <c r="M1248" t="str">
        <f>VLOOKUP($D1248,'[2]product Table data'!$A$2:$G$12,M$1,FALSE)</f>
        <v>Honduras</v>
      </c>
      <c r="N1248" t="str">
        <f>VLOOKUP($D1248,'[2]product Table data'!$A$2:$G$12,N$1,FALSE)</f>
        <v>Central America</v>
      </c>
      <c r="O1248">
        <f>VLOOKUP($D1248,'[2]product Table data'!$A$2:$G$12,O$1,FALSE)</f>
        <v>30</v>
      </c>
      <c r="P1248">
        <f>VLOOKUP($D1248,'[2]product Table data'!$A$2:$G$12,P$1,FALSE)</f>
        <v>45</v>
      </c>
      <c r="Q1248">
        <f t="shared" si="95"/>
        <v>15</v>
      </c>
      <c r="R1248" t="str">
        <f t="shared" si="96"/>
        <v>-</v>
      </c>
      <c r="S1248" t="str">
        <f t="shared" si="97"/>
        <v>Style Risk</v>
      </c>
      <c r="T1248" t="str">
        <f t="shared" si="98"/>
        <v>-</v>
      </c>
      <c r="U1248" t="str">
        <f t="shared" si="99"/>
        <v>High Value</v>
      </c>
    </row>
    <row r="1249" spans="1:21" hidden="1" x14ac:dyDescent="0.2">
      <c r="A1249" s="2">
        <v>1247</v>
      </c>
      <c r="B1249" s="2" t="s">
        <v>9</v>
      </c>
      <c r="C1249" s="2" t="s">
        <v>1729</v>
      </c>
      <c r="D1249" s="2" t="s">
        <v>505</v>
      </c>
      <c r="E1249" s="2">
        <v>10001</v>
      </c>
      <c r="F1249" s="2" t="s">
        <v>1260</v>
      </c>
      <c r="G1249" s="2" t="s">
        <v>36</v>
      </c>
      <c r="H1249" s="2">
        <v>1</v>
      </c>
      <c r="I1249" s="2" t="s">
        <v>17</v>
      </c>
      <c r="J1249" s="2" t="str">
        <f>VLOOKUP(E1249,[1]LL_Hub!$A$1:$B$13,2,FALSE)</f>
        <v>New York</v>
      </c>
      <c r="K1249" t="str">
        <f>VLOOKUP(D1249,'[2]product Table data'!$A$2:$B$12,2,FALSE)</f>
        <v>Female</v>
      </c>
      <c r="L1249" t="str">
        <f>VLOOKUP($D1249,'[2]product Table data'!$A$2:$G$12,L$1,FALSE)</f>
        <v>Casual n Light</v>
      </c>
      <c r="M1249" t="str">
        <f>VLOOKUP($D1249,'[2]product Table data'!$A$2:$G$12,M$1,FALSE)</f>
        <v>Honduras</v>
      </c>
      <c r="N1249" t="str">
        <f>VLOOKUP($D1249,'[2]product Table data'!$A$2:$G$12,N$1,FALSE)</f>
        <v>Central America</v>
      </c>
      <c r="O1249">
        <f>VLOOKUP($D1249,'[2]product Table data'!$A$2:$G$12,O$1,FALSE)</f>
        <v>30</v>
      </c>
      <c r="P1249">
        <f>VLOOKUP($D1249,'[2]product Table data'!$A$2:$G$12,P$1,FALSE)</f>
        <v>45</v>
      </c>
      <c r="Q1249">
        <f t="shared" si="95"/>
        <v>15</v>
      </c>
      <c r="R1249" t="str">
        <f t="shared" si="96"/>
        <v>-</v>
      </c>
      <c r="S1249" t="str">
        <f t="shared" si="97"/>
        <v>Style Risk</v>
      </c>
      <c r="T1249" t="str">
        <f t="shared" si="98"/>
        <v>-</v>
      </c>
      <c r="U1249" t="str">
        <f t="shared" si="99"/>
        <v>High Value</v>
      </c>
    </row>
    <row r="1250" spans="1:21" hidden="1" x14ac:dyDescent="0.2">
      <c r="A1250" s="2">
        <v>1248</v>
      </c>
      <c r="B1250" s="2" t="s">
        <v>9</v>
      </c>
      <c r="C1250" s="2" t="s">
        <v>1730</v>
      </c>
      <c r="D1250" s="2" t="s">
        <v>505</v>
      </c>
      <c r="E1250" s="2">
        <v>10001</v>
      </c>
      <c r="F1250" s="2" t="s">
        <v>1260</v>
      </c>
      <c r="G1250" s="2" t="s">
        <v>36</v>
      </c>
      <c r="H1250" s="2">
        <v>1</v>
      </c>
      <c r="I1250" s="2" t="s">
        <v>17</v>
      </c>
      <c r="J1250" s="2" t="str">
        <f>VLOOKUP(E1250,[1]LL_Hub!$A$1:$B$13,2,FALSE)</f>
        <v>New York</v>
      </c>
      <c r="K1250" t="str">
        <f>VLOOKUP(D1250,'[2]product Table data'!$A$2:$B$12,2,FALSE)</f>
        <v>Female</v>
      </c>
      <c r="L1250" t="str">
        <f>VLOOKUP($D1250,'[2]product Table data'!$A$2:$G$12,L$1,FALSE)</f>
        <v>Casual n Light</v>
      </c>
      <c r="M1250" t="str">
        <f>VLOOKUP($D1250,'[2]product Table data'!$A$2:$G$12,M$1,FALSE)</f>
        <v>Honduras</v>
      </c>
      <c r="N1250" t="str">
        <f>VLOOKUP($D1250,'[2]product Table data'!$A$2:$G$12,N$1,FALSE)</f>
        <v>Central America</v>
      </c>
      <c r="O1250">
        <f>VLOOKUP($D1250,'[2]product Table data'!$A$2:$G$12,O$1,FALSE)</f>
        <v>30</v>
      </c>
      <c r="P1250">
        <f>VLOOKUP($D1250,'[2]product Table data'!$A$2:$G$12,P$1,FALSE)</f>
        <v>45</v>
      </c>
      <c r="Q1250">
        <f t="shared" si="95"/>
        <v>15</v>
      </c>
      <c r="R1250" t="str">
        <f t="shared" si="96"/>
        <v>-</v>
      </c>
      <c r="S1250" t="str">
        <f t="shared" si="97"/>
        <v>Style Risk</v>
      </c>
      <c r="T1250" t="str">
        <f t="shared" si="98"/>
        <v>-</v>
      </c>
      <c r="U1250" t="str">
        <f t="shared" si="99"/>
        <v>High Value</v>
      </c>
    </row>
    <row r="1251" spans="1:21" hidden="1" x14ac:dyDescent="0.2">
      <c r="A1251" s="2">
        <v>1249</v>
      </c>
      <c r="B1251" s="2" t="s">
        <v>9</v>
      </c>
      <c r="C1251" s="2" t="s">
        <v>1731</v>
      </c>
      <c r="D1251" s="2" t="s">
        <v>505</v>
      </c>
      <c r="E1251" s="2">
        <v>10001</v>
      </c>
      <c r="F1251" s="2" t="s">
        <v>1260</v>
      </c>
      <c r="G1251" s="2" t="s">
        <v>36</v>
      </c>
      <c r="H1251" s="2">
        <v>1</v>
      </c>
      <c r="I1251" s="2" t="s">
        <v>17</v>
      </c>
      <c r="J1251" s="2" t="str">
        <f>VLOOKUP(E1251,[1]LL_Hub!$A$1:$B$13,2,FALSE)</f>
        <v>New York</v>
      </c>
      <c r="K1251" t="str">
        <f>VLOOKUP(D1251,'[2]product Table data'!$A$2:$B$12,2,FALSE)</f>
        <v>Female</v>
      </c>
      <c r="L1251" t="str">
        <f>VLOOKUP($D1251,'[2]product Table data'!$A$2:$G$12,L$1,FALSE)</f>
        <v>Casual n Light</v>
      </c>
      <c r="M1251" t="str">
        <f>VLOOKUP($D1251,'[2]product Table data'!$A$2:$G$12,M$1,FALSE)</f>
        <v>Honduras</v>
      </c>
      <c r="N1251" t="str">
        <f>VLOOKUP($D1251,'[2]product Table data'!$A$2:$G$12,N$1,FALSE)</f>
        <v>Central America</v>
      </c>
      <c r="O1251">
        <f>VLOOKUP($D1251,'[2]product Table data'!$A$2:$G$12,O$1,FALSE)</f>
        <v>30</v>
      </c>
      <c r="P1251">
        <f>VLOOKUP($D1251,'[2]product Table data'!$A$2:$G$12,P$1,FALSE)</f>
        <v>45</v>
      </c>
      <c r="Q1251">
        <f t="shared" si="95"/>
        <v>15</v>
      </c>
      <c r="R1251" t="str">
        <f t="shared" si="96"/>
        <v>-</v>
      </c>
      <c r="S1251" t="str">
        <f t="shared" si="97"/>
        <v>Style Risk</v>
      </c>
      <c r="T1251" t="str">
        <f t="shared" si="98"/>
        <v>-</v>
      </c>
      <c r="U1251" t="str">
        <f t="shared" si="99"/>
        <v>High Value</v>
      </c>
    </row>
    <row r="1252" spans="1:21" hidden="1" x14ac:dyDescent="0.2">
      <c r="A1252" s="2">
        <v>1250</v>
      </c>
      <c r="B1252" s="2" t="s">
        <v>9</v>
      </c>
      <c r="C1252" s="2" t="s">
        <v>1732</v>
      </c>
      <c r="D1252" s="2" t="s">
        <v>505</v>
      </c>
      <c r="E1252" s="2">
        <v>10001</v>
      </c>
      <c r="F1252" s="2" t="s">
        <v>1260</v>
      </c>
      <c r="G1252" s="2" t="s">
        <v>36</v>
      </c>
      <c r="H1252" s="2">
        <v>1</v>
      </c>
      <c r="I1252" s="2" t="s">
        <v>17</v>
      </c>
      <c r="J1252" s="2" t="str">
        <f>VLOOKUP(E1252,[1]LL_Hub!$A$1:$B$13,2,FALSE)</f>
        <v>New York</v>
      </c>
      <c r="K1252" t="str">
        <f>VLOOKUP(D1252,'[2]product Table data'!$A$2:$B$12,2,FALSE)</f>
        <v>Female</v>
      </c>
      <c r="L1252" t="str">
        <f>VLOOKUP($D1252,'[2]product Table data'!$A$2:$G$12,L$1,FALSE)</f>
        <v>Casual n Light</v>
      </c>
      <c r="M1252" t="str">
        <f>VLOOKUP($D1252,'[2]product Table data'!$A$2:$G$12,M$1,FALSE)</f>
        <v>Honduras</v>
      </c>
      <c r="N1252" t="str">
        <f>VLOOKUP($D1252,'[2]product Table data'!$A$2:$G$12,N$1,FALSE)</f>
        <v>Central America</v>
      </c>
      <c r="O1252">
        <f>VLOOKUP($D1252,'[2]product Table data'!$A$2:$G$12,O$1,FALSE)</f>
        <v>30</v>
      </c>
      <c r="P1252">
        <f>VLOOKUP($D1252,'[2]product Table data'!$A$2:$G$12,P$1,FALSE)</f>
        <v>45</v>
      </c>
      <c r="Q1252">
        <f t="shared" si="95"/>
        <v>15</v>
      </c>
      <c r="R1252" t="str">
        <f t="shared" si="96"/>
        <v>-</v>
      </c>
      <c r="S1252" t="str">
        <f t="shared" si="97"/>
        <v>Style Risk</v>
      </c>
      <c r="T1252" t="str">
        <f t="shared" si="98"/>
        <v>-</v>
      </c>
      <c r="U1252" t="str">
        <f t="shared" si="99"/>
        <v>High Value</v>
      </c>
    </row>
    <row r="1253" spans="1:21" hidden="1" x14ac:dyDescent="0.2">
      <c r="A1253" s="2">
        <v>1251</v>
      </c>
      <c r="B1253" s="2" t="s">
        <v>9</v>
      </c>
      <c r="C1253" s="2" t="s">
        <v>1733</v>
      </c>
      <c r="D1253" s="2" t="s">
        <v>505</v>
      </c>
      <c r="E1253" s="2">
        <v>10001</v>
      </c>
      <c r="F1253" s="2" t="s">
        <v>1734</v>
      </c>
      <c r="G1253" s="2" t="s">
        <v>13</v>
      </c>
      <c r="H1253" s="2">
        <v>1</v>
      </c>
      <c r="I1253" s="2" t="s">
        <v>17</v>
      </c>
      <c r="J1253" s="2" t="str">
        <f>VLOOKUP(E1253,[1]LL_Hub!$A$1:$B$13,2,FALSE)</f>
        <v>New York</v>
      </c>
      <c r="K1253" t="str">
        <f>VLOOKUP(D1253,'[2]product Table data'!$A$2:$B$12,2,FALSE)</f>
        <v>Female</v>
      </c>
      <c r="L1253" t="str">
        <f>VLOOKUP($D1253,'[2]product Table data'!$A$2:$G$12,L$1,FALSE)</f>
        <v>Casual n Light</v>
      </c>
      <c r="M1253" t="str">
        <f>VLOOKUP($D1253,'[2]product Table data'!$A$2:$G$12,M$1,FALSE)</f>
        <v>Honduras</v>
      </c>
      <c r="N1253" t="str">
        <f>VLOOKUP($D1253,'[2]product Table data'!$A$2:$G$12,N$1,FALSE)</f>
        <v>Central America</v>
      </c>
      <c r="O1253">
        <f>VLOOKUP($D1253,'[2]product Table data'!$A$2:$G$12,O$1,FALSE)</f>
        <v>30</v>
      </c>
      <c r="P1253">
        <f>VLOOKUP($D1253,'[2]product Table data'!$A$2:$G$12,P$1,FALSE)</f>
        <v>45</v>
      </c>
      <c r="Q1253">
        <f t="shared" si="95"/>
        <v>15</v>
      </c>
      <c r="R1253" t="str">
        <f t="shared" si="96"/>
        <v>-</v>
      </c>
      <c r="S1253" t="str">
        <f t="shared" si="97"/>
        <v>Style Risk</v>
      </c>
      <c r="T1253" t="str">
        <f t="shared" si="98"/>
        <v>-</v>
      </c>
      <c r="U1253" t="str">
        <f t="shared" si="99"/>
        <v>High Value</v>
      </c>
    </row>
    <row r="1254" spans="1:21" hidden="1" x14ac:dyDescent="0.2">
      <c r="A1254" s="2">
        <v>1252</v>
      </c>
      <c r="B1254" s="2" t="s">
        <v>9</v>
      </c>
      <c r="C1254" s="2" t="s">
        <v>1735</v>
      </c>
      <c r="D1254" s="2" t="s">
        <v>505</v>
      </c>
      <c r="E1254" s="2">
        <v>10001</v>
      </c>
      <c r="F1254" s="2" t="s">
        <v>1736</v>
      </c>
      <c r="G1254" s="2" t="s">
        <v>13</v>
      </c>
      <c r="H1254" s="2">
        <v>1</v>
      </c>
      <c r="I1254" s="2" t="s">
        <v>17</v>
      </c>
      <c r="J1254" s="2" t="str">
        <f>VLOOKUP(E1254,[1]LL_Hub!$A$1:$B$13,2,FALSE)</f>
        <v>New York</v>
      </c>
      <c r="K1254" t="str">
        <f>VLOOKUP(D1254,'[2]product Table data'!$A$2:$B$12,2,FALSE)</f>
        <v>Female</v>
      </c>
      <c r="L1254" t="str">
        <f>VLOOKUP($D1254,'[2]product Table data'!$A$2:$G$12,L$1,FALSE)</f>
        <v>Casual n Light</v>
      </c>
      <c r="M1254" t="str">
        <f>VLOOKUP($D1254,'[2]product Table data'!$A$2:$G$12,M$1,FALSE)</f>
        <v>Honduras</v>
      </c>
      <c r="N1254" t="str">
        <f>VLOOKUP($D1254,'[2]product Table data'!$A$2:$G$12,N$1,FALSE)</f>
        <v>Central America</v>
      </c>
      <c r="O1254">
        <f>VLOOKUP($D1254,'[2]product Table data'!$A$2:$G$12,O$1,FALSE)</f>
        <v>30</v>
      </c>
      <c r="P1254">
        <f>VLOOKUP($D1254,'[2]product Table data'!$A$2:$G$12,P$1,FALSE)</f>
        <v>45</v>
      </c>
      <c r="Q1254">
        <f t="shared" si="95"/>
        <v>15</v>
      </c>
      <c r="R1254" t="str">
        <f t="shared" si="96"/>
        <v>-</v>
      </c>
      <c r="S1254" t="str">
        <f t="shared" si="97"/>
        <v>Style Risk</v>
      </c>
      <c r="T1254" t="str">
        <f t="shared" si="98"/>
        <v>-</v>
      </c>
      <c r="U1254" t="str">
        <f t="shared" si="99"/>
        <v>High Value</v>
      </c>
    </row>
    <row r="1255" spans="1:21" hidden="1" x14ac:dyDescent="0.2">
      <c r="A1255" s="2">
        <v>1253</v>
      </c>
      <c r="B1255" s="2" t="s">
        <v>9</v>
      </c>
      <c r="C1255" s="2" t="s">
        <v>1737</v>
      </c>
      <c r="D1255" s="2" t="s">
        <v>505</v>
      </c>
      <c r="E1255" s="2">
        <v>10001</v>
      </c>
      <c r="F1255" s="2" t="s">
        <v>1738</v>
      </c>
      <c r="G1255" s="2" t="s">
        <v>13</v>
      </c>
      <c r="H1255" s="2">
        <v>1</v>
      </c>
      <c r="I1255" s="2" t="s">
        <v>17</v>
      </c>
      <c r="J1255" s="2" t="str">
        <f>VLOOKUP(E1255,[1]LL_Hub!$A$1:$B$13,2,FALSE)</f>
        <v>New York</v>
      </c>
      <c r="K1255" t="str">
        <f>VLOOKUP(D1255,'[2]product Table data'!$A$2:$B$12,2,FALSE)</f>
        <v>Female</v>
      </c>
      <c r="L1255" t="str">
        <f>VLOOKUP($D1255,'[2]product Table data'!$A$2:$G$12,L$1,FALSE)</f>
        <v>Casual n Light</v>
      </c>
      <c r="M1255" t="str">
        <f>VLOOKUP($D1255,'[2]product Table data'!$A$2:$G$12,M$1,FALSE)</f>
        <v>Honduras</v>
      </c>
      <c r="N1255" t="str">
        <f>VLOOKUP($D1255,'[2]product Table data'!$A$2:$G$12,N$1,FALSE)</f>
        <v>Central America</v>
      </c>
      <c r="O1255">
        <f>VLOOKUP($D1255,'[2]product Table data'!$A$2:$G$12,O$1,FALSE)</f>
        <v>30</v>
      </c>
      <c r="P1255">
        <f>VLOOKUP($D1255,'[2]product Table data'!$A$2:$G$12,P$1,FALSE)</f>
        <v>45</v>
      </c>
      <c r="Q1255">
        <f t="shared" si="95"/>
        <v>15</v>
      </c>
      <c r="R1255" t="str">
        <f t="shared" si="96"/>
        <v>-</v>
      </c>
      <c r="S1255" t="str">
        <f t="shared" si="97"/>
        <v>Style Risk</v>
      </c>
      <c r="T1255" t="str">
        <f t="shared" si="98"/>
        <v>-</v>
      </c>
      <c r="U1255" t="str">
        <f t="shared" si="99"/>
        <v>High Value</v>
      </c>
    </row>
    <row r="1256" spans="1:21" hidden="1" x14ac:dyDescent="0.2">
      <c r="A1256" s="2">
        <v>1254</v>
      </c>
      <c r="B1256" s="2" t="s">
        <v>9</v>
      </c>
      <c r="C1256" s="2" t="s">
        <v>1739</v>
      </c>
      <c r="D1256" s="2" t="s">
        <v>505</v>
      </c>
      <c r="E1256" s="2">
        <v>10001</v>
      </c>
      <c r="F1256" s="2" t="s">
        <v>1740</v>
      </c>
      <c r="G1256" s="2" t="s">
        <v>13</v>
      </c>
      <c r="H1256" s="2">
        <v>1</v>
      </c>
      <c r="I1256" s="2" t="s">
        <v>17</v>
      </c>
      <c r="J1256" s="2" t="str">
        <f>VLOOKUP(E1256,[1]LL_Hub!$A$1:$B$13,2,FALSE)</f>
        <v>New York</v>
      </c>
      <c r="K1256" t="str">
        <f>VLOOKUP(D1256,'[2]product Table data'!$A$2:$B$12,2,FALSE)</f>
        <v>Female</v>
      </c>
      <c r="L1256" t="str">
        <f>VLOOKUP($D1256,'[2]product Table data'!$A$2:$G$12,L$1,FALSE)</f>
        <v>Casual n Light</v>
      </c>
      <c r="M1256" t="str">
        <f>VLOOKUP($D1256,'[2]product Table data'!$A$2:$G$12,M$1,FALSE)</f>
        <v>Honduras</v>
      </c>
      <c r="N1256" t="str">
        <f>VLOOKUP($D1256,'[2]product Table data'!$A$2:$G$12,N$1,FALSE)</f>
        <v>Central America</v>
      </c>
      <c r="O1256">
        <f>VLOOKUP($D1256,'[2]product Table data'!$A$2:$G$12,O$1,FALSE)</f>
        <v>30</v>
      </c>
      <c r="P1256">
        <f>VLOOKUP($D1256,'[2]product Table data'!$A$2:$G$12,P$1,FALSE)</f>
        <v>45</v>
      </c>
      <c r="Q1256">
        <f t="shared" si="95"/>
        <v>15</v>
      </c>
      <c r="R1256" t="str">
        <f t="shared" si="96"/>
        <v>-</v>
      </c>
      <c r="S1256" t="str">
        <f t="shared" si="97"/>
        <v>Style Risk</v>
      </c>
      <c r="T1256" t="str">
        <f t="shared" si="98"/>
        <v>-</v>
      </c>
      <c r="U1256" t="str">
        <f t="shared" si="99"/>
        <v>High Value</v>
      </c>
    </row>
    <row r="1257" spans="1:21" hidden="1" x14ac:dyDescent="0.2">
      <c r="A1257" s="2">
        <v>1255</v>
      </c>
      <c r="B1257" s="2" t="s">
        <v>9</v>
      </c>
      <c r="C1257" s="2" t="s">
        <v>1741</v>
      </c>
      <c r="D1257" s="2" t="s">
        <v>505</v>
      </c>
      <c r="E1257" s="2">
        <v>10001</v>
      </c>
      <c r="F1257" s="2" t="s">
        <v>1742</v>
      </c>
      <c r="G1257" s="2" t="s">
        <v>13</v>
      </c>
      <c r="H1257" s="2">
        <v>1</v>
      </c>
      <c r="I1257" s="2" t="s">
        <v>17</v>
      </c>
      <c r="J1257" s="2" t="str">
        <f>VLOOKUP(E1257,[1]LL_Hub!$A$1:$B$13,2,FALSE)</f>
        <v>New York</v>
      </c>
      <c r="K1257" t="str">
        <f>VLOOKUP(D1257,'[2]product Table data'!$A$2:$B$12,2,FALSE)</f>
        <v>Female</v>
      </c>
      <c r="L1257" t="str">
        <f>VLOOKUP($D1257,'[2]product Table data'!$A$2:$G$12,L$1,FALSE)</f>
        <v>Casual n Light</v>
      </c>
      <c r="M1257" t="str">
        <f>VLOOKUP($D1257,'[2]product Table data'!$A$2:$G$12,M$1,FALSE)</f>
        <v>Honduras</v>
      </c>
      <c r="N1257" t="str">
        <f>VLOOKUP($D1257,'[2]product Table data'!$A$2:$G$12,N$1,FALSE)</f>
        <v>Central America</v>
      </c>
      <c r="O1257">
        <f>VLOOKUP($D1257,'[2]product Table data'!$A$2:$G$12,O$1,FALSE)</f>
        <v>30</v>
      </c>
      <c r="P1257">
        <f>VLOOKUP($D1257,'[2]product Table data'!$A$2:$G$12,P$1,FALSE)</f>
        <v>45</v>
      </c>
      <c r="Q1257">
        <f t="shared" si="95"/>
        <v>15</v>
      </c>
      <c r="R1257" t="str">
        <f t="shared" si="96"/>
        <v>-</v>
      </c>
      <c r="S1257" t="str">
        <f t="shared" si="97"/>
        <v>Style Risk</v>
      </c>
      <c r="T1257" t="str">
        <f t="shared" si="98"/>
        <v>-</v>
      </c>
      <c r="U1257" t="str">
        <f t="shared" si="99"/>
        <v>High Value</v>
      </c>
    </row>
    <row r="1258" spans="1:21" hidden="1" x14ac:dyDescent="0.2">
      <c r="A1258" s="2">
        <v>1256</v>
      </c>
      <c r="B1258" s="2" t="s">
        <v>9</v>
      </c>
      <c r="C1258" s="2" t="s">
        <v>1743</v>
      </c>
      <c r="D1258" s="2" t="s">
        <v>505</v>
      </c>
      <c r="E1258" s="2">
        <v>10001</v>
      </c>
      <c r="F1258" s="2" t="s">
        <v>1744</v>
      </c>
      <c r="G1258" s="2" t="s">
        <v>13</v>
      </c>
      <c r="H1258" s="2">
        <v>1</v>
      </c>
      <c r="I1258" s="2" t="s">
        <v>17</v>
      </c>
      <c r="J1258" s="2" t="str">
        <f>VLOOKUP(E1258,[1]LL_Hub!$A$1:$B$13,2,FALSE)</f>
        <v>New York</v>
      </c>
      <c r="K1258" t="str">
        <f>VLOOKUP(D1258,'[2]product Table data'!$A$2:$B$12,2,FALSE)</f>
        <v>Female</v>
      </c>
      <c r="L1258" t="str">
        <f>VLOOKUP($D1258,'[2]product Table data'!$A$2:$G$12,L$1,FALSE)</f>
        <v>Casual n Light</v>
      </c>
      <c r="M1258" t="str">
        <f>VLOOKUP($D1258,'[2]product Table data'!$A$2:$G$12,M$1,FALSE)</f>
        <v>Honduras</v>
      </c>
      <c r="N1258" t="str">
        <f>VLOOKUP($D1258,'[2]product Table data'!$A$2:$G$12,N$1,FALSE)</f>
        <v>Central America</v>
      </c>
      <c r="O1258">
        <f>VLOOKUP($D1258,'[2]product Table data'!$A$2:$G$12,O$1,FALSE)</f>
        <v>30</v>
      </c>
      <c r="P1258">
        <f>VLOOKUP($D1258,'[2]product Table data'!$A$2:$G$12,P$1,FALSE)</f>
        <v>45</v>
      </c>
      <c r="Q1258">
        <f t="shared" si="95"/>
        <v>15</v>
      </c>
      <c r="R1258" t="str">
        <f t="shared" si="96"/>
        <v>-</v>
      </c>
      <c r="S1258" t="str">
        <f t="shared" si="97"/>
        <v>Style Risk</v>
      </c>
      <c r="T1258" t="str">
        <f t="shared" si="98"/>
        <v>-</v>
      </c>
      <c r="U1258" t="str">
        <f t="shared" si="99"/>
        <v>High Value</v>
      </c>
    </row>
    <row r="1259" spans="1:21" hidden="1" x14ac:dyDescent="0.2">
      <c r="A1259" s="2">
        <v>1257</v>
      </c>
      <c r="B1259" s="2" t="s">
        <v>9</v>
      </c>
      <c r="C1259" s="2" t="s">
        <v>1745</v>
      </c>
      <c r="D1259" s="2" t="s">
        <v>505</v>
      </c>
      <c r="E1259" s="2">
        <v>10001</v>
      </c>
      <c r="F1259" s="2" t="s">
        <v>1746</v>
      </c>
      <c r="G1259" s="2" t="s">
        <v>13</v>
      </c>
      <c r="H1259" s="2">
        <v>1</v>
      </c>
      <c r="I1259" s="2" t="s">
        <v>17</v>
      </c>
      <c r="J1259" s="2" t="str">
        <f>VLOOKUP(E1259,[1]LL_Hub!$A$1:$B$13,2,FALSE)</f>
        <v>New York</v>
      </c>
      <c r="K1259" t="str">
        <f>VLOOKUP(D1259,'[2]product Table data'!$A$2:$B$12,2,FALSE)</f>
        <v>Female</v>
      </c>
      <c r="L1259" t="str">
        <f>VLOOKUP($D1259,'[2]product Table data'!$A$2:$G$12,L$1,FALSE)</f>
        <v>Casual n Light</v>
      </c>
      <c r="M1259" t="str">
        <f>VLOOKUP($D1259,'[2]product Table data'!$A$2:$G$12,M$1,FALSE)</f>
        <v>Honduras</v>
      </c>
      <c r="N1259" t="str">
        <f>VLOOKUP($D1259,'[2]product Table data'!$A$2:$G$12,N$1,FALSE)</f>
        <v>Central America</v>
      </c>
      <c r="O1259">
        <f>VLOOKUP($D1259,'[2]product Table data'!$A$2:$G$12,O$1,FALSE)</f>
        <v>30</v>
      </c>
      <c r="P1259">
        <f>VLOOKUP($D1259,'[2]product Table data'!$A$2:$G$12,P$1,FALSE)</f>
        <v>45</v>
      </c>
      <c r="Q1259">
        <f t="shared" si="95"/>
        <v>15</v>
      </c>
      <c r="R1259" t="str">
        <f t="shared" si="96"/>
        <v>-</v>
      </c>
      <c r="S1259" t="str">
        <f t="shared" si="97"/>
        <v>Style Risk</v>
      </c>
      <c r="T1259" t="str">
        <f t="shared" si="98"/>
        <v>-</v>
      </c>
      <c r="U1259" t="str">
        <f t="shared" si="99"/>
        <v>High Value</v>
      </c>
    </row>
    <row r="1260" spans="1:21" hidden="1" x14ac:dyDescent="0.2">
      <c r="A1260" s="2">
        <v>1258</v>
      </c>
      <c r="B1260" s="2" t="s">
        <v>9</v>
      </c>
      <c r="C1260" s="2" t="s">
        <v>1747</v>
      </c>
      <c r="D1260" s="2" t="s">
        <v>505</v>
      </c>
      <c r="E1260" s="2">
        <v>10001</v>
      </c>
      <c r="F1260" s="2" t="s">
        <v>1748</v>
      </c>
      <c r="G1260" s="2" t="s">
        <v>13</v>
      </c>
      <c r="H1260" s="2">
        <v>1</v>
      </c>
      <c r="I1260" s="2" t="s">
        <v>17</v>
      </c>
      <c r="J1260" s="2" t="str">
        <f>VLOOKUP(E1260,[1]LL_Hub!$A$1:$B$13,2,FALSE)</f>
        <v>New York</v>
      </c>
      <c r="K1260" t="str">
        <f>VLOOKUP(D1260,'[2]product Table data'!$A$2:$B$12,2,FALSE)</f>
        <v>Female</v>
      </c>
      <c r="L1260" t="str">
        <f>VLOOKUP($D1260,'[2]product Table data'!$A$2:$G$12,L$1,FALSE)</f>
        <v>Casual n Light</v>
      </c>
      <c r="M1260" t="str">
        <f>VLOOKUP($D1260,'[2]product Table data'!$A$2:$G$12,M$1,FALSE)</f>
        <v>Honduras</v>
      </c>
      <c r="N1260" t="str">
        <f>VLOOKUP($D1260,'[2]product Table data'!$A$2:$G$12,N$1,FALSE)</f>
        <v>Central America</v>
      </c>
      <c r="O1260">
        <f>VLOOKUP($D1260,'[2]product Table data'!$A$2:$G$12,O$1,FALSE)</f>
        <v>30</v>
      </c>
      <c r="P1260">
        <f>VLOOKUP($D1260,'[2]product Table data'!$A$2:$G$12,P$1,FALSE)</f>
        <v>45</v>
      </c>
      <c r="Q1260">
        <f t="shared" si="95"/>
        <v>15</v>
      </c>
      <c r="R1260" t="str">
        <f t="shared" si="96"/>
        <v>-</v>
      </c>
      <c r="S1260" t="str">
        <f t="shared" si="97"/>
        <v>Style Risk</v>
      </c>
      <c r="T1260" t="str">
        <f t="shared" si="98"/>
        <v>-</v>
      </c>
      <c r="U1260" t="str">
        <f t="shared" si="99"/>
        <v>High Value</v>
      </c>
    </row>
    <row r="1261" spans="1:21" hidden="1" x14ac:dyDescent="0.2">
      <c r="A1261" s="2">
        <v>1259</v>
      </c>
      <c r="B1261" s="2" t="s">
        <v>9</v>
      </c>
      <c r="C1261" s="2" t="s">
        <v>1749</v>
      </c>
      <c r="D1261" s="2" t="s">
        <v>505</v>
      </c>
      <c r="E1261" s="2">
        <v>10001</v>
      </c>
      <c r="F1261" s="2" t="s">
        <v>1750</v>
      </c>
      <c r="G1261" s="2" t="s">
        <v>13</v>
      </c>
      <c r="H1261" s="2">
        <v>1</v>
      </c>
      <c r="I1261" s="2" t="s">
        <v>17</v>
      </c>
      <c r="J1261" s="2" t="str">
        <f>VLOOKUP(E1261,[1]LL_Hub!$A$1:$B$13,2,FALSE)</f>
        <v>New York</v>
      </c>
      <c r="K1261" t="str">
        <f>VLOOKUP(D1261,'[2]product Table data'!$A$2:$B$12,2,FALSE)</f>
        <v>Female</v>
      </c>
      <c r="L1261" t="str">
        <f>VLOOKUP($D1261,'[2]product Table data'!$A$2:$G$12,L$1,FALSE)</f>
        <v>Casual n Light</v>
      </c>
      <c r="M1261" t="str">
        <f>VLOOKUP($D1261,'[2]product Table data'!$A$2:$G$12,M$1,FALSE)</f>
        <v>Honduras</v>
      </c>
      <c r="N1261" t="str">
        <f>VLOOKUP($D1261,'[2]product Table data'!$A$2:$G$12,N$1,FALSE)</f>
        <v>Central America</v>
      </c>
      <c r="O1261">
        <f>VLOOKUP($D1261,'[2]product Table data'!$A$2:$G$12,O$1,FALSE)</f>
        <v>30</v>
      </c>
      <c r="P1261">
        <f>VLOOKUP($D1261,'[2]product Table data'!$A$2:$G$12,P$1,FALSE)</f>
        <v>45</v>
      </c>
      <c r="Q1261">
        <f t="shared" si="95"/>
        <v>15</v>
      </c>
      <c r="R1261" t="str">
        <f t="shared" si="96"/>
        <v>-</v>
      </c>
      <c r="S1261" t="str">
        <f t="shared" si="97"/>
        <v>Style Risk</v>
      </c>
      <c r="T1261" t="str">
        <f t="shared" si="98"/>
        <v>-</v>
      </c>
      <c r="U1261" t="str">
        <f t="shared" si="99"/>
        <v>High Value</v>
      </c>
    </row>
    <row r="1262" spans="1:21" hidden="1" x14ac:dyDescent="0.2">
      <c r="A1262" s="2">
        <v>1260</v>
      </c>
      <c r="B1262" s="2" t="s">
        <v>9</v>
      </c>
      <c r="C1262" s="2" t="s">
        <v>1751</v>
      </c>
      <c r="D1262" s="2" t="s">
        <v>505</v>
      </c>
      <c r="E1262" s="2">
        <v>10001</v>
      </c>
      <c r="F1262" s="2" t="s">
        <v>1752</v>
      </c>
      <c r="G1262" s="2" t="s">
        <v>13</v>
      </c>
      <c r="H1262" s="2">
        <v>1</v>
      </c>
      <c r="I1262" s="2" t="s">
        <v>17</v>
      </c>
      <c r="J1262" s="2" t="str">
        <f>VLOOKUP(E1262,[1]LL_Hub!$A$1:$B$13,2,FALSE)</f>
        <v>New York</v>
      </c>
      <c r="K1262" t="str">
        <f>VLOOKUP(D1262,'[2]product Table data'!$A$2:$B$12,2,FALSE)</f>
        <v>Female</v>
      </c>
      <c r="L1262" t="str">
        <f>VLOOKUP($D1262,'[2]product Table data'!$A$2:$G$12,L$1,FALSE)</f>
        <v>Casual n Light</v>
      </c>
      <c r="M1262" t="str">
        <f>VLOOKUP($D1262,'[2]product Table data'!$A$2:$G$12,M$1,FALSE)</f>
        <v>Honduras</v>
      </c>
      <c r="N1262" t="str">
        <f>VLOOKUP($D1262,'[2]product Table data'!$A$2:$G$12,N$1,FALSE)</f>
        <v>Central America</v>
      </c>
      <c r="O1262">
        <f>VLOOKUP($D1262,'[2]product Table data'!$A$2:$G$12,O$1,FALSE)</f>
        <v>30</v>
      </c>
      <c r="P1262">
        <f>VLOOKUP($D1262,'[2]product Table data'!$A$2:$G$12,P$1,FALSE)</f>
        <v>45</v>
      </c>
      <c r="Q1262">
        <f t="shared" si="95"/>
        <v>15</v>
      </c>
      <c r="R1262" t="str">
        <f t="shared" si="96"/>
        <v>-</v>
      </c>
      <c r="S1262" t="str">
        <f t="shared" si="97"/>
        <v>Style Risk</v>
      </c>
      <c r="T1262" t="str">
        <f t="shared" si="98"/>
        <v>-</v>
      </c>
      <c r="U1262" t="str">
        <f t="shared" si="99"/>
        <v>High Value</v>
      </c>
    </row>
    <row r="1263" spans="1:21" hidden="1" x14ac:dyDescent="0.2">
      <c r="A1263" s="2">
        <v>1261</v>
      </c>
      <c r="B1263" s="2" t="s">
        <v>9</v>
      </c>
      <c r="C1263" s="2" t="s">
        <v>1753</v>
      </c>
      <c r="D1263" s="2" t="s">
        <v>505</v>
      </c>
      <c r="E1263" s="2">
        <v>10001</v>
      </c>
      <c r="F1263" s="2" t="s">
        <v>1754</v>
      </c>
      <c r="G1263" s="2" t="s">
        <v>13</v>
      </c>
      <c r="H1263" s="2">
        <v>1</v>
      </c>
      <c r="I1263" s="2" t="s">
        <v>17</v>
      </c>
      <c r="J1263" s="2" t="str">
        <f>VLOOKUP(E1263,[1]LL_Hub!$A$1:$B$13,2,FALSE)</f>
        <v>New York</v>
      </c>
      <c r="K1263" t="str">
        <f>VLOOKUP(D1263,'[2]product Table data'!$A$2:$B$12,2,FALSE)</f>
        <v>Female</v>
      </c>
      <c r="L1263" t="str">
        <f>VLOOKUP($D1263,'[2]product Table data'!$A$2:$G$12,L$1,FALSE)</f>
        <v>Casual n Light</v>
      </c>
      <c r="M1263" t="str">
        <f>VLOOKUP($D1263,'[2]product Table data'!$A$2:$G$12,M$1,FALSE)</f>
        <v>Honduras</v>
      </c>
      <c r="N1263" t="str">
        <f>VLOOKUP($D1263,'[2]product Table data'!$A$2:$G$12,N$1,FALSE)</f>
        <v>Central America</v>
      </c>
      <c r="O1263">
        <f>VLOOKUP($D1263,'[2]product Table data'!$A$2:$G$12,O$1,FALSE)</f>
        <v>30</v>
      </c>
      <c r="P1263">
        <f>VLOOKUP($D1263,'[2]product Table data'!$A$2:$G$12,P$1,FALSE)</f>
        <v>45</v>
      </c>
      <c r="Q1263">
        <f t="shared" si="95"/>
        <v>15</v>
      </c>
      <c r="R1263" t="str">
        <f t="shared" si="96"/>
        <v>-</v>
      </c>
      <c r="S1263" t="str">
        <f t="shared" si="97"/>
        <v>Style Risk</v>
      </c>
      <c r="T1263" t="str">
        <f t="shared" si="98"/>
        <v>-</v>
      </c>
      <c r="U1263" t="str">
        <f t="shared" si="99"/>
        <v>High Value</v>
      </c>
    </row>
    <row r="1264" spans="1:21" hidden="1" x14ac:dyDescent="0.2">
      <c r="A1264" s="2">
        <v>1262</v>
      </c>
      <c r="B1264" s="2" t="s">
        <v>9</v>
      </c>
      <c r="C1264" s="2" t="s">
        <v>1755</v>
      </c>
      <c r="D1264" s="2" t="s">
        <v>505</v>
      </c>
      <c r="E1264" s="2">
        <v>10001</v>
      </c>
      <c r="F1264" s="2" t="s">
        <v>1756</v>
      </c>
      <c r="G1264" s="2" t="s">
        <v>13</v>
      </c>
      <c r="H1264" s="2">
        <v>1</v>
      </c>
      <c r="I1264" s="2" t="s">
        <v>17</v>
      </c>
      <c r="J1264" s="2" t="str">
        <f>VLOOKUP(E1264,[1]LL_Hub!$A$1:$B$13,2,FALSE)</f>
        <v>New York</v>
      </c>
      <c r="K1264" t="str">
        <f>VLOOKUP(D1264,'[2]product Table data'!$A$2:$B$12,2,FALSE)</f>
        <v>Female</v>
      </c>
      <c r="L1264" t="str">
        <f>VLOOKUP($D1264,'[2]product Table data'!$A$2:$G$12,L$1,FALSE)</f>
        <v>Casual n Light</v>
      </c>
      <c r="M1264" t="str">
        <f>VLOOKUP($D1264,'[2]product Table data'!$A$2:$G$12,M$1,FALSE)</f>
        <v>Honduras</v>
      </c>
      <c r="N1264" t="str">
        <f>VLOOKUP($D1264,'[2]product Table data'!$A$2:$G$12,N$1,FALSE)</f>
        <v>Central America</v>
      </c>
      <c r="O1264">
        <f>VLOOKUP($D1264,'[2]product Table data'!$A$2:$G$12,O$1,FALSE)</f>
        <v>30</v>
      </c>
      <c r="P1264">
        <f>VLOOKUP($D1264,'[2]product Table data'!$A$2:$G$12,P$1,FALSE)</f>
        <v>45</v>
      </c>
      <c r="Q1264">
        <f t="shared" si="95"/>
        <v>15</v>
      </c>
      <c r="R1264" t="str">
        <f t="shared" si="96"/>
        <v>-</v>
      </c>
      <c r="S1264" t="str">
        <f t="shared" si="97"/>
        <v>Style Risk</v>
      </c>
      <c r="T1264" t="str">
        <f t="shared" si="98"/>
        <v>-</v>
      </c>
      <c r="U1264" t="str">
        <f t="shared" si="99"/>
        <v>High Value</v>
      </c>
    </row>
    <row r="1265" spans="1:21" hidden="1" x14ac:dyDescent="0.2">
      <c r="A1265" s="2">
        <v>1263</v>
      </c>
      <c r="B1265" s="2" t="s">
        <v>9</v>
      </c>
      <c r="C1265" s="2" t="s">
        <v>1757</v>
      </c>
      <c r="D1265" s="2" t="s">
        <v>505</v>
      </c>
      <c r="E1265" s="2">
        <v>10001</v>
      </c>
      <c r="F1265" s="2" t="s">
        <v>1758</v>
      </c>
      <c r="G1265" s="2" t="s">
        <v>13</v>
      </c>
      <c r="H1265" s="2">
        <v>1</v>
      </c>
      <c r="I1265" s="2" t="s">
        <v>17</v>
      </c>
      <c r="J1265" s="2" t="str">
        <f>VLOOKUP(E1265,[1]LL_Hub!$A$1:$B$13,2,FALSE)</f>
        <v>New York</v>
      </c>
      <c r="K1265" t="str">
        <f>VLOOKUP(D1265,'[2]product Table data'!$A$2:$B$12,2,FALSE)</f>
        <v>Female</v>
      </c>
      <c r="L1265" t="str">
        <f>VLOOKUP($D1265,'[2]product Table data'!$A$2:$G$12,L$1,FALSE)</f>
        <v>Casual n Light</v>
      </c>
      <c r="M1265" t="str">
        <f>VLOOKUP($D1265,'[2]product Table data'!$A$2:$G$12,M$1,FALSE)</f>
        <v>Honduras</v>
      </c>
      <c r="N1265" t="str">
        <f>VLOOKUP($D1265,'[2]product Table data'!$A$2:$G$12,N$1,FALSE)</f>
        <v>Central America</v>
      </c>
      <c r="O1265">
        <f>VLOOKUP($D1265,'[2]product Table data'!$A$2:$G$12,O$1,FALSE)</f>
        <v>30</v>
      </c>
      <c r="P1265">
        <f>VLOOKUP($D1265,'[2]product Table data'!$A$2:$G$12,P$1,FALSE)</f>
        <v>45</v>
      </c>
      <c r="Q1265">
        <f t="shared" si="95"/>
        <v>15</v>
      </c>
      <c r="R1265" t="str">
        <f t="shared" si="96"/>
        <v>-</v>
      </c>
      <c r="S1265" t="str">
        <f t="shared" si="97"/>
        <v>Style Risk</v>
      </c>
      <c r="T1265" t="str">
        <f t="shared" si="98"/>
        <v>-</v>
      </c>
      <c r="U1265" t="str">
        <f t="shared" si="99"/>
        <v>High Value</v>
      </c>
    </row>
    <row r="1266" spans="1:21" hidden="1" x14ac:dyDescent="0.2">
      <c r="A1266" s="2">
        <v>1264</v>
      </c>
      <c r="B1266" s="2" t="s">
        <v>9</v>
      </c>
      <c r="C1266" s="2" t="s">
        <v>1759</v>
      </c>
      <c r="D1266" s="2" t="s">
        <v>505</v>
      </c>
      <c r="E1266" s="2">
        <v>10001</v>
      </c>
      <c r="F1266" s="2" t="s">
        <v>1760</v>
      </c>
      <c r="G1266" s="2" t="s">
        <v>13</v>
      </c>
      <c r="H1266" s="2">
        <v>1</v>
      </c>
      <c r="I1266" s="2" t="s">
        <v>17</v>
      </c>
      <c r="J1266" s="2" t="str">
        <f>VLOOKUP(E1266,[1]LL_Hub!$A$1:$B$13,2,FALSE)</f>
        <v>New York</v>
      </c>
      <c r="K1266" t="str">
        <f>VLOOKUP(D1266,'[2]product Table data'!$A$2:$B$12,2,FALSE)</f>
        <v>Female</v>
      </c>
      <c r="L1266" t="str">
        <f>VLOOKUP($D1266,'[2]product Table data'!$A$2:$G$12,L$1,FALSE)</f>
        <v>Casual n Light</v>
      </c>
      <c r="M1266" t="str">
        <f>VLOOKUP($D1266,'[2]product Table data'!$A$2:$G$12,M$1,FALSE)</f>
        <v>Honduras</v>
      </c>
      <c r="N1266" t="str">
        <f>VLOOKUP($D1266,'[2]product Table data'!$A$2:$G$12,N$1,FALSE)</f>
        <v>Central America</v>
      </c>
      <c r="O1266">
        <f>VLOOKUP($D1266,'[2]product Table data'!$A$2:$G$12,O$1,FALSE)</f>
        <v>30</v>
      </c>
      <c r="P1266">
        <f>VLOOKUP($D1266,'[2]product Table data'!$A$2:$G$12,P$1,FALSE)</f>
        <v>45</v>
      </c>
      <c r="Q1266">
        <f t="shared" si="95"/>
        <v>15</v>
      </c>
      <c r="R1266" t="str">
        <f t="shared" si="96"/>
        <v>-</v>
      </c>
      <c r="S1266" t="str">
        <f t="shared" si="97"/>
        <v>Style Risk</v>
      </c>
      <c r="T1266" t="str">
        <f t="shared" si="98"/>
        <v>-</v>
      </c>
      <c r="U1266" t="str">
        <f t="shared" si="99"/>
        <v>High Value</v>
      </c>
    </row>
    <row r="1267" spans="1:21" hidden="1" x14ac:dyDescent="0.2">
      <c r="A1267" s="2">
        <v>1265</v>
      </c>
      <c r="B1267" s="2" t="s">
        <v>9</v>
      </c>
      <c r="C1267" s="2" t="s">
        <v>1761</v>
      </c>
      <c r="D1267" s="2" t="s">
        <v>505</v>
      </c>
      <c r="E1267" s="2">
        <v>10001</v>
      </c>
      <c r="F1267" s="2" t="s">
        <v>1762</v>
      </c>
      <c r="G1267" s="2" t="s">
        <v>13</v>
      </c>
      <c r="H1267" s="2">
        <v>1</v>
      </c>
      <c r="I1267" s="2" t="s">
        <v>17</v>
      </c>
      <c r="J1267" s="2" t="str">
        <f>VLOOKUP(E1267,[1]LL_Hub!$A$1:$B$13,2,FALSE)</f>
        <v>New York</v>
      </c>
      <c r="K1267" t="str">
        <f>VLOOKUP(D1267,'[2]product Table data'!$A$2:$B$12,2,FALSE)</f>
        <v>Female</v>
      </c>
      <c r="L1267" t="str">
        <f>VLOOKUP($D1267,'[2]product Table data'!$A$2:$G$12,L$1,FALSE)</f>
        <v>Casual n Light</v>
      </c>
      <c r="M1267" t="str">
        <f>VLOOKUP($D1267,'[2]product Table data'!$A$2:$G$12,M$1,FALSE)</f>
        <v>Honduras</v>
      </c>
      <c r="N1267" t="str">
        <f>VLOOKUP($D1267,'[2]product Table data'!$A$2:$G$12,N$1,FALSE)</f>
        <v>Central America</v>
      </c>
      <c r="O1267">
        <f>VLOOKUP($D1267,'[2]product Table data'!$A$2:$G$12,O$1,FALSE)</f>
        <v>30</v>
      </c>
      <c r="P1267">
        <f>VLOOKUP($D1267,'[2]product Table data'!$A$2:$G$12,P$1,FALSE)</f>
        <v>45</v>
      </c>
      <c r="Q1267">
        <f t="shared" si="95"/>
        <v>15</v>
      </c>
      <c r="R1267" t="str">
        <f t="shared" si="96"/>
        <v>-</v>
      </c>
      <c r="S1267" t="str">
        <f t="shared" si="97"/>
        <v>Style Risk</v>
      </c>
      <c r="T1267" t="str">
        <f t="shared" si="98"/>
        <v>-</v>
      </c>
      <c r="U1267" t="str">
        <f t="shared" si="99"/>
        <v>High Value</v>
      </c>
    </row>
    <row r="1268" spans="1:21" hidden="1" x14ac:dyDescent="0.2">
      <c r="A1268" s="2">
        <v>1266</v>
      </c>
      <c r="B1268" s="2" t="s">
        <v>9</v>
      </c>
      <c r="C1268" s="2" t="s">
        <v>1763</v>
      </c>
      <c r="D1268" s="2" t="s">
        <v>505</v>
      </c>
      <c r="E1268" s="2">
        <v>10001</v>
      </c>
      <c r="F1268" s="2" t="s">
        <v>1764</v>
      </c>
      <c r="G1268" s="2" t="s">
        <v>13</v>
      </c>
      <c r="H1268" s="2">
        <v>1</v>
      </c>
      <c r="I1268" s="2" t="s">
        <v>17</v>
      </c>
      <c r="J1268" s="2" t="str">
        <f>VLOOKUP(E1268,[1]LL_Hub!$A$1:$B$13,2,FALSE)</f>
        <v>New York</v>
      </c>
      <c r="K1268" t="str">
        <f>VLOOKUP(D1268,'[2]product Table data'!$A$2:$B$12,2,FALSE)</f>
        <v>Female</v>
      </c>
      <c r="L1268" t="str">
        <f>VLOOKUP($D1268,'[2]product Table data'!$A$2:$G$12,L$1,FALSE)</f>
        <v>Casual n Light</v>
      </c>
      <c r="M1268" t="str">
        <f>VLOOKUP($D1268,'[2]product Table data'!$A$2:$G$12,M$1,FALSE)</f>
        <v>Honduras</v>
      </c>
      <c r="N1268" t="str">
        <f>VLOOKUP($D1268,'[2]product Table data'!$A$2:$G$12,N$1,FALSE)</f>
        <v>Central America</v>
      </c>
      <c r="O1268">
        <f>VLOOKUP($D1268,'[2]product Table data'!$A$2:$G$12,O$1,FALSE)</f>
        <v>30</v>
      </c>
      <c r="P1268">
        <f>VLOOKUP($D1268,'[2]product Table data'!$A$2:$G$12,P$1,FALSE)</f>
        <v>45</v>
      </c>
      <c r="Q1268">
        <f t="shared" si="95"/>
        <v>15</v>
      </c>
      <c r="R1268" t="str">
        <f t="shared" si="96"/>
        <v>-</v>
      </c>
      <c r="S1268" t="str">
        <f t="shared" si="97"/>
        <v>Style Risk</v>
      </c>
      <c r="T1268" t="str">
        <f t="shared" si="98"/>
        <v>-</v>
      </c>
      <c r="U1268" t="str">
        <f t="shared" si="99"/>
        <v>High Value</v>
      </c>
    </row>
    <row r="1269" spans="1:21" hidden="1" x14ac:dyDescent="0.2">
      <c r="A1269" s="2">
        <v>1267</v>
      </c>
      <c r="B1269" s="2" t="s">
        <v>9</v>
      </c>
      <c r="C1269" s="2" t="s">
        <v>1765</v>
      </c>
      <c r="D1269" s="2" t="s">
        <v>505</v>
      </c>
      <c r="E1269" s="2">
        <v>10001</v>
      </c>
      <c r="F1269" s="2" t="s">
        <v>1260</v>
      </c>
      <c r="G1269" s="2" t="s">
        <v>36</v>
      </c>
      <c r="H1269" s="2">
        <v>1</v>
      </c>
      <c r="I1269" s="2" t="s">
        <v>17</v>
      </c>
      <c r="J1269" s="2" t="str">
        <f>VLOOKUP(E1269,[1]LL_Hub!$A$1:$B$13,2,FALSE)</f>
        <v>New York</v>
      </c>
      <c r="K1269" t="str">
        <f>VLOOKUP(D1269,'[2]product Table data'!$A$2:$B$12,2,FALSE)</f>
        <v>Female</v>
      </c>
      <c r="L1269" t="str">
        <f>VLOOKUP($D1269,'[2]product Table data'!$A$2:$G$12,L$1,FALSE)</f>
        <v>Casual n Light</v>
      </c>
      <c r="M1269" t="str">
        <f>VLOOKUP($D1269,'[2]product Table data'!$A$2:$G$12,M$1,FALSE)</f>
        <v>Honduras</v>
      </c>
      <c r="N1269" t="str">
        <f>VLOOKUP($D1269,'[2]product Table data'!$A$2:$G$12,N$1,FALSE)</f>
        <v>Central America</v>
      </c>
      <c r="O1269">
        <f>VLOOKUP($D1269,'[2]product Table data'!$A$2:$G$12,O$1,FALSE)</f>
        <v>30</v>
      </c>
      <c r="P1269">
        <f>VLOOKUP($D1269,'[2]product Table data'!$A$2:$G$12,P$1,FALSE)</f>
        <v>45</v>
      </c>
      <c r="Q1269">
        <f t="shared" si="95"/>
        <v>15</v>
      </c>
      <c r="R1269" t="str">
        <f t="shared" si="96"/>
        <v>-</v>
      </c>
      <c r="S1269" t="str">
        <f t="shared" si="97"/>
        <v>Style Risk</v>
      </c>
      <c r="T1269" t="str">
        <f t="shared" si="98"/>
        <v>-</v>
      </c>
      <c r="U1269" t="str">
        <f t="shared" si="99"/>
        <v>High Value</v>
      </c>
    </row>
    <row r="1270" spans="1:21" hidden="1" x14ac:dyDescent="0.2">
      <c r="A1270" s="2">
        <v>1268</v>
      </c>
      <c r="B1270" s="2" t="s">
        <v>9</v>
      </c>
      <c r="C1270" s="2" t="s">
        <v>1766</v>
      </c>
      <c r="D1270" s="2" t="s">
        <v>505</v>
      </c>
      <c r="E1270" s="2">
        <v>10001</v>
      </c>
      <c r="F1270" s="2" t="s">
        <v>1260</v>
      </c>
      <c r="G1270" s="2" t="s">
        <v>36</v>
      </c>
      <c r="H1270" s="2">
        <v>1</v>
      </c>
      <c r="I1270" s="2" t="s">
        <v>17</v>
      </c>
      <c r="J1270" s="2" t="str">
        <f>VLOOKUP(E1270,[1]LL_Hub!$A$1:$B$13,2,FALSE)</f>
        <v>New York</v>
      </c>
      <c r="K1270" t="str">
        <f>VLOOKUP(D1270,'[2]product Table data'!$A$2:$B$12,2,FALSE)</f>
        <v>Female</v>
      </c>
      <c r="L1270" t="str">
        <f>VLOOKUP($D1270,'[2]product Table data'!$A$2:$G$12,L$1,FALSE)</f>
        <v>Casual n Light</v>
      </c>
      <c r="M1270" t="str">
        <f>VLOOKUP($D1270,'[2]product Table data'!$A$2:$G$12,M$1,FALSE)</f>
        <v>Honduras</v>
      </c>
      <c r="N1270" t="str">
        <f>VLOOKUP($D1270,'[2]product Table data'!$A$2:$G$12,N$1,FALSE)</f>
        <v>Central America</v>
      </c>
      <c r="O1270">
        <f>VLOOKUP($D1270,'[2]product Table data'!$A$2:$G$12,O$1,FALSE)</f>
        <v>30</v>
      </c>
      <c r="P1270">
        <f>VLOOKUP($D1270,'[2]product Table data'!$A$2:$G$12,P$1,FALSE)</f>
        <v>45</v>
      </c>
      <c r="Q1270">
        <f t="shared" si="95"/>
        <v>15</v>
      </c>
      <c r="R1270" t="str">
        <f t="shared" si="96"/>
        <v>-</v>
      </c>
      <c r="S1270" t="str">
        <f t="shared" si="97"/>
        <v>Style Risk</v>
      </c>
      <c r="T1270" t="str">
        <f t="shared" si="98"/>
        <v>-</v>
      </c>
      <c r="U1270" t="str">
        <f t="shared" si="99"/>
        <v>High Value</v>
      </c>
    </row>
    <row r="1271" spans="1:21" hidden="1" x14ac:dyDescent="0.2">
      <c r="A1271" s="2">
        <v>1269</v>
      </c>
      <c r="B1271" s="2" t="s">
        <v>9</v>
      </c>
      <c r="C1271" s="2" t="s">
        <v>1767</v>
      </c>
      <c r="D1271" s="2" t="s">
        <v>505</v>
      </c>
      <c r="E1271" s="2">
        <v>10001</v>
      </c>
      <c r="F1271" s="2" t="s">
        <v>1260</v>
      </c>
      <c r="G1271" s="2" t="s">
        <v>36</v>
      </c>
      <c r="H1271" s="2">
        <v>1</v>
      </c>
      <c r="I1271" s="2" t="s">
        <v>17</v>
      </c>
      <c r="J1271" s="2" t="str">
        <f>VLOOKUP(E1271,[1]LL_Hub!$A$1:$B$13,2,FALSE)</f>
        <v>New York</v>
      </c>
      <c r="K1271" t="str">
        <f>VLOOKUP(D1271,'[2]product Table data'!$A$2:$B$12,2,FALSE)</f>
        <v>Female</v>
      </c>
      <c r="L1271" t="str">
        <f>VLOOKUP($D1271,'[2]product Table data'!$A$2:$G$12,L$1,FALSE)</f>
        <v>Casual n Light</v>
      </c>
      <c r="M1271" t="str">
        <f>VLOOKUP($D1271,'[2]product Table data'!$A$2:$G$12,M$1,FALSE)</f>
        <v>Honduras</v>
      </c>
      <c r="N1271" t="str">
        <f>VLOOKUP($D1271,'[2]product Table data'!$A$2:$G$12,N$1,FALSE)</f>
        <v>Central America</v>
      </c>
      <c r="O1271">
        <f>VLOOKUP($D1271,'[2]product Table data'!$A$2:$G$12,O$1,FALSE)</f>
        <v>30</v>
      </c>
      <c r="P1271">
        <f>VLOOKUP($D1271,'[2]product Table data'!$A$2:$G$12,P$1,FALSE)</f>
        <v>45</v>
      </c>
      <c r="Q1271">
        <f t="shared" si="95"/>
        <v>15</v>
      </c>
      <c r="R1271" t="str">
        <f t="shared" si="96"/>
        <v>-</v>
      </c>
      <c r="S1271" t="str">
        <f t="shared" si="97"/>
        <v>Style Risk</v>
      </c>
      <c r="T1271" t="str">
        <f t="shared" si="98"/>
        <v>-</v>
      </c>
      <c r="U1271" t="str">
        <f t="shared" si="99"/>
        <v>High Value</v>
      </c>
    </row>
    <row r="1272" spans="1:21" hidden="1" x14ac:dyDescent="0.2">
      <c r="A1272" s="2">
        <v>1270</v>
      </c>
      <c r="B1272" s="2" t="s">
        <v>9</v>
      </c>
      <c r="C1272" s="2" t="s">
        <v>1768</v>
      </c>
      <c r="D1272" s="2" t="s">
        <v>505</v>
      </c>
      <c r="E1272" s="2">
        <v>10001</v>
      </c>
      <c r="F1272" s="2" t="s">
        <v>1260</v>
      </c>
      <c r="G1272" s="2" t="s">
        <v>36</v>
      </c>
      <c r="H1272" s="2">
        <v>1</v>
      </c>
      <c r="I1272" s="2" t="s">
        <v>17</v>
      </c>
      <c r="J1272" s="2" t="str">
        <f>VLOOKUP(E1272,[1]LL_Hub!$A$1:$B$13,2,FALSE)</f>
        <v>New York</v>
      </c>
      <c r="K1272" t="str">
        <f>VLOOKUP(D1272,'[2]product Table data'!$A$2:$B$12,2,FALSE)</f>
        <v>Female</v>
      </c>
      <c r="L1272" t="str">
        <f>VLOOKUP($D1272,'[2]product Table data'!$A$2:$G$12,L$1,FALSE)</f>
        <v>Casual n Light</v>
      </c>
      <c r="M1272" t="str">
        <f>VLOOKUP($D1272,'[2]product Table data'!$A$2:$G$12,M$1,FALSE)</f>
        <v>Honduras</v>
      </c>
      <c r="N1272" t="str">
        <f>VLOOKUP($D1272,'[2]product Table data'!$A$2:$G$12,N$1,FALSE)</f>
        <v>Central America</v>
      </c>
      <c r="O1272">
        <f>VLOOKUP($D1272,'[2]product Table data'!$A$2:$G$12,O$1,FALSE)</f>
        <v>30</v>
      </c>
      <c r="P1272">
        <f>VLOOKUP($D1272,'[2]product Table data'!$A$2:$G$12,P$1,FALSE)</f>
        <v>45</v>
      </c>
      <c r="Q1272">
        <f t="shared" si="95"/>
        <v>15</v>
      </c>
      <c r="R1272" t="str">
        <f t="shared" si="96"/>
        <v>-</v>
      </c>
      <c r="S1272" t="str">
        <f t="shared" si="97"/>
        <v>Style Risk</v>
      </c>
      <c r="T1272" t="str">
        <f t="shared" si="98"/>
        <v>-</v>
      </c>
      <c r="U1272" t="str">
        <f t="shared" si="99"/>
        <v>High Value</v>
      </c>
    </row>
    <row r="1273" spans="1:21" hidden="1" x14ac:dyDescent="0.2">
      <c r="A1273" s="2">
        <v>1271</v>
      </c>
      <c r="B1273" s="2" t="s">
        <v>9</v>
      </c>
      <c r="C1273" s="2" t="s">
        <v>1769</v>
      </c>
      <c r="D1273" s="2" t="s">
        <v>505</v>
      </c>
      <c r="E1273" s="2">
        <v>10001</v>
      </c>
      <c r="F1273" s="2" t="s">
        <v>1260</v>
      </c>
      <c r="G1273" s="2" t="s">
        <v>36</v>
      </c>
      <c r="H1273" s="2">
        <v>1</v>
      </c>
      <c r="I1273" s="2" t="s">
        <v>17</v>
      </c>
      <c r="J1273" s="2" t="str">
        <f>VLOOKUP(E1273,[1]LL_Hub!$A$1:$B$13,2,FALSE)</f>
        <v>New York</v>
      </c>
      <c r="K1273" t="str">
        <f>VLOOKUP(D1273,'[2]product Table data'!$A$2:$B$12,2,FALSE)</f>
        <v>Female</v>
      </c>
      <c r="L1273" t="str">
        <f>VLOOKUP($D1273,'[2]product Table data'!$A$2:$G$12,L$1,FALSE)</f>
        <v>Casual n Light</v>
      </c>
      <c r="M1273" t="str">
        <f>VLOOKUP($D1273,'[2]product Table data'!$A$2:$G$12,M$1,FALSE)</f>
        <v>Honduras</v>
      </c>
      <c r="N1273" t="str">
        <f>VLOOKUP($D1273,'[2]product Table data'!$A$2:$G$12,N$1,FALSE)</f>
        <v>Central America</v>
      </c>
      <c r="O1273">
        <f>VLOOKUP($D1273,'[2]product Table data'!$A$2:$G$12,O$1,FALSE)</f>
        <v>30</v>
      </c>
      <c r="P1273">
        <f>VLOOKUP($D1273,'[2]product Table data'!$A$2:$G$12,P$1,FALSE)</f>
        <v>45</v>
      </c>
      <c r="Q1273">
        <f t="shared" si="95"/>
        <v>15</v>
      </c>
      <c r="R1273" t="str">
        <f t="shared" si="96"/>
        <v>-</v>
      </c>
      <c r="S1273" t="str">
        <f t="shared" si="97"/>
        <v>Style Risk</v>
      </c>
      <c r="T1273" t="str">
        <f t="shared" si="98"/>
        <v>-</v>
      </c>
      <c r="U1273" t="str">
        <f t="shared" si="99"/>
        <v>High Value</v>
      </c>
    </row>
    <row r="1274" spans="1:21" hidden="1" x14ac:dyDescent="0.2">
      <c r="A1274" s="2">
        <v>1272</v>
      </c>
      <c r="B1274" s="2" t="s">
        <v>9</v>
      </c>
      <c r="C1274" s="2" t="s">
        <v>1770</v>
      </c>
      <c r="D1274" s="2" t="s">
        <v>505</v>
      </c>
      <c r="E1274" s="2">
        <v>10001</v>
      </c>
      <c r="F1274" s="2" t="s">
        <v>1260</v>
      </c>
      <c r="G1274" s="2" t="s">
        <v>36</v>
      </c>
      <c r="H1274" s="2">
        <v>1</v>
      </c>
      <c r="I1274" s="2" t="s">
        <v>17</v>
      </c>
      <c r="J1274" s="2" t="str">
        <f>VLOOKUP(E1274,[1]LL_Hub!$A$1:$B$13,2,FALSE)</f>
        <v>New York</v>
      </c>
      <c r="K1274" t="str">
        <f>VLOOKUP(D1274,'[2]product Table data'!$A$2:$B$12,2,FALSE)</f>
        <v>Female</v>
      </c>
      <c r="L1274" t="str">
        <f>VLOOKUP($D1274,'[2]product Table data'!$A$2:$G$12,L$1,FALSE)</f>
        <v>Casual n Light</v>
      </c>
      <c r="M1274" t="str">
        <f>VLOOKUP($D1274,'[2]product Table data'!$A$2:$G$12,M$1,FALSE)</f>
        <v>Honduras</v>
      </c>
      <c r="N1274" t="str">
        <f>VLOOKUP($D1274,'[2]product Table data'!$A$2:$G$12,N$1,FALSE)</f>
        <v>Central America</v>
      </c>
      <c r="O1274">
        <f>VLOOKUP($D1274,'[2]product Table data'!$A$2:$G$12,O$1,FALSE)</f>
        <v>30</v>
      </c>
      <c r="P1274">
        <f>VLOOKUP($D1274,'[2]product Table data'!$A$2:$G$12,P$1,FALSE)</f>
        <v>45</v>
      </c>
      <c r="Q1274">
        <f t="shared" si="95"/>
        <v>15</v>
      </c>
      <c r="R1274" t="str">
        <f t="shared" si="96"/>
        <v>-</v>
      </c>
      <c r="S1274" t="str">
        <f t="shared" si="97"/>
        <v>Style Risk</v>
      </c>
      <c r="T1274" t="str">
        <f t="shared" si="98"/>
        <v>-</v>
      </c>
      <c r="U1274" t="str">
        <f t="shared" si="99"/>
        <v>High Value</v>
      </c>
    </row>
    <row r="1275" spans="1:21" hidden="1" x14ac:dyDescent="0.2">
      <c r="A1275" s="2">
        <v>1273</v>
      </c>
      <c r="B1275" s="2" t="s">
        <v>9</v>
      </c>
      <c r="C1275" s="2" t="s">
        <v>1771</v>
      </c>
      <c r="D1275" s="2" t="s">
        <v>505</v>
      </c>
      <c r="E1275" s="2">
        <v>10001</v>
      </c>
      <c r="F1275" s="2" t="s">
        <v>1260</v>
      </c>
      <c r="G1275" s="2" t="s">
        <v>36</v>
      </c>
      <c r="H1275" s="2">
        <v>1</v>
      </c>
      <c r="I1275" s="2" t="s">
        <v>17</v>
      </c>
      <c r="J1275" s="2" t="str">
        <f>VLOOKUP(E1275,[1]LL_Hub!$A$1:$B$13,2,FALSE)</f>
        <v>New York</v>
      </c>
      <c r="K1275" t="str">
        <f>VLOOKUP(D1275,'[2]product Table data'!$A$2:$B$12,2,FALSE)</f>
        <v>Female</v>
      </c>
      <c r="L1275" t="str">
        <f>VLOOKUP($D1275,'[2]product Table data'!$A$2:$G$12,L$1,FALSE)</f>
        <v>Casual n Light</v>
      </c>
      <c r="M1275" t="str">
        <f>VLOOKUP($D1275,'[2]product Table data'!$A$2:$G$12,M$1,FALSE)</f>
        <v>Honduras</v>
      </c>
      <c r="N1275" t="str">
        <f>VLOOKUP($D1275,'[2]product Table data'!$A$2:$G$12,N$1,FALSE)</f>
        <v>Central America</v>
      </c>
      <c r="O1275">
        <f>VLOOKUP($D1275,'[2]product Table data'!$A$2:$G$12,O$1,FALSE)</f>
        <v>30</v>
      </c>
      <c r="P1275">
        <f>VLOOKUP($D1275,'[2]product Table data'!$A$2:$G$12,P$1,FALSE)</f>
        <v>45</v>
      </c>
      <c r="Q1275">
        <f t="shared" si="95"/>
        <v>15</v>
      </c>
      <c r="R1275" t="str">
        <f t="shared" si="96"/>
        <v>-</v>
      </c>
      <c r="S1275" t="str">
        <f t="shared" si="97"/>
        <v>Style Risk</v>
      </c>
      <c r="T1275" t="str">
        <f t="shared" si="98"/>
        <v>-</v>
      </c>
      <c r="U1275" t="str">
        <f t="shared" si="99"/>
        <v>High Value</v>
      </c>
    </row>
    <row r="1276" spans="1:21" hidden="1" x14ac:dyDescent="0.2">
      <c r="A1276" s="2">
        <v>1274</v>
      </c>
      <c r="B1276" s="2" t="s">
        <v>9</v>
      </c>
      <c r="C1276" s="2" t="s">
        <v>1772</v>
      </c>
      <c r="D1276" s="2" t="s">
        <v>505</v>
      </c>
      <c r="E1276" s="2">
        <v>10001</v>
      </c>
      <c r="F1276" s="2" t="s">
        <v>1260</v>
      </c>
      <c r="G1276" s="2" t="s">
        <v>36</v>
      </c>
      <c r="H1276" s="2">
        <v>1</v>
      </c>
      <c r="I1276" s="2" t="s">
        <v>17</v>
      </c>
      <c r="J1276" s="2" t="str">
        <f>VLOOKUP(E1276,[1]LL_Hub!$A$1:$B$13,2,FALSE)</f>
        <v>New York</v>
      </c>
      <c r="K1276" t="str">
        <f>VLOOKUP(D1276,'[2]product Table data'!$A$2:$B$12,2,FALSE)</f>
        <v>Female</v>
      </c>
      <c r="L1276" t="str">
        <f>VLOOKUP($D1276,'[2]product Table data'!$A$2:$G$12,L$1,FALSE)</f>
        <v>Casual n Light</v>
      </c>
      <c r="M1276" t="str">
        <f>VLOOKUP($D1276,'[2]product Table data'!$A$2:$G$12,M$1,FALSE)</f>
        <v>Honduras</v>
      </c>
      <c r="N1276" t="str">
        <f>VLOOKUP($D1276,'[2]product Table data'!$A$2:$G$12,N$1,FALSE)</f>
        <v>Central America</v>
      </c>
      <c r="O1276">
        <f>VLOOKUP($D1276,'[2]product Table data'!$A$2:$G$12,O$1,FALSE)</f>
        <v>30</v>
      </c>
      <c r="P1276">
        <f>VLOOKUP($D1276,'[2]product Table data'!$A$2:$G$12,P$1,FALSE)</f>
        <v>45</v>
      </c>
      <c r="Q1276">
        <f t="shared" si="95"/>
        <v>15</v>
      </c>
      <c r="R1276" t="str">
        <f t="shared" si="96"/>
        <v>-</v>
      </c>
      <c r="S1276" t="str">
        <f t="shared" si="97"/>
        <v>Style Risk</v>
      </c>
      <c r="T1276" t="str">
        <f t="shared" si="98"/>
        <v>-</v>
      </c>
      <c r="U1276" t="str">
        <f t="shared" si="99"/>
        <v>High Value</v>
      </c>
    </row>
    <row r="1277" spans="1:21" hidden="1" x14ac:dyDescent="0.2">
      <c r="A1277" s="2">
        <v>1275</v>
      </c>
      <c r="B1277" s="2" t="s">
        <v>9</v>
      </c>
      <c r="C1277" s="2" t="s">
        <v>1773</v>
      </c>
      <c r="D1277" s="2" t="s">
        <v>505</v>
      </c>
      <c r="E1277" s="2">
        <v>10001</v>
      </c>
      <c r="F1277" s="2" t="s">
        <v>1260</v>
      </c>
      <c r="G1277" s="2" t="s">
        <v>36</v>
      </c>
      <c r="H1277" s="2">
        <v>1</v>
      </c>
      <c r="I1277" s="2" t="s">
        <v>17</v>
      </c>
      <c r="J1277" s="2" t="str">
        <f>VLOOKUP(E1277,[1]LL_Hub!$A$1:$B$13,2,FALSE)</f>
        <v>New York</v>
      </c>
      <c r="K1277" t="str">
        <f>VLOOKUP(D1277,'[2]product Table data'!$A$2:$B$12,2,FALSE)</f>
        <v>Female</v>
      </c>
      <c r="L1277" t="str">
        <f>VLOOKUP($D1277,'[2]product Table data'!$A$2:$G$12,L$1,FALSE)</f>
        <v>Casual n Light</v>
      </c>
      <c r="M1277" t="str">
        <f>VLOOKUP($D1277,'[2]product Table data'!$A$2:$G$12,M$1,FALSE)</f>
        <v>Honduras</v>
      </c>
      <c r="N1277" t="str">
        <f>VLOOKUP($D1277,'[2]product Table data'!$A$2:$G$12,N$1,FALSE)</f>
        <v>Central America</v>
      </c>
      <c r="O1277">
        <f>VLOOKUP($D1277,'[2]product Table data'!$A$2:$G$12,O$1,FALSE)</f>
        <v>30</v>
      </c>
      <c r="P1277">
        <f>VLOOKUP($D1277,'[2]product Table data'!$A$2:$G$12,P$1,FALSE)</f>
        <v>45</v>
      </c>
      <c r="Q1277">
        <f t="shared" si="95"/>
        <v>15</v>
      </c>
      <c r="R1277" t="str">
        <f t="shared" si="96"/>
        <v>-</v>
      </c>
      <c r="S1277" t="str">
        <f t="shared" si="97"/>
        <v>Style Risk</v>
      </c>
      <c r="T1277" t="str">
        <f t="shared" si="98"/>
        <v>-</v>
      </c>
      <c r="U1277" t="str">
        <f t="shared" si="99"/>
        <v>High Value</v>
      </c>
    </row>
    <row r="1278" spans="1:21" hidden="1" x14ac:dyDescent="0.2">
      <c r="A1278" s="2">
        <v>1276</v>
      </c>
      <c r="B1278" s="2" t="s">
        <v>9</v>
      </c>
      <c r="C1278" s="2" t="s">
        <v>1774</v>
      </c>
      <c r="D1278" s="2" t="s">
        <v>505</v>
      </c>
      <c r="E1278" s="2">
        <v>10001</v>
      </c>
      <c r="F1278" s="2" t="s">
        <v>1260</v>
      </c>
      <c r="G1278" s="2" t="s">
        <v>36</v>
      </c>
      <c r="H1278" s="2">
        <v>1</v>
      </c>
      <c r="I1278" s="2" t="s">
        <v>17</v>
      </c>
      <c r="J1278" s="2" t="str">
        <f>VLOOKUP(E1278,[1]LL_Hub!$A$1:$B$13,2,FALSE)</f>
        <v>New York</v>
      </c>
      <c r="K1278" t="str">
        <f>VLOOKUP(D1278,'[2]product Table data'!$A$2:$B$12,2,FALSE)</f>
        <v>Female</v>
      </c>
      <c r="L1278" t="str">
        <f>VLOOKUP($D1278,'[2]product Table data'!$A$2:$G$12,L$1,FALSE)</f>
        <v>Casual n Light</v>
      </c>
      <c r="M1278" t="str">
        <f>VLOOKUP($D1278,'[2]product Table data'!$A$2:$G$12,M$1,FALSE)</f>
        <v>Honduras</v>
      </c>
      <c r="N1278" t="str">
        <f>VLOOKUP($D1278,'[2]product Table data'!$A$2:$G$12,N$1,FALSE)</f>
        <v>Central America</v>
      </c>
      <c r="O1278">
        <f>VLOOKUP($D1278,'[2]product Table data'!$A$2:$G$12,O$1,FALSE)</f>
        <v>30</v>
      </c>
      <c r="P1278">
        <f>VLOOKUP($D1278,'[2]product Table data'!$A$2:$G$12,P$1,FALSE)</f>
        <v>45</v>
      </c>
      <c r="Q1278">
        <f t="shared" si="95"/>
        <v>15</v>
      </c>
      <c r="R1278" t="str">
        <f t="shared" si="96"/>
        <v>-</v>
      </c>
      <c r="S1278" t="str">
        <f t="shared" si="97"/>
        <v>Style Risk</v>
      </c>
      <c r="T1278" t="str">
        <f t="shared" si="98"/>
        <v>-</v>
      </c>
      <c r="U1278" t="str">
        <f t="shared" si="99"/>
        <v>High Value</v>
      </c>
    </row>
    <row r="1279" spans="1:21" hidden="1" x14ac:dyDescent="0.2">
      <c r="A1279" s="2">
        <v>1277</v>
      </c>
      <c r="B1279" s="2" t="s">
        <v>9</v>
      </c>
      <c r="C1279" s="2" t="s">
        <v>1775</v>
      </c>
      <c r="D1279" s="2" t="s">
        <v>505</v>
      </c>
      <c r="E1279" s="2">
        <v>10001</v>
      </c>
      <c r="F1279" s="2" t="s">
        <v>1260</v>
      </c>
      <c r="G1279" s="2" t="s">
        <v>36</v>
      </c>
      <c r="H1279" s="2">
        <v>1</v>
      </c>
      <c r="I1279" s="2" t="s">
        <v>17</v>
      </c>
      <c r="J1279" s="2" t="str">
        <f>VLOOKUP(E1279,[1]LL_Hub!$A$1:$B$13,2,FALSE)</f>
        <v>New York</v>
      </c>
      <c r="K1279" t="str">
        <f>VLOOKUP(D1279,'[2]product Table data'!$A$2:$B$12,2,FALSE)</f>
        <v>Female</v>
      </c>
      <c r="L1279" t="str">
        <f>VLOOKUP($D1279,'[2]product Table data'!$A$2:$G$12,L$1,FALSE)</f>
        <v>Casual n Light</v>
      </c>
      <c r="M1279" t="str">
        <f>VLOOKUP($D1279,'[2]product Table data'!$A$2:$G$12,M$1,FALSE)</f>
        <v>Honduras</v>
      </c>
      <c r="N1279" t="str">
        <f>VLOOKUP($D1279,'[2]product Table data'!$A$2:$G$12,N$1,FALSE)</f>
        <v>Central America</v>
      </c>
      <c r="O1279">
        <f>VLOOKUP($D1279,'[2]product Table data'!$A$2:$G$12,O$1,FALSE)</f>
        <v>30</v>
      </c>
      <c r="P1279">
        <f>VLOOKUP($D1279,'[2]product Table data'!$A$2:$G$12,P$1,FALSE)</f>
        <v>45</v>
      </c>
      <c r="Q1279">
        <f t="shared" si="95"/>
        <v>15</v>
      </c>
      <c r="R1279" t="str">
        <f t="shared" si="96"/>
        <v>-</v>
      </c>
      <c r="S1279" t="str">
        <f t="shared" si="97"/>
        <v>Style Risk</v>
      </c>
      <c r="T1279" t="str">
        <f t="shared" si="98"/>
        <v>-</v>
      </c>
      <c r="U1279" t="str">
        <f t="shared" si="99"/>
        <v>High Value</v>
      </c>
    </row>
    <row r="1280" spans="1:21" hidden="1" x14ac:dyDescent="0.2">
      <c r="A1280" s="2">
        <v>1278</v>
      </c>
      <c r="B1280" s="2" t="s">
        <v>9</v>
      </c>
      <c r="C1280" s="2" t="s">
        <v>1776</v>
      </c>
      <c r="D1280" s="2" t="s">
        <v>505</v>
      </c>
      <c r="E1280" s="2">
        <v>10001</v>
      </c>
      <c r="F1280" s="2" t="s">
        <v>1260</v>
      </c>
      <c r="G1280" s="2" t="s">
        <v>36</v>
      </c>
      <c r="H1280" s="2">
        <v>1</v>
      </c>
      <c r="I1280" s="2" t="s">
        <v>17</v>
      </c>
      <c r="J1280" s="2" t="str">
        <f>VLOOKUP(E1280,[1]LL_Hub!$A$1:$B$13,2,FALSE)</f>
        <v>New York</v>
      </c>
      <c r="K1280" t="str">
        <f>VLOOKUP(D1280,'[2]product Table data'!$A$2:$B$12,2,FALSE)</f>
        <v>Female</v>
      </c>
      <c r="L1280" t="str">
        <f>VLOOKUP($D1280,'[2]product Table data'!$A$2:$G$12,L$1,FALSE)</f>
        <v>Casual n Light</v>
      </c>
      <c r="M1280" t="str">
        <f>VLOOKUP($D1280,'[2]product Table data'!$A$2:$G$12,M$1,FALSE)</f>
        <v>Honduras</v>
      </c>
      <c r="N1280" t="str">
        <f>VLOOKUP($D1280,'[2]product Table data'!$A$2:$G$12,N$1,FALSE)</f>
        <v>Central America</v>
      </c>
      <c r="O1280">
        <f>VLOOKUP($D1280,'[2]product Table data'!$A$2:$G$12,O$1,FALSE)</f>
        <v>30</v>
      </c>
      <c r="P1280">
        <f>VLOOKUP($D1280,'[2]product Table data'!$A$2:$G$12,P$1,FALSE)</f>
        <v>45</v>
      </c>
      <c r="Q1280">
        <f t="shared" si="95"/>
        <v>15</v>
      </c>
      <c r="R1280" t="str">
        <f t="shared" si="96"/>
        <v>-</v>
      </c>
      <c r="S1280" t="str">
        <f t="shared" si="97"/>
        <v>Style Risk</v>
      </c>
      <c r="T1280" t="str">
        <f t="shared" si="98"/>
        <v>-</v>
      </c>
      <c r="U1280" t="str">
        <f t="shared" si="99"/>
        <v>High Value</v>
      </c>
    </row>
    <row r="1281" spans="1:21" hidden="1" x14ac:dyDescent="0.2">
      <c r="A1281" s="2">
        <v>1279</v>
      </c>
      <c r="B1281" s="2" t="s">
        <v>9</v>
      </c>
      <c r="C1281" s="2" t="s">
        <v>1777</v>
      </c>
      <c r="D1281" s="2" t="s">
        <v>505</v>
      </c>
      <c r="E1281" s="2">
        <v>10001</v>
      </c>
      <c r="F1281" s="2" t="s">
        <v>1260</v>
      </c>
      <c r="G1281" s="2" t="s">
        <v>36</v>
      </c>
      <c r="H1281" s="2">
        <v>1</v>
      </c>
      <c r="I1281" s="2" t="s">
        <v>17</v>
      </c>
      <c r="J1281" s="2" t="str">
        <f>VLOOKUP(E1281,[1]LL_Hub!$A$1:$B$13,2,FALSE)</f>
        <v>New York</v>
      </c>
      <c r="K1281" t="str">
        <f>VLOOKUP(D1281,'[2]product Table data'!$A$2:$B$12,2,FALSE)</f>
        <v>Female</v>
      </c>
      <c r="L1281" t="str">
        <f>VLOOKUP($D1281,'[2]product Table data'!$A$2:$G$12,L$1,FALSE)</f>
        <v>Casual n Light</v>
      </c>
      <c r="M1281" t="str">
        <f>VLOOKUP($D1281,'[2]product Table data'!$A$2:$G$12,M$1,FALSE)</f>
        <v>Honduras</v>
      </c>
      <c r="N1281" t="str">
        <f>VLOOKUP($D1281,'[2]product Table data'!$A$2:$G$12,N$1,FALSE)</f>
        <v>Central America</v>
      </c>
      <c r="O1281">
        <f>VLOOKUP($D1281,'[2]product Table data'!$A$2:$G$12,O$1,FALSE)</f>
        <v>30</v>
      </c>
      <c r="P1281">
        <f>VLOOKUP($D1281,'[2]product Table data'!$A$2:$G$12,P$1,FALSE)</f>
        <v>45</v>
      </c>
      <c r="Q1281">
        <f t="shared" si="95"/>
        <v>15</v>
      </c>
      <c r="R1281" t="str">
        <f t="shared" si="96"/>
        <v>-</v>
      </c>
      <c r="S1281" t="str">
        <f t="shared" si="97"/>
        <v>Style Risk</v>
      </c>
      <c r="T1281" t="str">
        <f t="shared" si="98"/>
        <v>-</v>
      </c>
      <c r="U1281" t="str">
        <f t="shared" si="99"/>
        <v>High Value</v>
      </c>
    </row>
    <row r="1282" spans="1:21" hidden="1" x14ac:dyDescent="0.2">
      <c r="A1282" s="2">
        <v>1280</v>
      </c>
      <c r="B1282" s="2" t="s">
        <v>9</v>
      </c>
      <c r="C1282" s="2" t="s">
        <v>1778</v>
      </c>
      <c r="D1282" s="2" t="s">
        <v>505</v>
      </c>
      <c r="E1282" s="2">
        <v>10001</v>
      </c>
      <c r="F1282" s="2" t="s">
        <v>1260</v>
      </c>
      <c r="G1282" s="2" t="s">
        <v>36</v>
      </c>
      <c r="H1282" s="2">
        <v>1</v>
      </c>
      <c r="I1282" s="2" t="s">
        <v>17</v>
      </c>
      <c r="J1282" s="2" t="str">
        <f>VLOOKUP(E1282,[1]LL_Hub!$A$1:$B$13,2,FALSE)</f>
        <v>New York</v>
      </c>
      <c r="K1282" t="str">
        <f>VLOOKUP(D1282,'[2]product Table data'!$A$2:$B$12,2,FALSE)</f>
        <v>Female</v>
      </c>
      <c r="L1282" t="str">
        <f>VLOOKUP($D1282,'[2]product Table data'!$A$2:$G$12,L$1,FALSE)</f>
        <v>Casual n Light</v>
      </c>
      <c r="M1282" t="str">
        <f>VLOOKUP($D1282,'[2]product Table data'!$A$2:$G$12,M$1,FALSE)</f>
        <v>Honduras</v>
      </c>
      <c r="N1282" t="str">
        <f>VLOOKUP($D1282,'[2]product Table data'!$A$2:$G$12,N$1,FALSE)</f>
        <v>Central America</v>
      </c>
      <c r="O1282">
        <f>VLOOKUP($D1282,'[2]product Table data'!$A$2:$G$12,O$1,FALSE)</f>
        <v>30</v>
      </c>
      <c r="P1282">
        <f>VLOOKUP($D1282,'[2]product Table data'!$A$2:$G$12,P$1,FALSE)</f>
        <v>45</v>
      </c>
      <c r="Q1282">
        <f t="shared" si="95"/>
        <v>15</v>
      </c>
      <c r="R1282" t="str">
        <f t="shared" si="96"/>
        <v>-</v>
      </c>
      <c r="S1282" t="str">
        <f t="shared" si="97"/>
        <v>Style Risk</v>
      </c>
      <c r="T1282" t="str">
        <f t="shared" si="98"/>
        <v>-</v>
      </c>
      <c r="U1282" t="str">
        <f t="shared" si="99"/>
        <v>High Value</v>
      </c>
    </row>
    <row r="1283" spans="1:21" hidden="1" x14ac:dyDescent="0.2">
      <c r="A1283" s="2">
        <v>1281</v>
      </c>
      <c r="B1283" s="2" t="s">
        <v>9</v>
      </c>
      <c r="C1283" s="2" t="s">
        <v>1779</v>
      </c>
      <c r="D1283" s="2" t="s">
        <v>505</v>
      </c>
      <c r="E1283" s="2">
        <v>10001</v>
      </c>
      <c r="F1283" s="2" t="s">
        <v>1260</v>
      </c>
      <c r="G1283" s="2" t="s">
        <v>36</v>
      </c>
      <c r="H1283" s="2">
        <v>1</v>
      </c>
      <c r="I1283" s="2" t="s">
        <v>17</v>
      </c>
      <c r="J1283" s="2" t="str">
        <f>VLOOKUP(E1283,[1]LL_Hub!$A$1:$B$13,2,FALSE)</f>
        <v>New York</v>
      </c>
      <c r="K1283" t="str">
        <f>VLOOKUP(D1283,'[2]product Table data'!$A$2:$B$12,2,FALSE)</f>
        <v>Female</v>
      </c>
      <c r="L1283" t="str">
        <f>VLOOKUP($D1283,'[2]product Table data'!$A$2:$G$12,L$1,FALSE)</f>
        <v>Casual n Light</v>
      </c>
      <c r="M1283" t="str">
        <f>VLOOKUP($D1283,'[2]product Table data'!$A$2:$G$12,M$1,FALSE)</f>
        <v>Honduras</v>
      </c>
      <c r="N1283" t="str">
        <f>VLOOKUP($D1283,'[2]product Table data'!$A$2:$G$12,N$1,FALSE)</f>
        <v>Central America</v>
      </c>
      <c r="O1283">
        <f>VLOOKUP($D1283,'[2]product Table data'!$A$2:$G$12,O$1,FALSE)</f>
        <v>30</v>
      </c>
      <c r="P1283">
        <f>VLOOKUP($D1283,'[2]product Table data'!$A$2:$G$12,P$1,FALSE)</f>
        <v>45</v>
      </c>
      <c r="Q1283">
        <f t="shared" ref="Q1283:Q1346" si="100">P1283-O1283</f>
        <v>15</v>
      </c>
      <c r="R1283" t="str">
        <f t="shared" ref="R1283:R1346" si="101">IF(OR(J1283="Los Angeles",J1283="Denver"),"Hub Risk","-")</f>
        <v>-</v>
      </c>
      <c r="S1283" t="str">
        <f t="shared" ref="S1283:S1346" si="102">IF(OR(L1283="Casual n Light",L1283="Fancy Sheek"),"Style Risk","-")</f>
        <v>Style Risk</v>
      </c>
      <c r="T1283" t="str">
        <f t="shared" ref="T1283:T1346" si="103">IF(AND(R1283="Hub Risk", S1283="Style Risk"), "Risk", "-")</f>
        <v>-</v>
      </c>
      <c r="U1283" t="str">
        <f t="shared" ref="U1283:U1346" si="104">IF(Q1283&lt;=5, "Low Value", "High Value")</f>
        <v>High Value</v>
      </c>
    </row>
    <row r="1284" spans="1:21" hidden="1" x14ac:dyDescent="0.2">
      <c r="A1284" s="2">
        <v>1282</v>
      </c>
      <c r="B1284" s="2" t="s">
        <v>9</v>
      </c>
      <c r="C1284" s="2" t="s">
        <v>1780</v>
      </c>
      <c r="D1284" s="2" t="s">
        <v>505</v>
      </c>
      <c r="E1284" s="2">
        <v>10001</v>
      </c>
      <c r="F1284" s="2" t="s">
        <v>1260</v>
      </c>
      <c r="G1284" s="2" t="s">
        <v>36</v>
      </c>
      <c r="H1284" s="2">
        <v>1</v>
      </c>
      <c r="I1284" s="2" t="s">
        <v>17</v>
      </c>
      <c r="J1284" s="2" t="str">
        <f>VLOOKUP(E1284,[1]LL_Hub!$A$1:$B$13,2,FALSE)</f>
        <v>New York</v>
      </c>
      <c r="K1284" t="str">
        <f>VLOOKUP(D1284,'[2]product Table data'!$A$2:$B$12,2,FALSE)</f>
        <v>Female</v>
      </c>
      <c r="L1284" t="str">
        <f>VLOOKUP($D1284,'[2]product Table data'!$A$2:$G$12,L$1,FALSE)</f>
        <v>Casual n Light</v>
      </c>
      <c r="M1284" t="str">
        <f>VLOOKUP($D1284,'[2]product Table data'!$A$2:$G$12,M$1,FALSE)</f>
        <v>Honduras</v>
      </c>
      <c r="N1284" t="str">
        <f>VLOOKUP($D1284,'[2]product Table data'!$A$2:$G$12,N$1,FALSE)</f>
        <v>Central America</v>
      </c>
      <c r="O1284">
        <f>VLOOKUP($D1284,'[2]product Table data'!$A$2:$G$12,O$1,FALSE)</f>
        <v>30</v>
      </c>
      <c r="P1284">
        <f>VLOOKUP($D1284,'[2]product Table data'!$A$2:$G$12,P$1,FALSE)</f>
        <v>45</v>
      </c>
      <c r="Q1284">
        <f t="shared" si="100"/>
        <v>15</v>
      </c>
      <c r="R1284" t="str">
        <f t="shared" si="101"/>
        <v>-</v>
      </c>
      <c r="S1284" t="str">
        <f t="shared" si="102"/>
        <v>Style Risk</v>
      </c>
      <c r="T1284" t="str">
        <f t="shared" si="103"/>
        <v>-</v>
      </c>
      <c r="U1284" t="str">
        <f t="shared" si="104"/>
        <v>High Value</v>
      </c>
    </row>
    <row r="1285" spans="1:21" hidden="1" x14ac:dyDescent="0.2">
      <c r="A1285" s="2">
        <v>1283</v>
      </c>
      <c r="B1285" s="2" t="s">
        <v>9</v>
      </c>
      <c r="C1285" s="2" t="s">
        <v>1781</v>
      </c>
      <c r="D1285" s="2" t="s">
        <v>505</v>
      </c>
      <c r="E1285" s="2">
        <v>10001</v>
      </c>
      <c r="F1285" s="2" t="s">
        <v>1260</v>
      </c>
      <c r="G1285" s="2" t="s">
        <v>36</v>
      </c>
      <c r="H1285" s="2">
        <v>1</v>
      </c>
      <c r="I1285" s="2" t="s">
        <v>17</v>
      </c>
      <c r="J1285" s="2" t="str">
        <f>VLOOKUP(E1285,[1]LL_Hub!$A$1:$B$13,2,FALSE)</f>
        <v>New York</v>
      </c>
      <c r="K1285" t="str">
        <f>VLOOKUP(D1285,'[2]product Table data'!$A$2:$B$12,2,FALSE)</f>
        <v>Female</v>
      </c>
      <c r="L1285" t="str">
        <f>VLOOKUP($D1285,'[2]product Table data'!$A$2:$G$12,L$1,FALSE)</f>
        <v>Casual n Light</v>
      </c>
      <c r="M1285" t="str">
        <f>VLOOKUP($D1285,'[2]product Table data'!$A$2:$G$12,M$1,FALSE)</f>
        <v>Honduras</v>
      </c>
      <c r="N1285" t="str">
        <f>VLOOKUP($D1285,'[2]product Table data'!$A$2:$G$12,N$1,FALSE)</f>
        <v>Central America</v>
      </c>
      <c r="O1285">
        <f>VLOOKUP($D1285,'[2]product Table data'!$A$2:$G$12,O$1,FALSE)</f>
        <v>30</v>
      </c>
      <c r="P1285">
        <f>VLOOKUP($D1285,'[2]product Table data'!$A$2:$G$12,P$1,FALSE)</f>
        <v>45</v>
      </c>
      <c r="Q1285">
        <f t="shared" si="100"/>
        <v>15</v>
      </c>
      <c r="R1285" t="str">
        <f t="shared" si="101"/>
        <v>-</v>
      </c>
      <c r="S1285" t="str">
        <f t="shared" si="102"/>
        <v>Style Risk</v>
      </c>
      <c r="T1285" t="str">
        <f t="shared" si="103"/>
        <v>-</v>
      </c>
      <c r="U1285" t="str">
        <f t="shared" si="104"/>
        <v>High Value</v>
      </c>
    </row>
    <row r="1286" spans="1:21" hidden="1" x14ac:dyDescent="0.2">
      <c r="A1286" s="2">
        <v>1284</v>
      </c>
      <c r="B1286" s="2" t="s">
        <v>9</v>
      </c>
      <c r="C1286" s="2" t="s">
        <v>1782</v>
      </c>
      <c r="D1286" s="2" t="s">
        <v>505</v>
      </c>
      <c r="E1286" s="2">
        <v>10001</v>
      </c>
      <c r="F1286" s="2" t="s">
        <v>1260</v>
      </c>
      <c r="G1286" s="2" t="s">
        <v>36</v>
      </c>
      <c r="H1286" s="2">
        <v>1</v>
      </c>
      <c r="I1286" s="2" t="s">
        <v>17</v>
      </c>
      <c r="J1286" s="2" t="str">
        <f>VLOOKUP(E1286,[1]LL_Hub!$A$1:$B$13,2,FALSE)</f>
        <v>New York</v>
      </c>
      <c r="K1286" t="str">
        <f>VLOOKUP(D1286,'[2]product Table data'!$A$2:$B$12,2,FALSE)</f>
        <v>Female</v>
      </c>
      <c r="L1286" t="str">
        <f>VLOOKUP($D1286,'[2]product Table data'!$A$2:$G$12,L$1,FALSE)</f>
        <v>Casual n Light</v>
      </c>
      <c r="M1286" t="str">
        <f>VLOOKUP($D1286,'[2]product Table data'!$A$2:$G$12,M$1,FALSE)</f>
        <v>Honduras</v>
      </c>
      <c r="N1286" t="str">
        <f>VLOOKUP($D1286,'[2]product Table data'!$A$2:$G$12,N$1,FALSE)</f>
        <v>Central America</v>
      </c>
      <c r="O1286">
        <f>VLOOKUP($D1286,'[2]product Table data'!$A$2:$G$12,O$1,FALSE)</f>
        <v>30</v>
      </c>
      <c r="P1286">
        <f>VLOOKUP($D1286,'[2]product Table data'!$A$2:$G$12,P$1,FALSE)</f>
        <v>45</v>
      </c>
      <c r="Q1286">
        <f t="shared" si="100"/>
        <v>15</v>
      </c>
      <c r="R1286" t="str">
        <f t="shared" si="101"/>
        <v>-</v>
      </c>
      <c r="S1286" t="str">
        <f t="shared" si="102"/>
        <v>Style Risk</v>
      </c>
      <c r="T1286" t="str">
        <f t="shared" si="103"/>
        <v>-</v>
      </c>
      <c r="U1286" t="str">
        <f t="shared" si="104"/>
        <v>High Value</v>
      </c>
    </row>
    <row r="1287" spans="1:21" hidden="1" x14ac:dyDescent="0.2">
      <c r="A1287" s="2">
        <v>1285</v>
      </c>
      <c r="B1287" s="2" t="s">
        <v>9</v>
      </c>
      <c r="C1287" s="2" t="s">
        <v>1783</v>
      </c>
      <c r="D1287" s="2" t="s">
        <v>505</v>
      </c>
      <c r="E1287" s="2">
        <v>10001</v>
      </c>
      <c r="F1287" s="2" t="s">
        <v>1784</v>
      </c>
      <c r="G1287" s="2" t="s">
        <v>13</v>
      </c>
      <c r="H1287" s="2">
        <v>1</v>
      </c>
      <c r="I1287" s="2" t="s">
        <v>17</v>
      </c>
      <c r="J1287" s="2" t="str">
        <f>VLOOKUP(E1287,[1]LL_Hub!$A$1:$B$13,2,FALSE)</f>
        <v>New York</v>
      </c>
      <c r="K1287" t="str">
        <f>VLOOKUP(D1287,'[2]product Table data'!$A$2:$B$12,2,FALSE)</f>
        <v>Female</v>
      </c>
      <c r="L1287" t="str">
        <f>VLOOKUP($D1287,'[2]product Table data'!$A$2:$G$12,L$1,FALSE)</f>
        <v>Casual n Light</v>
      </c>
      <c r="M1287" t="str">
        <f>VLOOKUP($D1287,'[2]product Table data'!$A$2:$G$12,M$1,FALSE)</f>
        <v>Honduras</v>
      </c>
      <c r="N1287" t="str">
        <f>VLOOKUP($D1287,'[2]product Table data'!$A$2:$G$12,N$1,FALSE)</f>
        <v>Central America</v>
      </c>
      <c r="O1287">
        <f>VLOOKUP($D1287,'[2]product Table data'!$A$2:$G$12,O$1,FALSE)</f>
        <v>30</v>
      </c>
      <c r="P1287">
        <f>VLOOKUP($D1287,'[2]product Table data'!$A$2:$G$12,P$1,FALSE)</f>
        <v>45</v>
      </c>
      <c r="Q1287">
        <f t="shared" si="100"/>
        <v>15</v>
      </c>
      <c r="R1287" t="str">
        <f t="shared" si="101"/>
        <v>-</v>
      </c>
      <c r="S1287" t="str">
        <f t="shared" si="102"/>
        <v>Style Risk</v>
      </c>
      <c r="T1287" t="str">
        <f t="shared" si="103"/>
        <v>-</v>
      </c>
      <c r="U1287" t="str">
        <f t="shared" si="104"/>
        <v>High Value</v>
      </c>
    </row>
    <row r="1288" spans="1:21" hidden="1" x14ac:dyDescent="0.2">
      <c r="A1288" s="2">
        <v>1286</v>
      </c>
      <c r="B1288" s="2" t="s">
        <v>9</v>
      </c>
      <c r="C1288" s="2" t="s">
        <v>1785</v>
      </c>
      <c r="D1288" s="2" t="s">
        <v>505</v>
      </c>
      <c r="E1288" s="2">
        <v>10001</v>
      </c>
      <c r="F1288" s="2" t="s">
        <v>1786</v>
      </c>
      <c r="G1288" s="2" t="s">
        <v>13</v>
      </c>
      <c r="H1288" s="2">
        <v>1</v>
      </c>
      <c r="I1288" s="2" t="s">
        <v>17</v>
      </c>
      <c r="J1288" s="2" t="str">
        <f>VLOOKUP(E1288,[1]LL_Hub!$A$1:$B$13,2,FALSE)</f>
        <v>New York</v>
      </c>
      <c r="K1288" t="str">
        <f>VLOOKUP(D1288,'[2]product Table data'!$A$2:$B$12,2,FALSE)</f>
        <v>Female</v>
      </c>
      <c r="L1288" t="str">
        <f>VLOOKUP($D1288,'[2]product Table data'!$A$2:$G$12,L$1,FALSE)</f>
        <v>Casual n Light</v>
      </c>
      <c r="M1288" t="str">
        <f>VLOOKUP($D1288,'[2]product Table data'!$A$2:$G$12,M$1,FALSE)</f>
        <v>Honduras</v>
      </c>
      <c r="N1288" t="str">
        <f>VLOOKUP($D1288,'[2]product Table data'!$A$2:$G$12,N$1,FALSE)</f>
        <v>Central America</v>
      </c>
      <c r="O1288">
        <f>VLOOKUP($D1288,'[2]product Table data'!$A$2:$G$12,O$1,FALSE)</f>
        <v>30</v>
      </c>
      <c r="P1288">
        <f>VLOOKUP($D1288,'[2]product Table data'!$A$2:$G$12,P$1,FALSE)</f>
        <v>45</v>
      </c>
      <c r="Q1288">
        <f t="shared" si="100"/>
        <v>15</v>
      </c>
      <c r="R1288" t="str">
        <f t="shared" si="101"/>
        <v>-</v>
      </c>
      <c r="S1288" t="str">
        <f t="shared" si="102"/>
        <v>Style Risk</v>
      </c>
      <c r="T1288" t="str">
        <f t="shared" si="103"/>
        <v>-</v>
      </c>
      <c r="U1288" t="str">
        <f t="shared" si="104"/>
        <v>High Value</v>
      </c>
    </row>
    <row r="1289" spans="1:21" hidden="1" x14ac:dyDescent="0.2">
      <c r="A1289" s="2">
        <v>1287</v>
      </c>
      <c r="B1289" s="2" t="s">
        <v>9</v>
      </c>
      <c r="C1289" s="2" t="s">
        <v>1787</v>
      </c>
      <c r="D1289" s="2" t="s">
        <v>505</v>
      </c>
      <c r="E1289" s="2">
        <v>10001</v>
      </c>
      <c r="F1289" s="2" t="s">
        <v>1788</v>
      </c>
      <c r="G1289" s="2" t="s">
        <v>13</v>
      </c>
      <c r="H1289" s="2">
        <v>1</v>
      </c>
      <c r="I1289" s="2" t="s">
        <v>17</v>
      </c>
      <c r="J1289" s="2" t="str">
        <f>VLOOKUP(E1289,[1]LL_Hub!$A$1:$B$13,2,FALSE)</f>
        <v>New York</v>
      </c>
      <c r="K1289" t="str">
        <f>VLOOKUP(D1289,'[2]product Table data'!$A$2:$B$12,2,FALSE)</f>
        <v>Female</v>
      </c>
      <c r="L1289" t="str">
        <f>VLOOKUP($D1289,'[2]product Table data'!$A$2:$G$12,L$1,FALSE)</f>
        <v>Casual n Light</v>
      </c>
      <c r="M1289" t="str">
        <f>VLOOKUP($D1289,'[2]product Table data'!$A$2:$G$12,M$1,FALSE)</f>
        <v>Honduras</v>
      </c>
      <c r="N1289" t="str">
        <f>VLOOKUP($D1289,'[2]product Table data'!$A$2:$G$12,N$1,FALSE)</f>
        <v>Central America</v>
      </c>
      <c r="O1289">
        <f>VLOOKUP($D1289,'[2]product Table data'!$A$2:$G$12,O$1,FALSE)</f>
        <v>30</v>
      </c>
      <c r="P1289">
        <f>VLOOKUP($D1289,'[2]product Table data'!$A$2:$G$12,P$1,FALSE)</f>
        <v>45</v>
      </c>
      <c r="Q1289">
        <f t="shared" si="100"/>
        <v>15</v>
      </c>
      <c r="R1289" t="str">
        <f t="shared" si="101"/>
        <v>-</v>
      </c>
      <c r="S1289" t="str">
        <f t="shared" si="102"/>
        <v>Style Risk</v>
      </c>
      <c r="T1289" t="str">
        <f t="shared" si="103"/>
        <v>-</v>
      </c>
      <c r="U1289" t="str">
        <f t="shared" si="104"/>
        <v>High Value</v>
      </c>
    </row>
    <row r="1290" spans="1:21" hidden="1" x14ac:dyDescent="0.2">
      <c r="A1290" s="2">
        <v>1288</v>
      </c>
      <c r="B1290" s="2" t="s">
        <v>9</v>
      </c>
      <c r="C1290" s="2" t="s">
        <v>1789</v>
      </c>
      <c r="D1290" s="2" t="s">
        <v>505</v>
      </c>
      <c r="E1290" s="2">
        <v>10001</v>
      </c>
      <c r="F1290" s="2" t="s">
        <v>1790</v>
      </c>
      <c r="G1290" s="2" t="s">
        <v>13</v>
      </c>
      <c r="H1290" s="2">
        <v>1</v>
      </c>
      <c r="I1290" s="2" t="s">
        <v>17</v>
      </c>
      <c r="J1290" s="2" t="str">
        <f>VLOOKUP(E1290,[1]LL_Hub!$A$1:$B$13,2,FALSE)</f>
        <v>New York</v>
      </c>
      <c r="K1290" t="str">
        <f>VLOOKUP(D1290,'[2]product Table data'!$A$2:$B$12,2,FALSE)</f>
        <v>Female</v>
      </c>
      <c r="L1290" t="str">
        <f>VLOOKUP($D1290,'[2]product Table data'!$A$2:$G$12,L$1,FALSE)</f>
        <v>Casual n Light</v>
      </c>
      <c r="M1290" t="str">
        <f>VLOOKUP($D1290,'[2]product Table data'!$A$2:$G$12,M$1,FALSE)</f>
        <v>Honduras</v>
      </c>
      <c r="N1290" t="str">
        <f>VLOOKUP($D1290,'[2]product Table data'!$A$2:$G$12,N$1,FALSE)</f>
        <v>Central America</v>
      </c>
      <c r="O1290">
        <f>VLOOKUP($D1290,'[2]product Table data'!$A$2:$G$12,O$1,FALSE)</f>
        <v>30</v>
      </c>
      <c r="P1290">
        <f>VLOOKUP($D1290,'[2]product Table data'!$A$2:$G$12,P$1,FALSE)</f>
        <v>45</v>
      </c>
      <c r="Q1290">
        <f t="shared" si="100"/>
        <v>15</v>
      </c>
      <c r="R1290" t="str">
        <f t="shared" si="101"/>
        <v>-</v>
      </c>
      <c r="S1290" t="str">
        <f t="shared" si="102"/>
        <v>Style Risk</v>
      </c>
      <c r="T1290" t="str">
        <f t="shared" si="103"/>
        <v>-</v>
      </c>
      <c r="U1290" t="str">
        <f t="shared" si="104"/>
        <v>High Value</v>
      </c>
    </row>
    <row r="1291" spans="1:21" hidden="1" x14ac:dyDescent="0.2">
      <c r="A1291" s="2">
        <v>1289</v>
      </c>
      <c r="B1291" s="2" t="s">
        <v>9</v>
      </c>
      <c r="C1291" s="2" t="s">
        <v>1791</v>
      </c>
      <c r="D1291" s="2" t="s">
        <v>505</v>
      </c>
      <c r="E1291" s="2">
        <v>10001</v>
      </c>
      <c r="F1291" s="2" t="s">
        <v>1792</v>
      </c>
      <c r="G1291" s="2" t="s">
        <v>13</v>
      </c>
      <c r="H1291" s="2">
        <v>1</v>
      </c>
      <c r="I1291" s="2" t="s">
        <v>17</v>
      </c>
      <c r="J1291" s="2" t="str">
        <f>VLOOKUP(E1291,[1]LL_Hub!$A$1:$B$13,2,FALSE)</f>
        <v>New York</v>
      </c>
      <c r="K1291" t="str">
        <f>VLOOKUP(D1291,'[2]product Table data'!$A$2:$B$12,2,FALSE)</f>
        <v>Female</v>
      </c>
      <c r="L1291" t="str">
        <f>VLOOKUP($D1291,'[2]product Table data'!$A$2:$G$12,L$1,FALSE)</f>
        <v>Casual n Light</v>
      </c>
      <c r="M1291" t="str">
        <f>VLOOKUP($D1291,'[2]product Table data'!$A$2:$G$12,M$1,FALSE)</f>
        <v>Honduras</v>
      </c>
      <c r="N1291" t="str">
        <f>VLOOKUP($D1291,'[2]product Table data'!$A$2:$G$12,N$1,FALSE)</f>
        <v>Central America</v>
      </c>
      <c r="O1291">
        <f>VLOOKUP($D1291,'[2]product Table data'!$A$2:$G$12,O$1,FALSE)</f>
        <v>30</v>
      </c>
      <c r="P1291">
        <f>VLOOKUP($D1291,'[2]product Table data'!$A$2:$G$12,P$1,FALSE)</f>
        <v>45</v>
      </c>
      <c r="Q1291">
        <f t="shared" si="100"/>
        <v>15</v>
      </c>
      <c r="R1291" t="str">
        <f t="shared" si="101"/>
        <v>-</v>
      </c>
      <c r="S1291" t="str">
        <f t="shared" si="102"/>
        <v>Style Risk</v>
      </c>
      <c r="T1291" t="str">
        <f t="shared" si="103"/>
        <v>-</v>
      </c>
      <c r="U1291" t="str">
        <f t="shared" si="104"/>
        <v>High Value</v>
      </c>
    </row>
    <row r="1292" spans="1:21" hidden="1" x14ac:dyDescent="0.2">
      <c r="A1292" s="2">
        <v>1290</v>
      </c>
      <c r="B1292" s="2" t="s">
        <v>9</v>
      </c>
      <c r="C1292" s="2" t="s">
        <v>1793</v>
      </c>
      <c r="D1292" s="2" t="s">
        <v>505</v>
      </c>
      <c r="E1292" s="2">
        <v>10001</v>
      </c>
      <c r="F1292" s="2" t="s">
        <v>1794</v>
      </c>
      <c r="G1292" s="2" t="s">
        <v>13</v>
      </c>
      <c r="H1292" s="2">
        <v>1</v>
      </c>
      <c r="I1292" s="2" t="s">
        <v>17</v>
      </c>
      <c r="J1292" s="2" t="str">
        <f>VLOOKUP(E1292,[1]LL_Hub!$A$1:$B$13,2,FALSE)</f>
        <v>New York</v>
      </c>
      <c r="K1292" t="str">
        <f>VLOOKUP(D1292,'[2]product Table data'!$A$2:$B$12,2,FALSE)</f>
        <v>Female</v>
      </c>
      <c r="L1292" t="str">
        <f>VLOOKUP($D1292,'[2]product Table data'!$A$2:$G$12,L$1,FALSE)</f>
        <v>Casual n Light</v>
      </c>
      <c r="M1292" t="str">
        <f>VLOOKUP($D1292,'[2]product Table data'!$A$2:$G$12,M$1,FALSE)</f>
        <v>Honduras</v>
      </c>
      <c r="N1292" t="str">
        <f>VLOOKUP($D1292,'[2]product Table data'!$A$2:$G$12,N$1,FALSE)</f>
        <v>Central America</v>
      </c>
      <c r="O1292">
        <f>VLOOKUP($D1292,'[2]product Table data'!$A$2:$G$12,O$1,FALSE)</f>
        <v>30</v>
      </c>
      <c r="P1292">
        <f>VLOOKUP($D1292,'[2]product Table data'!$A$2:$G$12,P$1,FALSE)</f>
        <v>45</v>
      </c>
      <c r="Q1292">
        <f t="shared" si="100"/>
        <v>15</v>
      </c>
      <c r="R1292" t="str">
        <f t="shared" si="101"/>
        <v>-</v>
      </c>
      <c r="S1292" t="str">
        <f t="shared" si="102"/>
        <v>Style Risk</v>
      </c>
      <c r="T1292" t="str">
        <f t="shared" si="103"/>
        <v>-</v>
      </c>
      <c r="U1292" t="str">
        <f t="shared" si="104"/>
        <v>High Value</v>
      </c>
    </row>
    <row r="1293" spans="1:21" hidden="1" x14ac:dyDescent="0.2">
      <c r="A1293" s="2">
        <v>1291</v>
      </c>
      <c r="B1293" s="2" t="s">
        <v>9</v>
      </c>
      <c r="C1293" s="2" t="s">
        <v>1795</v>
      </c>
      <c r="D1293" s="2" t="s">
        <v>505</v>
      </c>
      <c r="E1293" s="2">
        <v>10001</v>
      </c>
      <c r="F1293" s="2" t="s">
        <v>1796</v>
      </c>
      <c r="G1293" s="2" t="s">
        <v>13</v>
      </c>
      <c r="H1293" s="2">
        <v>1</v>
      </c>
      <c r="I1293" s="2" t="s">
        <v>17</v>
      </c>
      <c r="J1293" s="2" t="str">
        <f>VLOOKUP(E1293,[1]LL_Hub!$A$1:$B$13,2,FALSE)</f>
        <v>New York</v>
      </c>
      <c r="K1293" t="str">
        <f>VLOOKUP(D1293,'[2]product Table data'!$A$2:$B$12,2,FALSE)</f>
        <v>Female</v>
      </c>
      <c r="L1293" t="str">
        <f>VLOOKUP($D1293,'[2]product Table data'!$A$2:$G$12,L$1,FALSE)</f>
        <v>Casual n Light</v>
      </c>
      <c r="M1293" t="str">
        <f>VLOOKUP($D1293,'[2]product Table data'!$A$2:$G$12,M$1,FALSE)</f>
        <v>Honduras</v>
      </c>
      <c r="N1293" t="str">
        <f>VLOOKUP($D1293,'[2]product Table data'!$A$2:$G$12,N$1,FALSE)</f>
        <v>Central America</v>
      </c>
      <c r="O1293">
        <f>VLOOKUP($D1293,'[2]product Table data'!$A$2:$G$12,O$1,FALSE)</f>
        <v>30</v>
      </c>
      <c r="P1293">
        <f>VLOOKUP($D1293,'[2]product Table data'!$A$2:$G$12,P$1,FALSE)</f>
        <v>45</v>
      </c>
      <c r="Q1293">
        <f t="shared" si="100"/>
        <v>15</v>
      </c>
      <c r="R1293" t="str">
        <f t="shared" si="101"/>
        <v>-</v>
      </c>
      <c r="S1293" t="str">
        <f t="shared" si="102"/>
        <v>Style Risk</v>
      </c>
      <c r="T1293" t="str">
        <f t="shared" si="103"/>
        <v>-</v>
      </c>
      <c r="U1293" t="str">
        <f t="shared" si="104"/>
        <v>High Value</v>
      </c>
    </row>
    <row r="1294" spans="1:21" hidden="1" x14ac:dyDescent="0.2">
      <c r="A1294" s="2">
        <v>1292</v>
      </c>
      <c r="B1294" s="2" t="s">
        <v>9</v>
      </c>
      <c r="C1294" s="2" t="s">
        <v>1797</v>
      </c>
      <c r="D1294" s="2" t="s">
        <v>505</v>
      </c>
      <c r="E1294" s="2">
        <v>10001</v>
      </c>
      <c r="F1294" s="2" t="s">
        <v>1798</v>
      </c>
      <c r="G1294" s="2" t="s">
        <v>13</v>
      </c>
      <c r="H1294" s="2">
        <v>1</v>
      </c>
      <c r="I1294" s="2" t="s">
        <v>17</v>
      </c>
      <c r="J1294" s="2" t="str">
        <f>VLOOKUP(E1294,[1]LL_Hub!$A$1:$B$13,2,FALSE)</f>
        <v>New York</v>
      </c>
      <c r="K1294" t="str">
        <f>VLOOKUP(D1294,'[2]product Table data'!$A$2:$B$12,2,FALSE)</f>
        <v>Female</v>
      </c>
      <c r="L1294" t="str">
        <f>VLOOKUP($D1294,'[2]product Table data'!$A$2:$G$12,L$1,FALSE)</f>
        <v>Casual n Light</v>
      </c>
      <c r="M1294" t="str">
        <f>VLOOKUP($D1294,'[2]product Table data'!$A$2:$G$12,M$1,FALSE)</f>
        <v>Honduras</v>
      </c>
      <c r="N1294" t="str">
        <f>VLOOKUP($D1294,'[2]product Table data'!$A$2:$G$12,N$1,FALSE)</f>
        <v>Central America</v>
      </c>
      <c r="O1294">
        <f>VLOOKUP($D1294,'[2]product Table data'!$A$2:$G$12,O$1,FALSE)</f>
        <v>30</v>
      </c>
      <c r="P1294">
        <f>VLOOKUP($D1294,'[2]product Table data'!$A$2:$G$12,P$1,FALSE)</f>
        <v>45</v>
      </c>
      <c r="Q1294">
        <f t="shared" si="100"/>
        <v>15</v>
      </c>
      <c r="R1294" t="str">
        <f t="shared" si="101"/>
        <v>-</v>
      </c>
      <c r="S1294" t="str">
        <f t="shared" si="102"/>
        <v>Style Risk</v>
      </c>
      <c r="T1294" t="str">
        <f t="shared" si="103"/>
        <v>-</v>
      </c>
      <c r="U1294" t="str">
        <f t="shared" si="104"/>
        <v>High Value</v>
      </c>
    </row>
    <row r="1295" spans="1:21" hidden="1" x14ac:dyDescent="0.2">
      <c r="A1295" s="2">
        <v>1293</v>
      </c>
      <c r="B1295" s="2" t="s">
        <v>9</v>
      </c>
      <c r="C1295" s="2" t="s">
        <v>1799</v>
      </c>
      <c r="D1295" s="2" t="s">
        <v>505</v>
      </c>
      <c r="E1295" s="2">
        <v>10001</v>
      </c>
      <c r="F1295" s="2" t="s">
        <v>1800</v>
      </c>
      <c r="G1295" s="2" t="s">
        <v>13</v>
      </c>
      <c r="H1295" s="2">
        <v>1</v>
      </c>
      <c r="I1295" s="2" t="s">
        <v>17</v>
      </c>
      <c r="J1295" s="2" t="str">
        <f>VLOOKUP(E1295,[1]LL_Hub!$A$1:$B$13,2,FALSE)</f>
        <v>New York</v>
      </c>
      <c r="K1295" t="str">
        <f>VLOOKUP(D1295,'[2]product Table data'!$A$2:$B$12,2,FALSE)</f>
        <v>Female</v>
      </c>
      <c r="L1295" t="str">
        <f>VLOOKUP($D1295,'[2]product Table data'!$A$2:$G$12,L$1,FALSE)</f>
        <v>Casual n Light</v>
      </c>
      <c r="M1295" t="str">
        <f>VLOOKUP($D1295,'[2]product Table data'!$A$2:$G$12,M$1,FALSE)</f>
        <v>Honduras</v>
      </c>
      <c r="N1295" t="str">
        <f>VLOOKUP($D1295,'[2]product Table data'!$A$2:$G$12,N$1,FALSE)</f>
        <v>Central America</v>
      </c>
      <c r="O1295">
        <f>VLOOKUP($D1295,'[2]product Table data'!$A$2:$G$12,O$1,FALSE)</f>
        <v>30</v>
      </c>
      <c r="P1295">
        <f>VLOOKUP($D1295,'[2]product Table data'!$A$2:$G$12,P$1,FALSE)</f>
        <v>45</v>
      </c>
      <c r="Q1295">
        <f t="shared" si="100"/>
        <v>15</v>
      </c>
      <c r="R1295" t="str">
        <f t="shared" si="101"/>
        <v>-</v>
      </c>
      <c r="S1295" t="str">
        <f t="shared" si="102"/>
        <v>Style Risk</v>
      </c>
      <c r="T1295" t="str">
        <f t="shared" si="103"/>
        <v>-</v>
      </c>
      <c r="U1295" t="str">
        <f t="shared" si="104"/>
        <v>High Value</v>
      </c>
    </row>
    <row r="1296" spans="1:21" hidden="1" x14ac:dyDescent="0.2">
      <c r="A1296" s="2">
        <v>1294</v>
      </c>
      <c r="B1296" s="2" t="s">
        <v>9</v>
      </c>
      <c r="C1296" s="2" t="s">
        <v>1801</v>
      </c>
      <c r="D1296" s="2" t="s">
        <v>505</v>
      </c>
      <c r="E1296" s="2">
        <v>10001</v>
      </c>
      <c r="F1296" s="2" t="s">
        <v>1802</v>
      </c>
      <c r="G1296" s="2" t="s">
        <v>13</v>
      </c>
      <c r="H1296" s="2">
        <v>1</v>
      </c>
      <c r="I1296" s="2" t="s">
        <v>17</v>
      </c>
      <c r="J1296" s="2" t="str">
        <f>VLOOKUP(E1296,[1]LL_Hub!$A$1:$B$13,2,FALSE)</f>
        <v>New York</v>
      </c>
      <c r="K1296" t="str">
        <f>VLOOKUP(D1296,'[2]product Table data'!$A$2:$B$12,2,FALSE)</f>
        <v>Female</v>
      </c>
      <c r="L1296" t="str">
        <f>VLOOKUP($D1296,'[2]product Table data'!$A$2:$G$12,L$1,FALSE)</f>
        <v>Casual n Light</v>
      </c>
      <c r="M1296" t="str">
        <f>VLOOKUP($D1296,'[2]product Table data'!$A$2:$G$12,M$1,FALSE)</f>
        <v>Honduras</v>
      </c>
      <c r="N1296" t="str">
        <f>VLOOKUP($D1296,'[2]product Table data'!$A$2:$G$12,N$1,FALSE)</f>
        <v>Central America</v>
      </c>
      <c r="O1296">
        <f>VLOOKUP($D1296,'[2]product Table data'!$A$2:$G$12,O$1,FALSE)</f>
        <v>30</v>
      </c>
      <c r="P1296">
        <f>VLOOKUP($D1296,'[2]product Table data'!$A$2:$G$12,P$1,FALSE)</f>
        <v>45</v>
      </c>
      <c r="Q1296">
        <f t="shared" si="100"/>
        <v>15</v>
      </c>
      <c r="R1296" t="str">
        <f t="shared" si="101"/>
        <v>-</v>
      </c>
      <c r="S1296" t="str">
        <f t="shared" si="102"/>
        <v>Style Risk</v>
      </c>
      <c r="T1296" t="str">
        <f t="shared" si="103"/>
        <v>-</v>
      </c>
      <c r="U1296" t="str">
        <f t="shared" si="104"/>
        <v>High Value</v>
      </c>
    </row>
    <row r="1297" spans="1:21" hidden="1" x14ac:dyDescent="0.2">
      <c r="A1297" s="2">
        <v>1295</v>
      </c>
      <c r="B1297" s="2" t="s">
        <v>9</v>
      </c>
      <c r="C1297" s="2" t="s">
        <v>1803</v>
      </c>
      <c r="D1297" s="2" t="s">
        <v>505</v>
      </c>
      <c r="E1297" s="2">
        <v>10001</v>
      </c>
      <c r="F1297" s="2" t="s">
        <v>1804</v>
      </c>
      <c r="G1297" s="2" t="s">
        <v>13</v>
      </c>
      <c r="H1297" s="2">
        <v>1</v>
      </c>
      <c r="I1297" s="2" t="s">
        <v>17</v>
      </c>
      <c r="J1297" s="2" t="str">
        <f>VLOOKUP(E1297,[1]LL_Hub!$A$1:$B$13,2,FALSE)</f>
        <v>New York</v>
      </c>
      <c r="K1297" t="str">
        <f>VLOOKUP(D1297,'[2]product Table data'!$A$2:$B$12,2,FALSE)</f>
        <v>Female</v>
      </c>
      <c r="L1297" t="str">
        <f>VLOOKUP($D1297,'[2]product Table data'!$A$2:$G$12,L$1,FALSE)</f>
        <v>Casual n Light</v>
      </c>
      <c r="M1297" t="str">
        <f>VLOOKUP($D1297,'[2]product Table data'!$A$2:$G$12,M$1,FALSE)</f>
        <v>Honduras</v>
      </c>
      <c r="N1297" t="str">
        <f>VLOOKUP($D1297,'[2]product Table data'!$A$2:$G$12,N$1,FALSE)</f>
        <v>Central America</v>
      </c>
      <c r="O1297">
        <f>VLOOKUP($D1297,'[2]product Table data'!$A$2:$G$12,O$1,FALSE)</f>
        <v>30</v>
      </c>
      <c r="P1297">
        <f>VLOOKUP($D1297,'[2]product Table data'!$A$2:$G$12,P$1,FALSE)</f>
        <v>45</v>
      </c>
      <c r="Q1297">
        <f t="shared" si="100"/>
        <v>15</v>
      </c>
      <c r="R1297" t="str">
        <f t="shared" si="101"/>
        <v>-</v>
      </c>
      <c r="S1297" t="str">
        <f t="shared" si="102"/>
        <v>Style Risk</v>
      </c>
      <c r="T1297" t="str">
        <f t="shared" si="103"/>
        <v>-</v>
      </c>
      <c r="U1297" t="str">
        <f t="shared" si="104"/>
        <v>High Value</v>
      </c>
    </row>
    <row r="1298" spans="1:21" hidden="1" x14ac:dyDescent="0.2">
      <c r="A1298" s="2">
        <v>1296</v>
      </c>
      <c r="B1298" s="2" t="s">
        <v>9</v>
      </c>
      <c r="C1298" s="2" t="s">
        <v>1805</v>
      </c>
      <c r="D1298" s="2" t="s">
        <v>505</v>
      </c>
      <c r="E1298" s="2">
        <v>10001</v>
      </c>
      <c r="F1298" s="2" t="s">
        <v>1806</v>
      </c>
      <c r="G1298" s="2" t="s">
        <v>13</v>
      </c>
      <c r="H1298" s="2">
        <v>1</v>
      </c>
      <c r="I1298" s="2" t="s">
        <v>17</v>
      </c>
      <c r="J1298" s="2" t="str">
        <f>VLOOKUP(E1298,[1]LL_Hub!$A$1:$B$13,2,FALSE)</f>
        <v>New York</v>
      </c>
      <c r="K1298" t="str">
        <f>VLOOKUP(D1298,'[2]product Table data'!$A$2:$B$12,2,FALSE)</f>
        <v>Female</v>
      </c>
      <c r="L1298" t="str">
        <f>VLOOKUP($D1298,'[2]product Table data'!$A$2:$G$12,L$1,FALSE)</f>
        <v>Casual n Light</v>
      </c>
      <c r="M1298" t="str">
        <f>VLOOKUP($D1298,'[2]product Table data'!$A$2:$G$12,M$1,FALSE)</f>
        <v>Honduras</v>
      </c>
      <c r="N1298" t="str">
        <f>VLOOKUP($D1298,'[2]product Table data'!$A$2:$G$12,N$1,FALSE)</f>
        <v>Central America</v>
      </c>
      <c r="O1298">
        <f>VLOOKUP($D1298,'[2]product Table data'!$A$2:$G$12,O$1,FALSE)</f>
        <v>30</v>
      </c>
      <c r="P1298">
        <f>VLOOKUP($D1298,'[2]product Table data'!$A$2:$G$12,P$1,FALSE)</f>
        <v>45</v>
      </c>
      <c r="Q1298">
        <f t="shared" si="100"/>
        <v>15</v>
      </c>
      <c r="R1298" t="str">
        <f t="shared" si="101"/>
        <v>-</v>
      </c>
      <c r="S1298" t="str">
        <f t="shared" si="102"/>
        <v>Style Risk</v>
      </c>
      <c r="T1298" t="str">
        <f t="shared" si="103"/>
        <v>-</v>
      </c>
      <c r="U1298" t="str">
        <f t="shared" si="104"/>
        <v>High Value</v>
      </c>
    </row>
    <row r="1299" spans="1:21" hidden="1" x14ac:dyDescent="0.2">
      <c r="A1299" s="2">
        <v>1297</v>
      </c>
      <c r="B1299" s="2" t="s">
        <v>9</v>
      </c>
      <c r="C1299" s="2" t="s">
        <v>1807</v>
      </c>
      <c r="D1299" s="2" t="s">
        <v>505</v>
      </c>
      <c r="E1299" s="2">
        <v>10001</v>
      </c>
      <c r="F1299" s="2" t="s">
        <v>1260</v>
      </c>
      <c r="G1299" s="2" t="s">
        <v>36</v>
      </c>
      <c r="H1299" s="2">
        <v>1</v>
      </c>
      <c r="I1299" s="2" t="s">
        <v>17</v>
      </c>
      <c r="J1299" s="2" t="str">
        <f>VLOOKUP(E1299,[1]LL_Hub!$A$1:$B$13,2,FALSE)</f>
        <v>New York</v>
      </c>
      <c r="K1299" t="str">
        <f>VLOOKUP(D1299,'[2]product Table data'!$A$2:$B$12,2,FALSE)</f>
        <v>Female</v>
      </c>
      <c r="L1299" t="str">
        <f>VLOOKUP($D1299,'[2]product Table data'!$A$2:$G$12,L$1,FALSE)</f>
        <v>Casual n Light</v>
      </c>
      <c r="M1299" t="str">
        <f>VLOOKUP($D1299,'[2]product Table data'!$A$2:$G$12,M$1,FALSE)</f>
        <v>Honduras</v>
      </c>
      <c r="N1299" t="str">
        <f>VLOOKUP($D1299,'[2]product Table data'!$A$2:$G$12,N$1,FALSE)</f>
        <v>Central America</v>
      </c>
      <c r="O1299">
        <f>VLOOKUP($D1299,'[2]product Table data'!$A$2:$G$12,O$1,FALSE)</f>
        <v>30</v>
      </c>
      <c r="P1299">
        <f>VLOOKUP($D1299,'[2]product Table data'!$A$2:$G$12,P$1,FALSE)</f>
        <v>45</v>
      </c>
      <c r="Q1299">
        <f t="shared" si="100"/>
        <v>15</v>
      </c>
      <c r="R1299" t="str">
        <f t="shared" si="101"/>
        <v>-</v>
      </c>
      <c r="S1299" t="str">
        <f t="shared" si="102"/>
        <v>Style Risk</v>
      </c>
      <c r="T1299" t="str">
        <f t="shared" si="103"/>
        <v>-</v>
      </c>
      <c r="U1299" t="str">
        <f t="shared" si="104"/>
        <v>High Value</v>
      </c>
    </row>
    <row r="1300" spans="1:21" hidden="1" x14ac:dyDescent="0.2">
      <c r="A1300" s="2">
        <v>1298</v>
      </c>
      <c r="B1300" s="2" t="s">
        <v>9</v>
      </c>
      <c r="C1300" s="2" t="s">
        <v>1808</v>
      </c>
      <c r="D1300" s="2" t="s">
        <v>505</v>
      </c>
      <c r="E1300" s="2">
        <v>10001</v>
      </c>
      <c r="F1300" s="2" t="s">
        <v>1260</v>
      </c>
      <c r="G1300" s="2" t="s">
        <v>36</v>
      </c>
      <c r="H1300" s="2">
        <v>1</v>
      </c>
      <c r="I1300" s="2" t="s">
        <v>17</v>
      </c>
      <c r="J1300" s="2" t="str">
        <f>VLOOKUP(E1300,[1]LL_Hub!$A$1:$B$13,2,FALSE)</f>
        <v>New York</v>
      </c>
      <c r="K1300" t="str">
        <f>VLOOKUP(D1300,'[2]product Table data'!$A$2:$B$12,2,FALSE)</f>
        <v>Female</v>
      </c>
      <c r="L1300" t="str">
        <f>VLOOKUP($D1300,'[2]product Table data'!$A$2:$G$12,L$1,FALSE)</f>
        <v>Casual n Light</v>
      </c>
      <c r="M1300" t="str">
        <f>VLOOKUP($D1300,'[2]product Table data'!$A$2:$G$12,M$1,FALSE)</f>
        <v>Honduras</v>
      </c>
      <c r="N1300" t="str">
        <f>VLOOKUP($D1300,'[2]product Table data'!$A$2:$G$12,N$1,FALSE)</f>
        <v>Central America</v>
      </c>
      <c r="O1300">
        <f>VLOOKUP($D1300,'[2]product Table data'!$A$2:$G$12,O$1,FALSE)</f>
        <v>30</v>
      </c>
      <c r="P1300">
        <f>VLOOKUP($D1300,'[2]product Table data'!$A$2:$G$12,P$1,FALSE)</f>
        <v>45</v>
      </c>
      <c r="Q1300">
        <f t="shared" si="100"/>
        <v>15</v>
      </c>
      <c r="R1300" t="str">
        <f t="shared" si="101"/>
        <v>-</v>
      </c>
      <c r="S1300" t="str">
        <f t="shared" si="102"/>
        <v>Style Risk</v>
      </c>
      <c r="T1300" t="str">
        <f t="shared" si="103"/>
        <v>-</v>
      </c>
      <c r="U1300" t="str">
        <f t="shared" si="104"/>
        <v>High Value</v>
      </c>
    </row>
    <row r="1301" spans="1:21" hidden="1" x14ac:dyDescent="0.2">
      <c r="A1301" s="2">
        <v>1299</v>
      </c>
      <c r="B1301" s="2" t="s">
        <v>9</v>
      </c>
      <c r="C1301" s="2" t="s">
        <v>1809</v>
      </c>
      <c r="D1301" s="2" t="s">
        <v>505</v>
      </c>
      <c r="E1301" s="2">
        <v>10001</v>
      </c>
      <c r="F1301" s="2" t="s">
        <v>1260</v>
      </c>
      <c r="G1301" s="2" t="s">
        <v>36</v>
      </c>
      <c r="H1301" s="2">
        <v>1</v>
      </c>
      <c r="I1301" s="2" t="s">
        <v>17</v>
      </c>
      <c r="J1301" s="2" t="str">
        <f>VLOOKUP(E1301,[1]LL_Hub!$A$1:$B$13,2,FALSE)</f>
        <v>New York</v>
      </c>
      <c r="K1301" t="str">
        <f>VLOOKUP(D1301,'[2]product Table data'!$A$2:$B$12,2,FALSE)</f>
        <v>Female</v>
      </c>
      <c r="L1301" t="str">
        <f>VLOOKUP($D1301,'[2]product Table data'!$A$2:$G$12,L$1,FALSE)</f>
        <v>Casual n Light</v>
      </c>
      <c r="M1301" t="str">
        <f>VLOOKUP($D1301,'[2]product Table data'!$A$2:$G$12,M$1,FALSE)</f>
        <v>Honduras</v>
      </c>
      <c r="N1301" t="str">
        <f>VLOOKUP($D1301,'[2]product Table data'!$A$2:$G$12,N$1,FALSE)</f>
        <v>Central America</v>
      </c>
      <c r="O1301">
        <f>VLOOKUP($D1301,'[2]product Table data'!$A$2:$G$12,O$1,FALSE)</f>
        <v>30</v>
      </c>
      <c r="P1301">
        <f>VLOOKUP($D1301,'[2]product Table data'!$A$2:$G$12,P$1,FALSE)</f>
        <v>45</v>
      </c>
      <c r="Q1301">
        <f t="shared" si="100"/>
        <v>15</v>
      </c>
      <c r="R1301" t="str">
        <f t="shared" si="101"/>
        <v>-</v>
      </c>
      <c r="S1301" t="str">
        <f t="shared" si="102"/>
        <v>Style Risk</v>
      </c>
      <c r="T1301" t="str">
        <f t="shared" si="103"/>
        <v>-</v>
      </c>
      <c r="U1301" t="str">
        <f t="shared" si="104"/>
        <v>High Value</v>
      </c>
    </row>
    <row r="1302" spans="1:21" hidden="1" x14ac:dyDescent="0.2">
      <c r="A1302" s="2">
        <v>1300</v>
      </c>
      <c r="B1302" s="2" t="s">
        <v>9</v>
      </c>
      <c r="C1302" s="2" t="s">
        <v>1810</v>
      </c>
      <c r="D1302" s="2" t="s">
        <v>505</v>
      </c>
      <c r="E1302" s="2">
        <v>10001</v>
      </c>
      <c r="F1302" s="2" t="s">
        <v>1260</v>
      </c>
      <c r="G1302" s="2" t="s">
        <v>36</v>
      </c>
      <c r="H1302" s="2">
        <v>1</v>
      </c>
      <c r="I1302" s="2" t="s">
        <v>17</v>
      </c>
      <c r="J1302" s="2" t="str">
        <f>VLOOKUP(E1302,[1]LL_Hub!$A$1:$B$13,2,FALSE)</f>
        <v>New York</v>
      </c>
      <c r="K1302" t="str">
        <f>VLOOKUP(D1302,'[2]product Table data'!$A$2:$B$12,2,FALSE)</f>
        <v>Female</v>
      </c>
      <c r="L1302" t="str">
        <f>VLOOKUP($D1302,'[2]product Table data'!$A$2:$G$12,L$1,FALSE)</f>
        <v>Casual n Light</v>
      </c>
      <c r="M1302" t="str">
        <f>VLOOKUP($D1302,'[2]product Table data'!$A$2:$G$12,M$1,FALSE)</f>
        <v>Honduras</v>
      </c>
      <c r="N1302" t="str">
        <f>VLOOKUP($D1302,'[2]product Table data'!$A$2:$G$12,N$1,FALSE)</f>
        <v>Central America</v>
      </c>
      <c r="O1302">
        <f>VLOOKUP($D1302,'[2]product Table data'!$A$2:$G$12,O$1,FALSE)</f>
        <v>30</v>
      </c>
      <c r="P1302">
        <f>VLOOKUP($D1302,'[2]product Table data'!$A$2:$G$12,P$1,FALSE)</f>
        <v>45</v>
      </c>
      <c r="Q1302">
        <f t="shared" si="100"/>
        <v>15</v>
      </c>
      <c r="R1302" t="str">
        <f t="shared" si="101"/>
        <v>-</v>
      </c>
      <c r="S1302" t="str">
        <f t="shared" si="102"/>
        <v>Style Risk</v>
      </c>
      <c r="T1302" t="str">
        <f t="shared" si="103"/>
        <v>-</v>
      </c>
      <c r="U1302" t="str">
        <f t="shared" si="104"/>
        <v>High Value</v>
      </c>
    </row>
    <row r="1303" spans="1:21" hidden="1" x14ac:dyDescent="0.2">
      <c r="A1303" s="2">
        <v>1301</v>
      </c>
      <c r="B1303" s="2" t="s">
        <v>9</v>
      </c>
      <c r="C1303" s="2" t="s">
        <v>1811</v>
      </c>
      <c r="D1303" s="2" t="s">
        <v>505</v>
      </c>
      <c r="E1303" s="2">
        <v>10001</v>
      </c>
      <c r="F1303" s="2" t="s">
        <v>1260</v>
      </c>
      <c r="G1303" s="2" t="s">
        <v>36</v>
      </c>
      <c r="H1303" s="2">
        <v>1</v>
      </c>
      <c r="I1303" s="2" t="s">
        <v>17</v>
      </c>
      <c r="J1303" s="2" t="str">
        <f>VLOOKUP(E1303,[1]LL_Hub!$A$1:$B$13,2,FALSE)</f>
        <v>New York</v>
      </c>
      <c r="K1303" t="str">
        <f>VLOOKUP(D1303,'[2]product Table data'!$A$2:$B$12,2,FALSE)</f>
        <v>Female</v>
      </c>
      <c r="L1303" t="str">
        <f>VLOOKUP($D1303,'[2]product Table data'!$A$2:$G$12,L$1,FALSE)</f>
        <v>Casual n Light</v>
      </c>
      <c r="M1303" t="str">
        <f>VLOOKUP($D1303,'[2]product Table data'!$A$2:$G$12,M$1,FALSE)</f>
        <v>Honduras</v>
      </c>
      <c r="N1303" t="str">
        <f>VLOOKUP($D1303,'[2]product Table data'!$A$2:$G$12,N$1,FALSE)</f>
        <v>Central America</v>
      </c>
      <c r="O1303">
        <f>VLOOKUP($D1303,'[2]product Table data'!$A$2:$G$12,O$1,FALSE)</f>
        <v>30</v>
      </c>
      <c r="P1303">
        <f>VLOOKUP($D1303,'[2]product Table data'!$A$2:$G$12,P$1,FALSE)</f>
        <v>45</v>
      </c>
      <c r="Q1303">
        <f t="shared" si="100"/>
        <v>15</v>
      </c>
      <c r="R1303" t="str">
        <f t="shared" si="101"/>
        <v>-</v>
      </c>
      <c r="S1303" t="str">
        <f t="shared" si="102"/>
        <v>Style Risk</v>
      </c>
      <c r="T1303" t="str">
        <f t="shared" si="103"/>
        <v>-</v>
      </c>
      <c r="U1303" t="str">
        <f t="shared" si="104"/>
        <v>High Value</v>
      </c>
    </row>
    <row r="1304" spans="1:21" hidden="1" x14ac:dyDescent="0.2">
      <c r="A1304" s="2">
        <v>1302</v>
      </c>
      <c r="B1304" s="2" t="s">
        <v>9</v>
      </c>
      <c r="C1304" s="2" t="s">
        <v>1812</v>
      </c>
      <c r="D1304" s="2" t="s">
        <v>505</v>
      </c>
      <c r="E1304" s="2">
        <v>10001</v>
      </c>
      <c r="F1304" s="2" t="s">
        <v>1260</v>
      </c>
      <c r="G1304" s="2" t="s">
        <v>36</v>
      </c>
      <c r="H1304" s="2">
        <v>1</v>
      </c>
      <c r="I1304" s="2" t="s">
        <v>17</v>
      </c>
      <c r="J1304" s="2" t="str">
        <f>VLOOKUP(E1304,[1]LL_Hub!$A$1:$B$13,2,FALSE)</f>
        <v>New York</v>
      </c>
      <c r="K1304" t="str">
        <f>VLOOKUP(D1304,'[2]product Table data'!$A$2:$B$12,2,FALSE)</f>
        <v>Female</v>
      </c>
      <c r="L1304" t="str">
        <f>VLOOKUP($D1304,'[2]product Table data'!$A$2:$G$12,L$1,FALSE)</f>
        <v>Casual n Light</v>
      </c>
      <c r="M1304" t="str">
        <f>VLOOKUP($D1304,'[2]product Table data'!$A$2:$G$12,M$1,FALSE)</f>
        <v>Honduras</v>
      </c>
      <c r="N1304" t="str">
        <f>VLOOKUP($D1304,'[2]product Table data'!$A$2:$G$12,N$1,FALSE)</f>
        <v>Central America</v>
      </c>
      <c r="O1304">
        <f>VLOOKUP($D1304,'[2]product Table data'!$A$2:$G$12,O$1,FALSE)</f>
        <v>30</v>
      </c>
      <c r="P1304">
        <f>VLOOKUP($D1304,'[2]product Table data'!$A$2:$G$12,P$1,FALSE)</f>
        <v>45</v>
      </c>
      <c r="Q1304">
        <f t="shared" si="100"/>
        <v>15</v>
      </c>
      <c r="R1304" t="str">
        <f t="shared" si="101"/>
        <v>-</v>
      </c>
      <c r="S1304" t="str">
        <f t="shared" si="102"/>
        <v>Style Risk</v>
      </c>
      <c r="T1304" t="str">
        <f t="shared" si="103"/>
        <v>-</v>
      </c>
      <c r="U1304" t="str">
        <f t="shared" si="104"/>
        <v>High Value</v>
      </c>
    </row>
    <row r="1305" spans="1:21" hidden="1" x14ac:dyDescent="0.2">
      <c r="A1305" s="2">
        <v>1303</v>
      </c>
      <c r="B1305" s="2" t="s">
        <v>9</v>
      </c>
      <c r="C1305" s="2" t="s">
        <v>1813</v>
      </c>
      <c r="D1305" s="2" t="s">
        <v>505</v>
      </c>
      <c r="E1305" s="2">
        <v>10001</v>
      </c>
      <c r="F1305" s="2" t="s">
        <v>1260</v>
      </c>
      <c r="G1305" s="2" t="s">
        <v>36</v>
      </c>
      <c r="H1305" s="2">
        <v>1</v>
      </c>
      <c r="I1305" s="2" t="s">
        <v>17</v>
      </c>
      <c r="J1305" s="2" t="str">
        <f>VLOOKUP(E1305,[1]LL_Hub!$A$1:$B$13,2,FALSE)</f>
        <v>New York</v>
      </c>
      <c r="K1305" t="str">
        <f>VLOOKUP(D1305,'[2]product Table data'!$A$2:$B$12,2,FALSE)</f>
        <v>Female</v>
      </c>
      <c r="L1305" t="str">
        <f>VLOOKUP($D1305,'[2]product Table data'!$A$2:$G$12,L$1,FALSE)</f>
        <v>Casual n Light</v>
      </c>
      <c r="M1305" t="str">
        <f>VLOOKUP($D1305,'[2]product Table data'!$A$2:$G$12,M$1,FALSE)</f>
        <v>Honduras</v>
      </c>
      <c r="N1305" t="str">
        <f>VLOOKUP($D1305,'[2]product Table data'!$A$2:$G$12,N$1,FALSE)</f>
        <v>Central America</v>
      </c>
      <c r="O1305">
        <f>VLOOKUP($D1305,'[2]product Table data'!$A$2:$G$12,O$1,FALSE)</f>
        <v>30</v>
      </c>
      <c r="P1305">
        <f>VLOOKUP($D1305,'[2]product Table data'!$A$2:$G$12,P$1,FALSE)</f>
        <v>45</v>
      </c>
      <c r="Q1305">
        <f t="shared" si="100"/>
        <v>15</v>
      </c>
      <c r="R1305" t="str">
        <f t="shared" si="101"/>
        <v>-</v>
      </c>
      <c r="S1305" t="str">
        <f t="shared" si="102"/>
        <v>Style Risk</v>
      </c>
      <c r="T1305" t="str">
        <f t="shared" si="103"/>
        <v>-</v>
      </c>
      <c r="U1305" t="str">
        <f t="shared" si="104"/>
        <v>High Value</v>
      </c>
    </row>
    <row r="1306" spans="1:21" hidden="1" x14ac:dyDescent="0.2">
      <c r="A1306" s="2">
        <v>1304</v>
      </c>
      <c r="B1306" s="2" t="s">
        <v>9</v>
      </c>
      <c r="C1306" s="2" t="s">
        <v>1814</v>
      </c>
      <c r="D1306" s="2" t="s">
        <v>505</v>
      </c>
      <c r="E1306" s="2">
        <v>10001</v>
      </c>
      <c r="F1306" s="2" t="s">
        <v>1260</v>
      </c>
      <c r="G1306" s="2" t="s">
        <v>36</v>
      </c>
      <c r="H1306" s="2">
        <v>1</v>
      </c>
      <c r="I1306" s="2" t="s">
        <v>17</v>
      </c>
      <c r="J1306" s="2" t="str">
        <f>VLOOKUP(E1306,[1]LL_Hub!$A$1:$B$13,2,FALSE)</f>
        <v>New York</v>
      </c>
      <c r="K1306" t="str">
        <f>VLOOKUP(D1306,'[2]product Table data'!$A$2:$B$12,2,FALSE)</f>
        <v>Female</v>
      </c>
      <c r="L1306" t="str">
        <f>VLOOKUP($D1306,'[2]product Table data'!$A$2:$G$12,L$1,FALSE)</f>
        <v>Casual n Light</v>
      </c>
      <c r="M1306" t="str">
        <f>VLOOKUP($D1306,'[2]product Table data'!$A$2:$G$12,M$1,FALSE)</f>
        <v>Honduras</v>
      </c>
      <c r="N1306" t="str">
        <f>VLOOKUP($D1306,'[2]product Table data'!$A$2:$G$12,N$1,FALSE)</f>
        <v>Central America</v>
      </c>
      <c r="O1306">
        <f>VLOOKUP($D1306,'[2]product Table data'!$A$2:$G$12,O$1,FALSE)</f>
        <v>30</v>
      </c>
      <c r="P1306">
        <f>VLOOKUP($D1306,'[2]product Table data'!$A$2:$G$12,P$1,FALSE)</f>
        <v>45</v>
      </c>
      <c r="Q1306">
        <f t="shared" si="100"/>
        <v>15</v>
      </c>
      <c r="R1306" t="str">
        <f t="shared" si="101"/>
        <v>-</v>
      </c>
      <c r="S1306" t="str">
        <f t="shared" si="102"/>
        <v>Style Risk</v>
      </c>
      <c r="T1306" t="str">
        <f t="shared" si="103"/>
        <v>-</v>
      </c>
      <c r="U1306" t="str">
        <f t="shared" si="104"/>
        <v>High Value</v>
      </c>
    </row>
    <row r="1307" spans="1:21" hidden="1" x14ac:dyDescent="0.2">
      <c r="A1307" s="2">
        <v>1305</v>
      </c>
      <c r="B1307" s="2" t="s">
        <v>9</v>
      </c>
      <c r="C1307" s="2" t="s">
        <v>1815</v>
      </c>
      <c r="D1307" s="2" t="s">
        <v>505</v>
      </c>
      <c r="E1307" s="2">
        <v>10001</v>
      </c>
      <c r="F1307" s="2" t="s">
        <v>1260</v>
      </c>
      <c r="G1307" s="2" t="s">
        <v>36</v>
      </c>
      <c r="H1307" s="2">
        <v>1</v>
      </c>
      <c r="I1307" s="2" t="s">
        <v>17</v>
      </c>
      <c r="J1307" s="2" t="str">
        <f>VLOOKUP(E1307,[1]LL_Hub!$A$1:$B$13,2,FALSE)</f>
        <v>New York</v>
      </c>
      <c r="K1307" t="str">
        <f>VLOOKUP(D1307,'[2]product Table data'!$A$2:$B$12,2,FALSE)</f>
        <v>Female</v>
      </c>
      <c r="L1307" t="str">
        <f>VLOOKUP($D1307,'[2]product Table data'!$A$2:$G$12,L$1,FALSE)</f>
        <v>Casual n Light</v>
      </c>
      <c r="M1307" t="str">
        <f>VLOOKUP($D1307,'[2]product Table data'!$A$2:$G$12,M$1,FALSE)</f>
        <v>Honduras</v>
      </c>
      <c r="N1307" t="str">
        <f>VLOOKUP($D1307,'[2]product Table data'!$A$2:$G$12,N$1,FALSE)</f>
        <v>Central America</v>
      </c>
      <c r="O1307">
        <f>VLOOKUP($D1307,'[2]product Table data'!$A$2:$G$12,O$1,FALSE)</f>
        <v>30</v>
      </c>
      <c r="P1307">
        <f>VLOOKUP($D1307,'[2]product Table data'!$A$2:$G$12,P$1,FALSE)</f>
        <v>45</v>
      </c>
      <c r="Q1307">
        <f t="shared" si="100"/>
        <v>15</v>
      </c>
      <c r="R1307" t="str">
        <f t="shared" si="101"/>
        <v>-</v>
      </c>
      <c r="S1307" t="str">
        <f t="shared" si="102"/>
        <v>Style Risk</v>
      </c>
      <c r="T1307" t="str">
        <f t="shared" si="103"/>
        <v>-</v>
      </c>
      <c r="U1307" t="str">
        <f t="shared" si="104"/>
        <v>High Value</v>
      </c>
    </row>
    <row r="1308" spans="1:21" hidden="1" x14ac:dyDescent="0.2">
      <c r="A1308" s="2">
        <v>1306</v>
      </c>
      <c r="B1308" s="2" t="s">
        <v>9</v>
      </c>
      <c r="C1308" s="2" t="s">
        <v>1816</v>
      </c>
      <c r="D1308" s="2" t="s">
        <v>505</v>
      </c>
      <c r="E1308" s="2">
        <v>10001</v>
      </c>
      <c r="F1308" s="2" t="s">
        <v>1260</v>
      </c>
      <c r="G1308" s="2" t="s">
        <v>36</v>
      </c>
      <c r="H1308" s="2">
        <v>1</v>
      </c>
      <c r="I1308" s="2" t="s">
        <v>17</v>
      </c>
      <c r="J1308" s="2" t="str">
        <f>VLOOKUP(E1308,[1]LL_Hub!$A$1:$B$13,2,FALSE)</f>
        <v>New York</v>
      </c>
      <c r="K1308" t="str">
        <f>VLOOKUP(D1308,'[2]product Table data'!$A$2:$B$12,2,FALSE)</f>
        <v>Female</v>
      </c>
      <c r="L1308" t="str">
        <f>VLOOKUP($D1308,'[2]product Table data'!$A$2:$G$12,L$1,FALSE)</f>
        <v>Casual n Light</v>
      </c>
      <c r="M1308" t="str">
        <f>VLOOKUP($D1308,'[2]product Table data'!$A$2:$G$12,M$1,FALSE)</f>
        <v>Honduras</v>
      </c>
      <c r="N1308" t="str">
        <f>VLOOKUP($D1308,'[2]product Table data'!$A$2:$G$12,N$1,FALSE)</f>
        <v>Central America</v>
      </c>
      <c r="O1308">
        <f>VLOOKUP($D1308,'[2]product Table data'!$A$2:$G$12,O$1,FALSE)</f>
        <v>30</v>
      </c>
      <c r="P1308">
        <f>VLOOKUP($D1308,'[2]product Table data'!$A$2:$G$12,P$1,FALSE)</f>
        <v>45</v>
      </c>
      <c r="Q1308">
        <f t="shared" si="100"/>
        <v>15</v>
      </c>
      <c r="R1308" t="str">
        <f t="shared" si="101"/>
        <v>-</v>
      </c>
      <c r="S1308" t="str">
        <f t="shared" si="102"/>
        <v>Style Risk</v>
      </c>
      <c r="T1308" t="str">
        <f t="shared" si="103"/>
        <v>-</v>
      </c>
      <c r="U1308" t="str">
        <f t="shared" si="104"/>
        <v>High Value</v>
      </c>
    </row>
    <row r="1309" spans="1:21" hidden="1" x14ac:dyDescent="0.2">
      <c r="A1309" s="2">
        <v>1307</v>
      </c>
      <c r="B1309" s="2" t="s">
        <v>9</v>
      </c>
      <c r="C1309" s="2" t="s">
        <v>1817</v>
      </c>
      <c r="D1309" s="2" t="s">
        <v>505</v>
      </c>
      <c r="E1309" s="2">
        <v>10001</v>
      </c>
      <c r="F1309" s="2" t="s">
        <v>1260</v>
      </c>
      <c r="G1309" s="2" t="s">
        <v>36</v>
      </c>
      <c r="H1309" s="2">
        <v>1</v>
      </c>
      <c r="I1309" s="2" t="s">
        <v>17</v>
      </c>
      <c r="J1309" s="2" t="str">
        <f>VLOOKUP(E1309,[1]LL_Hub!$A$1:$B$13,2,FALSE)</f>
        <v>New York</v>
      </c>
      <c r="K1309" t="str">
        <f>VLOOKUP(D1309,'[2]product Table data'!$A$2:$B$12,2,FALSE)</f>
        <v>Female</v>
      </c>
      <c r="L1309" t="str">
        <f>VLOOKUP($D1309,'[2]product Table data'!$A$2:$G$12,L$1,FALSE)</f>
        <v>Casual n Light</v>
      </c>
      <c r="M1309" t="str">
        <f>VLOOKUP($D1309,'[2]product Table data'!$A$2:$G$12,M$1,FALSE)</f>
        <v>Honduras</v>
      </c>
      <c r="N1309" t="str">
        <f>VLOOKUP($D1309,'[2]product Table data'!$A$2:$G$12,N$1,FALSE)</f>
        <v>Central America</v>
      </c>
      <c r="O1309">
        <f>VLOOKUP($D1309,'[2]product Table data'!$A$2:$G$12,O$1,FALSE)</f>
        <v>30</v>
      </c>
      <c r="P1309">
        <f>VLOOKUP($D1309,'[2]product Table data'!$A$2:$G$12,P$1,FALSE)</f>
        <v>45</v>
      </c>
      <c r="Q1309">
        <f t="shared" si="100"/>
        <v>15</v>
      </c>
      <c r="R1309" t="str">
        <f t="shared" si="101"/>
        <v>-</v>
      </c>
      <c r="S1309" t="str">
        <f t="shared" si="102"/>
        <v>Style Risk</v>
      </c>
      <c r="T1309" t="str">
        <f t="shared" si="103"/>
        <v>-</v>
      </c>
      <c r="U1309" t="str">
        <f t="shared" si="104"/>
        <v>High Value</v>
      </c>
    </row>
    <row r="1310" spans="1:21" hidden="1" x14ac:dyDescent="0.2">
      <c r="A1310" s="2">
        <v>1308</v>
      </c>
      <c r="B1310" s="2" t="s">
        <v>9</v>
      </c>
      <c r="C1310" s="2" t="s">
        <v>1818</v>
      </c>
      <c r="D1310" s="2" t="s">
        <v>505</v>
      </c>
      <c r="E1310" s="2">
        <v>10001</v>
      </c>
      <c r="F1310" s="2" t="s">
        <v>1260</v>
      </c>
      <c r="G1310" s="2" t="s">
        <v>36</v>
      </c>
      <c r="H1310" s="2">
        <v>1</v>
      </c>
      <c r="I1310" s="2" t="s">
        <v>17</v>
      </c>
      <c r="J1310" s="2" t="str">
        <f>VLOOKUP(E1310,[1]LL_Hub!$A$1:$B$13,2,FALSE)</f>
        <v>New York</v>
      </c>
      <c r="K1310" t="str">
        <f>VLOOKUP(D1310,'[2]product Table data'!$A$2:$B$12,2,FALSE)</f>
        <v>Female</v>
      </c>
      <c r="L1310" t="str">
        <f>VLOOKUP($D1310,'[2]product Table data'!$A$2:$G$12,L$1,FALSE)</f>
        <v>Casual n Light</v>
      </c>
      <c r="M1310" t="str">
        <f>VLOOKUP($D1310,'[2]product Table data'!$A$2:$G$12,M$1,FALSE)</f>
        <v>Honduras</v>
      </c>
      <c r="N1310" t="str">
        <f>VLOOKUP($D1310,'[2]product Table data'!$A$2:$G$12,N$1,FALSE)</f>
        <v>Central America</v>
      </c>
      <c r="O1310">
        <f>VLOOKUP($D1310,'[2]product Table data'!$A$2:$G$12,O$1,FALSE)</f>
        <v>30</v>
      </c>
      <c r="P1310">
        <f>VLOOKUP($D1310,'[2]product Table data'!$A$2:$G$12,P$1,FALSE)</f>
        <v>45</v>
      </c>
      <c r="Q1310">
        <f t="shared" si="100"/>
        <v>15</v>
      </c>
      <c r="R1310" t="str">
        <f t="shared" si="101"/>
        <v>-</v>
      </c>
      <c r="S1310" t="str">
        <f t="shared" si="102"/>
        <v>Style Risk</v>
      </c>
      <c r="T1310" t="str">
        <f t="shared" si="103"/>
        <v>-</v>
      </c>
      <c r="U1310" t="str">
        <f t="shared" si="104"/>
        <v>High Value</v>
      </c>
    </row>
    <row r="1311" spans="1:21" hidden="1" x14ac:dyDescent="0.2">
      <c r="A1311" s="2">
        <v>1309</v>
      </c>
      <c r="B1311" s="2" t="s">
        <v>9</v>
      </c>
      <c r="C1311" s="2" t="s">
        <v>1819</v>
      </c>
      <c r="D1311" s="2" t="s">
        <v>505</v>
      </c>
      <c r="E1311" s="2">
        <v>10001</v>
      </c>
      <c r="F1311" s="2" t="s">
        <v>1260</v>
      </c>
      <c r="G1311" s="2" t="s">
        <v>36</v>
      </c>
      <c r="H1311" s="2">
        <v>1</v>
      </c>
      <c r="I1311" s="2" t="s">
        <v>17</v>
      </c>
      <c r="J1311" s="2" t="str">
        <f>VLOOKUP(E1311,[1]LL_Hub!$A$1:$B$13,2,FALSE)</f>
        <v>New York</v>
      </c>
      <c r="K1311" t="str">
        <f>VLOOKUP(D1311,'[2]product Table data'!$A$2:$B$12,2,FALSE)</f>
        <v>Female</v>
      </c>
      <c r="L1311" t="str">
        <f>VLOOKUP($D1311,'[2]product Table data'!$A$2:$G$12,L$1,FALSE)</f>
        <v>Casual n Light</v>
      </c>
      <c r="M1311" t="str">
        <f>VLOOKUP($D1311,'[2]product Table data'!$A$2:$G$12,M$1,FALSE)</f>
        <v>Honduras</v>
      </c>
      <c r="N1311" t="str">
        <f>VLOOKUP($D1311,'[2]product Table data'!$A$2:$G$12,N$1,FALSE)</f>
        <v>Central America</v>
      </c>
      <c r="O1311">
        <f>VLOOKUP($D1311,'[2]product Table data'!$A$2:$G$12,O$1,FALSE)</f>
        <v>30</v>
      </c>
      <c r="P1311">
        <f>VLOOKUP($D1311,'[2]product Table data'!$A$2:$G$12,P$1,FALSE)</f>
        <v>45</v>
      </c>
      <c r="Q1311">
        <f t="shared" si="100"/>
        <v>15</v>
      </c>
      <c r="R1311" t="str">
        <f t="shared" si="101"/>
        <v>-</v>
      </c>
      <c r="S1311" t="str">
        <f t="shared" si="102"/>
        <v>Style Risk</v>
      </c>
      <c r="T1311" t="str">
        <f t="shared" si="103"/>
        <v>-</v>
      </c>
      <c r="U1311" t="str">
        <f t="shared" si="104"/>
        <v>High Value</v>
      </c>
    </row>
    <row r="1312" spans="1:21" hidden="1" x14ac:dyDescent="0.2">
      <c r="A1312" s="2">
        <v>1310</v>
      </c>
      <c r="B1312" s="2" t="s">
        <v>9</v>
      </c>
      <c r="C1312" s="2" t="s">
        <v>1820</v>
      </c>
      <c r="D1312" s="2" t="s">
        <v>505</v>
      </c>
      <c r="E1312" s="2">
        <v>10001</v>
      </c>
      <c r="F1312" s="2" t="s">
        <v>1260</v>
      </c>
      <c r="G1312" s="2" t="s">
        <v>36</v>
      </c>
      <c r="H1312" s="2">
        <v>1</v>
      </c>
      <c r="I1312" s="2" t="s">
        <v>17</v>
      </c>
      <c r="J1312" s="2" t="str">
        <f>VLOOKUP(E1312,[1]LL_Hub!$A$1:$B$13,2,FALSE)</f>
        <v>New York</v>
      </c>
      <c r="K1312" t="str">
        <f>VLOOKUP(D1312,'[2]product Table data'!$A$2:$B$12,2,FALSE)</f>
        <v>Female</v>
      </c>
      <c r="L1312" t="str">
        <f>VLOOKUP($D1312,'[2]product Table data'!$A$2:$G$12,L$1,FALSE)</f>
        <v>Casual n Light</v>
      </c>
      <c r="M1312" t="str">
        <f>VLOOKUP($D1312,'[2]product Table data'!$A$2:$G$12,M$1,FALSE)</f>
        <v>Honduras</v>
      </c>
      <c r="N1312" t="str">
        <f>VLOOKUP($D1312,'[2]product Table data'!$A$2:$G$12,N$1,FALSE)</f>
        <v>Central America</v>
      </c>
      <c r="O1312">
        <f>VLOOKUP($D1312,'[2]product Table data'!$A$2:$G$12,O$1,FALSE)</f>
        <v>30</v>
      </c>
      <c r="P1312">
        <f>VLOOKUP($D1312,'[2]product Table data'!$A$2:$G$12,P$1,FALSE)</f>
        <v>45</v>
      </c>
      <c r="Q1312">
        <f t="shared" si="100"/>
        <v>15</v>
      </c>
      <c r="R1312" t="str">
        <f t="shared" si="101"/>
        <v>-</v>
      </c>
      <c r="S1312" t="str">
        <f t="shared" si="102"/>
        <v>Style Risk</v>
      </c>
      <c r="T1312" t="str">
        <f t="shared" si="103"/>
        <v>-</v>
      </c>
      <c r="U1312" t="str">
        <f t="shared" si="104"/>
        <v>High Value</v>
      </c>
    </row>
    <row r="1313" spans="1:21" hidden="1" x14ac:dyDescent="0.2">
      <c r="A1313" s="2">
        <v>1311</v>
      </c>
      <c r="B1313" s="2" t="s">
        <v>9</v>
      </c>
      <c r="C1313" s="2" t="s">
        <v>1821</v>
      </c>
      <c r="D1313" s="2" t="s">
        <v>505</v>
      </c>
      <c r="E1313" s="2">
        <v>10001</v>
      </c>
      <c r="F1313" s="2" t="s">
        <v>1260</v>
      </c>
      <c r="G1313" s="2" t="s">
        <v>36</v>
      </c>
      <c r="H1313" s="2">
        <v>1</v>
      </c>
      <c r="I1313" s="2" t="s">
        <v>17</v>
      </c>
      <c r="J1313" s="2" t="str">
        <f>VLOOKUP(E1313,[1]LL_Hub!$A$1:$B$13,2,FALSE)</f>
        <v>New York</v>
      </c>
      <c r="K1313" t="str">
        <f>VLOOKUP(D1313,'[2]product Table data'!$A$2:$B$12,2,FALSE)</f>
        <v>Female</v>
      </c>
      <c r="L1313" t="str">
        <f>VLOOKUP($D1313,'[2]product Table data'!$A$2:$G$12,L$1,FALSE)</f>
        <v>Casual n Light</v>
      </c>
      <c r="M1313" t="str">
        <f>VLOOKUP($D1313,'[2]product Table data'!$A$2:$G$12,M$1,FALSE)</f>
        <v>Honduras</v>
      </c>
      <c r="N1313" t="str">
        <f>VLOOKUP($D1313,'[2]product Table data'!$A$2:$G$12,N$1,FALSE)</f>
        <v>Central America</v>
      </c>
      <c r="O1313">
        <f>VLOOKUP($D1313,'[2]product Table data'!$A$2:$G$12,O$1,FALSE)</f>
        <v>30</v>
      </c>
      <c r="P1313">
        <f>VLOOKUP($D1313,'[2]product Table data'!$A$2:$G$12,P$1,FALSE)</f>
        <v>45</v>
      </c>
      <c r="Q1313">
        <f t="shared" si="100"/>
        <v>15</v>
      </c>
      <c r="R1313" t="str">
        <f t="shared" si="101"/>
        <v>-</v>
      </c>
      <c r="S1313" t="str">
        <f t="shared" si="102"/>
        <v>Style Risk</v>
      </c>
      <c r="T1313" t="str">
        <f t="shared" si="103"/>
        <v>-</v>
      </c>
      <c r="U1313" t="str">
        <f t="shared" si="104"/>
        <v>High Value</v>
      </c>
    </row>
    <row r="1314" spans="1:21" hidden="1" x14ac:dyDescent="0.2">
      <c r="A1314" s="2">
        <v>1312</v>
      </c>
      <c r="B1314" s="2" t="s">
        <v>9</v>
      </c>
      <c r="C1314" s="2" t="s">
        <v>1822</v>
      </c>
      <c r="D1314" s="2" t="s">
        <v>505</v>
      </c>
      <c r="E1314" s="2">
        <v>10001</v>
      </c>
      <c r="F1314" s="2" t="s">
        <v>1260</v>
      </c>
      <c r="G1314" s="2" t="s">
        <v>36</v>
      </c>
      <c r="H1314" s="2">
        <v>1</v>
      </c>
      <c r="I1314" s="2" t="s">
        <v>17</v>
      </c>
      <c r="J1314" s="2" t="str">
        <f>VLOOKUP(E1314,[1]LL_Hub!$A$1:$B$13,2,FALSE)</f>
        <v>New York</v>
      </c>
      <c r="K1314" t="str">
        <f>VLOOKUP(D1314,'[2]product Table data'!$A$2:$B$12,2,FALSE)</f>
        <v>Female</v>
      </c>
      <c r="L1314" t="str">
        <f>VLOOKUP($D1314,'[2]product Table data'!$A$2:$G$12,L$1,FALSE)</f>
        <v>Casual n Light</v>
      </c>
      <c r="M1314" t="str">
        <f>VLOOKUP($D1314,'[2]product Table data'!$A$2:$G$12,M$1,FALSE)</f>
        <v>Honduras</v>
      </c>
      <c r="N1314" t="str">
        <f>VLOOKUP($D1314,'[2]product Table data'!$A$2:$G$12,N$1,FALSE)</f>
        <v>Central America</v>
      </c>
      <c r="O1314">
        <f>VLOOKUP($D1314,'[2]product Table data'!$A$2:$G$12,O$1,FALSE)</f>
        <v>30</v>
      </c>
      <c r="P1314">
        <f>VLOOKUP($D1314,'[2]product Table data'!$A$2:$G$12,P$1,FALSE)</f>
        <v>45</v>
      </c>
      <c r="Q1314">
        <f t="shared" si="100"/>
        <v>15</v>
      </c>
      <c r="R1314" t="str">
        <f t="shared" si="101"/>
        <v>-</v>
      </c>
      <c r="S1314" t="str">
        <f t="shared" si="102"/>
        <v>Style Risk</v>
      </c>
      <c r="T1314" t="str">
        <f t="shared" si="103"/>
        <v>-</v>
      </c>
      <c r="U1314" t="str">
        <f t="shared" si="104"/>
        <v>High Value</v>
      </c>
    </row>
    <row r="1315" spans="1:21" hidden="1" x14ac:dyDescent="0.2">
      <c r="A1315" s="2">
        <v>1313</v>
      </c>
      <c r="B1315" s="2" t="s">
        <v>9</v>
      </c>
      <c r="C1315" s="2" t="s">
        <v>1823</v>
      </c>
      <c r="D1315" s="2" t="s">
        <v>505</v>
      </c>
      <c r="E1315" s="2">
        <v>10001</v>
      </c>
      <c r="F1315" s="2" t="s">
        <v>1260</v>
      </c>
      <c r="G1315" s="2" t="s">
        <v>36</v>
      </c>
      <c r="H1315" s="2">
        <v>1</v>
      </c>
      <c r="I1315" s="2" t="s">
        <v>17</v>
      </c>
      <c r="J1315" s="2" t="str">
        <f>VLOOKUP(E1315,[1]LL_Hub!$A$1:$B$13,2,FALSE)</f>
        <v>New York</v>
      </c>
      <c r="K1315" t="str">
        <f>VLOOKUP(D1315,'[2]product Table data'!$A$2:$B$12,2,FALSE)</f>
        <v>Female</v>
      </c>
      <c r="L1315" t="str">
        <f>VLOOKUP($D1315,'[2]product Table data'!$A$2:$G$12,L$1,FALSE)</f>
        <v>Casual n Light</v>
      </c>
      <c r="M1315" t="str">
        <f>VLOOKUP($D1315,'[2]product Table data'!$A$2:$G$12,M$1,FALSE)</f>
        <v>Honduras</v>
      </c>
      <c r="N1315" t="str">
        <f>VLOOKUP($D1315,'[2]product Table data'!$A$2:$G$12,N$1,FALSE)</f>
        <v>Central America</v>
      </c>
      <c r="O1315">
        <f>VLOOKUP($D1315,'[2]product Table data'!$A$2:$G$12,O$1,FALSE)</f>
        <v>30</v>
      </c>
      <c r="P1315">
        <f>VLOOKUP($D1315,'[2]product Table data'!$A$2:$G$12,P$1,FALSE)</f>
        <v>45</v>
      </c>
      <c r="Q1315">
        <f t="shared" si="100"/>
        <v>15</v>
      </c>
      <c r="R1315" t="str">
        <f t="shared" si="101"/>
        <v>-</v>
      </c>
      <c r="S1315" t="str">
        <f t="shared" si="102"/>
        <v>Style Risk</v>
      </c>
      <c r="T1315" t="str">
        <f t="shared" si="103"/>
        <v>-</v>
      </c>
      <c r="U1315" t="str">
        <f t="shared" si="104"/>
        <v>High Value</v>
      </c>
    </row>
    <row r="1316" spans="1:21" hidden="1" x14ac:dyDescent="0.2">
      <c r="A1316" s="2">
        <v>1314</v>
      </c>
      <c r="B1316" s="2" t="s">
        <v>9</v>
      </c>
      <c r="C1316" s="2" t="s">
        <v>1824</v>
      </c>
      <c r="D1316" s="2" t="s">
        <v>505</v>
      </c>
      <c r="E1316" s="2">
        <v>10001</v>
      </c>
      <c r="F1316" s="2" t="s">
        <v>1260</v>
      </c>
      <c r="G1316" s="2" t="s">
        <v>36</v>
      </c>
      <c r="H1316" s="2">
        <v>1</v>
      </c>
      <c r="I1316" s="2" t="s">
        <v>17</v>
      </c>
      <c r="J1316" s="2" t="str">
        <f>VLOOKUP(E1316,[1]LL_Hub!$A$1:$B$13,2,FALSE)</f>
        <v>New York</v>
      </c>
      <c r="K1316" t="str">
        <f>VLOOKUP(D1316,'[2]product Table data'!$A$2:$B$12,2,FALSE)</f>
        <v>Female</v>
      </c>
      <c r="L1316" t="str">
        <f>VLOOKUP($D1316,'[2]product Table data'!$A$2:$G$12,L$1,FALSE)</f>
        <v>Casual n Light</v>
      </c>
      <c r="M1316" t="str">
        <f>VLOOKUP($D1316,'[2]product Table data'!$A$2:$G$12,M$1,FALSE)</f>
        <v>Honduras</v>
      </c>
      <c r="N1316" t="str">
        <f>VLOOKUP($D1316,'[2]product Table data'!$A$2:$G$12,N$1,FALSE)</f>
        <v>Central America</v>
      </c>
      <c r="O1316">
        <f>VLOOKUP($D1316,'[2]product Table data'!$A$2:$G$12,O$1,FALSE)</f>
        <v>30</v>
      </c>
      <c r="P1316">
        <f>VLOOKUP($D1316,'[2]product Table data'!$A$2:$G$12,P$1,FALSE)</f>
        <v>45</v>
      </c>
      <c r="Q1316">
        <f t="shared" si="100"/>
        <v>15</v>
      </c>
      <c r="R1316" t="str">
        <f t="shared" si="101"/>
        <v>-</v>
      </c>
      <c r="S1316" t="str">
        <f t="shared" si="102"/>
        <v>Style Risk</v>
      </c>
      <c r="T1316" t="str">
        <f t="shared" si="103"/>
        <v>-</v>
      </c>
      <c r="U1316" t="str">
        <f t="shared" si="104"/>
        <v>High Value</v>
      </c>
    </row>
    <row r="1317" spans="1:21" hidden="1" x14ac:dyDescent="0.2">
      <c r="A1317" s="2">
        <v>1315</v>
      </c>
      <c r="B1317" s="2" t="s">
        <v>9</v>
      </c>
      <c r="C1317" s="2" t="s">
        <v>1825</v>
      </c>
      <c r="D1317" s="2" t="s">
        <v>505</v>
      </c>
      <c r="E1317" s="2">
        <v>10001</v>
      </c>
      <c r="F1317" s="2" t="s">
        <v>1260</v>
      </c>
      <c r="G1317" s="2" t="s">
        <v>36</v>
      </c>
      <c r="H1317" s="2">
        <v>1</v>
      </c>
      <c r="I1317" s="2" t="s">
        <v>17</v>
      </c>
      <c r="J1317" s="2" t="str">
        <f>VLOOKUP(E1317,[1]LL_Hub!$A$1:$B$13,2,FALSE)</f>
        <v>New York</v>
      </c>
      <c r="K1317" t="str">
        <f>VLOOKUP(D1317,'[2]product Table data'!$A$2:$B$12,2,FALSE)</f>
        <v>Female</v>
      </c>
      <c r="L1317" t="str">
        <f>VLOOKUP($D1317,'[2]product Table data'!$A$2:$G$12,L$1,FALSE)</f>
        <v>Casual n Light</v>
      </c>
      <c r="M1317" t="str">
        <f>VLOOKUP($D1317,'[2]product Table data'!$A$2:$G$12,M$1,FALSE)</f>
        <v>Honduras</v>
      </c>
      <c r="N1317" t="str">
        <f>VLOOKUP($D1317,'[2]product Table data'!$A$2:$G$12,N$1,FALSE)</f>
        <v>Central America</v>
      </c>
      <c r="O1317">
        <f>VLOOKUP($D1317,'[2]product Table data'!$A$2:$G$12,O$1,FALSE)</f>
        <v>30</v>
      </c>
      <c r="P1317">
        <f>VLOOKUP($D1317,'[2]product Table data'!$A$2:$G$12,P$1,FALSE)</f>
        <v>45</v>
      </c>
      <c r="Q1317">
        <f t="shared" si="100"/>
        <v>15</v>
      </c>
      <c r="R1317" t="str">
        <f t="shared" si="101"/>
        <v>-</v>
      </c>
      <c r="S1317" t="str">
        <f t="shared" si="102"/>
        <v>Style Risk</v>
      </c>
      <c r="T1317" t="str">
        <f t="shared" si="103"/>
        <v>-</v>
      </c>
      <c r="U1317" t="str">
        <f t="shared" si="104"/>
        <v>High Value</v>
      </c>
    </row>
    <row r="1318" spans="1:21" hidden="1" x14ac:dyDescent="0.2">
      <c r="A1318" s="2">
        <v>1316</v>
      </c>
      <c r="B1318" s="2" t="s">
        <v>9</v>
      </c>
      <c r="C1318" s="2" t="s">
        <v>1826</v>
      </c>
      <c r="D1318" s="2" t="s">
        <v>505</v>
      </c>
      <c r="E1318" s="2">
        <v>10001</v>
      </c>
      <c r="F1318" s="2" t="s">
        <v>1260</v>
      </c>
      <c r="G1318" s="2" t="s">
        <v>36</v>
      </c>
      <c r="H1318" s="2">
        <v>1</v>
      </c>
      <c r="I1318" s="2" t="s">
        <v>17</v>
      </c>
      <c r="J1318" s="2" t="str">
        <f>VLOOKUP(E1318,[1]LL_Hub!$A$1:$B$13,2,FALSE)</f>
        <v>New York</v>
      </c>
      <c r="K1318" t="str">
        <f>VLOOKUP(D1318,'[2]product Table data'!$A$2:$B$12,2,FALSE)</f>
        <v>Female</v>
      </c>
      <c r="L1318" t="str">
        <f>VLOOKUP($D1318,'[2]product Table data'!$A$2:$G$12,L$1,FALSE)</f>
        <v>Casual n Light</v>
      </c>
      <c r="M1318" t="str">
        <f>VLOOKUP($D1318,'[2]product Table data'!$A$2:$G$12,M$1,FALSE)</f>
        <v>Honduras</v>
      </c>
      <c r="N1318" t="str">
        <f>VLOOKUP($D1318,'[2]product Table data'!$A$2:$G$12,N$1,FALSE)</f>
        <v>Central America</v>
      </c>
      <c r="O1318">
        <f>VLOOKUP($D1318,'[2]product Table data'!$A$2:$G$12,O$1,FALSE)</f>
        <v>30</v>
      </c>
      <c r="P1318">
        <f>VLOOKUP($D1318,'[2]product Table data'!$A$2:$G$12,P$1,FALSE)</f>
        <v>45</v>
      </c>
      <c r="Q1318">
        <f t="shared" si="100"/>
        <v>15</v>
      </c>
      <c r="R1318" t="str">
        <f t="shared" si="101"/>
        <v>-</v>
      </c>
      <c r="S1318" t="str">
        <f t="shared" si="102"/>
        <v>Style Risk</v>
      </c>
      <c r="T1318" t="str">
        <f t="shared" si="103"/>
        <v>-</v>
      </c>
      <c r="U1318" t="str">
        <f t="shared" si="104"/>
        <v>High Value</v>
      </c>
    </row>
    <row r="1319" spans="1:21" hidden="1" x14ac:dyDescent="0.2">
      <c r="A1319" s="2">
        <v>1317</v>
      </c>
      <c r="B1319" s="2" t="s">
        <v>9</v>
      </c>
      <c r="C1319" s="2" t="s">
        <v>1827</v>
      </c>
      <c r="D1319" s="2" t="s">
        <v>505</v>
      </c>
      <c r="E1319" s="2">
        <v>10001</v>
      </c>
      <c r="F1319" s="2" t="s">
        <v>1260</v>
      </c>
      <c r="G1319" s="2" t="s">
        <v>36</v>
      </c>
      <c r="H1319" s="2">
        <v>1</v>
      </c>
      <c r="I1319" s="2" t="s">
        <v>17</v>
      </c>
      <c r="J1319" s="2" t="str">
        <f>VLOOKUP(E1319,[1]LL_Hub!$A$1:$B$13,2,FALSE)</f>
        <v>New York</v>
      </c>
      <c r="K1319" t="str">
        <f>VLOOKUP(D1319,'[2]product Table data'!$A$2:$B$12,2,FALSE)</f>
        <v>Female</v>
      </c>
      <c r="L1319" t="str">
        <f>VLOOKUP($D1319,'[2]product Table data'!$A$2:$G$12,L$1,FALSE)</f>
        <v>Casual n Light</v>
      </c>
      <c r="M1319" t="str">
        <f>VLOOKUP($D1319,'[2]product Table data'!$A$2:$G$12,M$1,FALSE)</f>
        <v>Honduras</v>
      </c>
      <c r="N1319" t="str">
        <f>VLOOKUP($D1319,'[2]product Table data'!$A$2:$G$12,N$1,FALSE)</f>
        <v>Central America</v>
      </c>
      <c r="O1319">
        <f>VLOOKUP($D1319,'[2]product Table data'!$A$2:$G$12,O$1,FALSE)</f>
        <v>30</v>
      </c>
      <c r="P1319">
        <f>VLOOKUP($D1319,'[2]product Table data'!$A$2:$G$12,P$1,FALSE)</f>
        <v>45</v>
      </c>
      <c r="Q1319">
        <f t="shared" si="100"/>
        <v>15</v>
      </c>
      <c r="R1319" t="str">
        <f t="shared" si="101"/>
        <v>-</v>
      </c>
      <c r="S1319" t="str">
        <f t="shared" si="102"/>
        <v>Style Risk</v>
      </c>
      <c r="T1319" t="str">
        <f t="shared" si="103"/>
        <v>-</v>
      </c>
      <c r="U1319" t="str">
        <f t="shared" si="104"/>
        <v>High Value</v>
      </c>
    </row>
    <row r="1320" spans="1:21" hidden="1" x14ac:dyDescent="0.2">
      <c r="A1320" s="2">
        <v>1318</v>
      </c>
      <c r="B1320" s="2" t="s">
        <v>9</v>
      </c>
      <c r="C1320" s="2" t="s">
        <v>1828</v>
      </c>
      <c r="D1320" s="2" t="s">
        <v>505</v>
      </c>
      <c r="E1320" s="2">
        <v>10001</v>
      </c>
      <c r="F1320" s="2" t="s">
        <v>1260</v>
      </c>
      <c r="G1320" s="2" t="s">
        <v>36</v>
      </c>
      <c r="H1320" s="2">
        <v>1</v>
      </c>
      <c r="I1320" s="2" t="s">
        <v>17</v>
      </c>
      <c r="J1320" s="2" t="str">
        <f>VLOOKUP(E1320,[1]LL_Hub!$A$1:$B$13,2,FALSE)</f>
        <v>New York</v>
      </c>
      <c r="K1320" t="str">
        <f>VLOOKUP(D1320,'[2]product Table data'!$A$2:$B$12,2,FALSE)</f>
        <v>Female</v>
      </c>
      <c r="L1320" t="str">
        <f>VLOOKUP($D1320,'[2]product Table data'!$A$2:$G$12,L$1,FALSE)</f>
        <v>Casual n Light</v>
      </c>
      <c r="M1320" t="str">
        <f>VLOOKUP($D1320,'[2]product Table data'!$A$2:$G$12,M$1,FALSE)</f>
        <v>Honduras</v>
      </c>
      <c r="N1320" t="str">
        <f>VLOOKUP($D1320,'[2]product Table data'!$A$2:$G$12,N$1,FALSE)</f>
        <v>Central America</v>
      </c>
      <c r="O1320">
        <f>VLOOKUP($D1320,'[2]product Table data'!$A$2:$G$12,O$1,FALSE)</f>
        <v>30</v>
      </c>
      <c r="P1320">
        <f>VLOOKUP($D1320,'[2]product Table data'!$A$2:$G$12,P$1,FALSE)</f>
        <v>45</v>
      </c>
      <c r="Q1320">
        <f t="shared" si="100"/>
        <v>15</v>
      </c>
      <c r="R1320" t="str">
        <f t="shared" si="101"/>
        <v>-</v>
      </c>
      <c r="S1320" t="str">
        <f t="shared" si="102"/>
        <v>Style Risk</v>
      </c>
      <c r="T1320" t="str">
        <f t="shared" si="103"/>
        <v>-</v>
      </c>
      <c r="U1320" t="str">
        <f t="shared" si="104"/>
        <v>High Value</v>
      </c>
    </row>
    <row r="1321" spans="1:21" hidden="1" x14ac:dyDescent="0.2">
      <c r="A1321" s="2">
        <v>1319</v>
      </c>
      <c r="B1321" s="2" t="s">
        <v>9</v>
      </c>
      <c r="C1321" s="2" t="s">
        <v>1829</v>
      </c>
      <c r="D1321" s="2" t="s">
        <v>505</v>
      </c>
      <c r="E1321" s="2">
        <v>10001</v>
      </c>
      <c r="F1321" s="2" t="s">
        <v>1830</v>
      </c>
      <c r="G1321" s="2" t="s">
        <v>13</v>
      </c>
      <c r="H1321" s="2">
        <v>1</v>
      </c>
      <c r="I1321" s="2" t="s">
        <v>17</v>
      </c>
      <c r="J1321" s="2" t="str">
        <f>VLOOKUP(E1321,[1]LL_Hub!$A$1:$B$13,2,FALSE)</f>
        <v>New York</v>
      </c>
      <c r="K1321" t="str">
        <f>VLOOKUP(D1321,'[2]product Table data'!$A$2:$B$12,2,FALSE)</f>
        <v>Female</v>
      </c>
      <c r="L1321" t="str">
        <f>VLOOKUP($D1321,'[2]product Table data'!$A$2:$G$12,L$1,FALSE)</f>
        <v>Casual n Light</v>
      </c>
      <c r="M1321" t="str">
        <f>VLOOKUP($D1321,'[2]product Table data'!$A$2:$G$12,M$1,FALSE)</f>
        <v>Honduras</v>
      </c>
      <c r="N1321" t="str">
        <f>VLOOKUP($D1321,'[2]product Table data'!$A$2:$G$12,N$1,FALSE)</f>
        <v>Central America</v>
      </c>
      <c r="O1321">
        <f>VLOOKUP($D1321,'[2]product Table data'!$A$2:$G$12,O$1,FALSE)</f>
        <v>30</v>
      </c>
      <c r="P1321">
        <f>VLOOKUP($D1321,'[2]product Table data'!$A$2:$G$12,P$1,FALSE)</f>
        <v>45</v>
      </c>
      <c r="Q1321">
        <f t="shared" si="100"/>
        <v>15</v>
      </c>
      <c r="R1321" t="str">
        <f t="shared" si="101"/>
        <v>-</v>
      </c>
      <c r="S1321" t="str">
        <f t="shared" si="102"/>
        <v>Style Risk</v>
      </c>
      <c r="T1321" t="str">
        <f t="shared" si="103"/>
        <v>-</v>
      </c>
      <c r="U1321" t="str">
        <f t="shared" si="104"/>
        <v>High Value</v>
      </c>
    </row>
    <row r="1322" spans="1:21" hidden="1" x14ac:dyDescent="0.2">
      <c r="A1322" s="2">
        <v>1320</v>
      </c>
      <c r="B1322" s="2" t="s">
        <v>9</v>
      </c>
      <c r="C1322" s="2" t="s">
        <v>1831</v>
      </c>
      <c r="D1322" s="2" t="s">
        <v>505</v>
      </c>
      <c r="E1322" s="2">
        <v>10001</v>
      </c>
      <c r="F1322" s="2" t="s">
        <v>1832</v>
      </c>
      <c r="G1322" s="2" t="s">
        <v>13</v>
      </c>
      <c r="H1322" s="2">
        <v>1</v>
      </c>
      <c r="I1322" s="2" t="s">
        <v>17</v>
      </c>
      <c r="J1322" s="2" t="str">
        <f>VLOOKUP(E1322,[1]LL_Hub!$A$1:$B$13,2,FALSE)</f>
        <v>New York</v>
      </c>
      <c r="K1322" t="str">
        <f>VLOOKUP(D1322,'[2]product Table data'!$A$2:$B$12,2,FALSE)</f>
        <v>Female</v>
      </c>
      <c r="L1322" t="str">
        <f>VLOOKUP($D1322,'[2]product Table data'!$A$2:$G$12,L$1,FALSE)</f>
        <v>Casual n Light</v>
      </c>
      <c r="M1322" t="str">
        <f>VLOOKUP($D1322,'[2]product Table data'!$A$2:$G$12,M$1,FALSE)</f>
        <v>Honduras</v>
      </c>
      <c r="N1322" t="str">
        <f>VLOOKUP($D1322,'[2]product Table data'!$A$2:$G$12,N$1,FALSE)</f>
        <v>Central America</v>
      </c>
      <c r="O1322">
        <f>VLOOKUP($D1322,'[2]product Table data'!$A$2:$G$12,O$1,FALSE)</f>
        <v>30</v>
      </c>
      <c r="P1322">
        <f>VLOOKUP($D1322,'[2]product Table data'!$A$2:$G$12,P$1,FALSE)</f>
        <v>45</v>
      </c>
      <c r="Q1322">
        <f t="shared" si="100"/>
        <v>15</v>
      </c>
      <c r="R1322" t="str">
        <f t="shared" si="101"/>
        <v>-</v>
      </c>
      <c r="S1322" t="str">
        <f t="shared" si="102"/>
        <v>Style Risk</v>
      </c>
      <c r="T1322" t="str">
        <f t="shared" si="103"/>
        <v>-</v>
      </c>
      <c r="U1322" t="str">
        <f t="shared" si="104"/>
        <v>High Value</v>
      </c>
    </row>
    <row r="1323" spans="1:21" hidden="1" x14ac:dyDescent="0.2">
      <c r="A1323" s="2">
        <v>1321</v>
      </c>
      <c r="B1323" s="2" t="s">
        <v>9</v>
      </c>
      <c r="C1323" s="2" t="s">
        <v>1833</v>
      </c>
      <c r="D1323" s="2" t="s">
        <v>505</v>
      </c>
      <c r="E1323" s="2">
        <v>10001</v>
      </c>
      <c r="F1323" s="2" t="s">
        <v>35</v>
      </c>
      <c r="G1323" s="2" t="s">
        <v>36</v>
      </c>
      <c r="H1323" s="2">
        <v>1</v>
      </c>
      <c r="I1323" s="2" t="s">
        <v>17</v>
      </c>
      <c r="J1323" s="2" t="str">
        <f>VLOOKUP(E1323,[1]LL_Hub!$A$1:$B$13,2,FALSE)</f>
        <v>New York</v>
      </c>
      <c r="K1323" t="str">
        <f>VLOOKUP(D1323,'[2]product Table data'!$A$2:$B$12,2,FALSE)</f>
        <v>Female</v>
      </c>
      <c r="L1323" t="str">
        <f>VLOOKUP($D1323,'[2]product Table data'!$A$2:$G$12,L$1,FALSE)</f>
        <v>Casual n Light</v>
      </c>
      <c r="M1323" t="str">
        <f>VLOOKUP($D1323,'[2]product Table data'!$A$2:$G$12,M$1,FALSE)</f>
        <v>Honduras</v>
      </c>
      <c r="N1323" t="str">
        <f>VLOOKUP($D1323,'[2]product Table data'!$A$2:$G$12,N$1,FALSE)</f>
        <v>Central America</v>
      </c>
      <c r="O1323">
        <f>VLOOKUP($D1323,'[2]product Table data'!$A$2:$G$12,O$1,FALSE)</f>
        <v>30</v>
      </c>
      <c r="P1323">
        <f>VLOOKUP($D1323,'[2]product Table data'!$A$2:$G$12,P$1,FALSE)</f>
        <v>45</v>
      </c>
      <c r="Q1323">
        <f t="shared" si="100"/>
        <v>15</v>
      </c>
      <c r="R1323" t="str">
        <f t="shared" si="101"/>
        <v>-</v>
      </c>
      <c r="S1323" t="str">
        <f t="shared" si="102"/>
        <v>Style Risk</v>
      </c>
      <c r="T1323" t="str">
        <f t="shared" si="103"/>
        <v>-</v>
      </c>
      <c r="U1323" t="str">
        <f t="shared" si="104"/>
        <v>High Value</v>
      </c>
    </row>
    <row r="1324" spans="1:21" hidden="1" x14ac:dyDescent="0.2">
      <c r="A1324" s="2">
        <v>1322</v>
      </c>
      <c r="B1324" s="2" t="s">
        <v>9</v>
      </c>
      <c r="C1324" s="2" t="s">
        <v>1834</v>
      </c>
      <c r="D1324" s="2" t="s">
        <v>505</v>
      </c>
      <c r="E1324" s="2">
        <v>10001</v>
      </c>
      <c r="F1324" s="2" t="s">
        <v>35</v>
      </c>
      <c r="G1324" s="2" t="s">
        <v>36</v>
      </c>
      <c r="H1324" s="2">
        <v>1</v>
      </c>
      <c r="I1324" s="2" t="s">
        <v>17</v>
      </c>
      <c r="J1324" s="2" t="str">
        <f>VLOOKUP(E1324,[1]LL_Hub!$A$1:$B$13,2,FALSE)</f>
        <v>New York</v>
      </c>
      <c r="K1324" t="str">
        <f>VLOOKUP(D1324,'[2]product Table data'!$A$2:$B$12,2,FALSE)</f>
        <v>Female</v>
      </c>
      <c r="L1324" t="str">
        <f>VLOOKUP($D1324,'[2]product Table data'!$A$2:$G$12,L$1,FALSE)</f>
        <v>Casual n Light</v>
      </c>
      <c r="M1324" t="str">
        <f>VLOOKUP($D1324,'[2]product Table data'!$A$2:$G$12,M$1,FALSE)</f>
        <v>Honduras</v>
      </c>
      <c r="N1324" t="str">
        <f>VLOOKUP($D1324,'[2]product Table data'!$A$2:$G$12,N$1,FALSE)</f>
        <v>Central America</v>
      </c>
      <c r="O1324">
        <f>VLOOKUP($D1324,'[2]product Table data'!$A$2:$G$12,O$1,FALSE)</f>
        <v>30</v>
      </c>
      <c r="P1324">
        <f>VLOOKUP($D1324,'[2]product Table data'!$A$2:$G$12,P$1,FALSE)</f>
        <v>45</v>
      </c>
      <c r="Q1324">
        <f t="shared" si="100"/>
        <v>15</v>
      </c>
      <c r="R1324" t="str">
        <f t="shared" si="101"/>
        <v>-</v>
      </c>
      <c r="S1324" t="str">
        <f t="shared" si="102"/>
        <v>Style Risk</v>
      </c>
      <c r="T1324" t="str">
        <f t="shared" si="103"/>
        <v>-</v>
      </c>
      <c r="U1324" t="str">
        <f t="shared" si="104"/>
        <v>High Value</v>
      </c>
    </row>
    <row r="1325" spans="1:21" hidden="1" x14ac:dyDescent="0.2">
      <c r="A1325" s="2">
        <v>1323</v>
      </c>
      <c r="B1325" s="2" t="s">
        <v>9</v>
      </c>
      <c r="C1325" s="2" t="s">
        <v>1835</v>
      </c>
      <c r="D1325" s="2" t="s">
        <v>505</v>
      </c>
      <c r="E1325" s="2">
        <v>10001</v>
      </c>
      <c r="F1325" s="2" t="s">
        <v>35</v>
      </c>
      <c r="G1325" s="2" t="s">
        <v>36</v>
      </c>
      <c r="H1325" s="2">
        <v>1</v>
      </c>
      <c r="I1325" s="2" t="s">
        <v>17</v>
      </c>
      <c r="J1325" s="2" t="str">
        <f>VLOOKUP(E1325,[1]LL_Hub!$A$1:$B$13,2,FALSE)</f>
        <v>New York</v>
      </c>
      <c r="K1325" t="str">
        <f>VLOOKUP(D1325,'[2]product Table data'!$A$2:$B$12,2,FALSE)</f>
        <v>Female</v>
      </c>
      <c r="L1325" t="str">
        <f>VLOOKUP($D1325,'[2]product Table data'!$A$2:$G$12,L$1,FALSE)</f>
        <v>Casual n Light</v>
      </c>
      <c r="M1325" t="str">
        <f>VLOOKUP($D1325,'[2]product Table data'!$A$2:$G$12,M$1,FALSE)</f>
        <v>Honduras</v>
      </c>
      <c r="N1325" t="str">
        <f>VLOOKUP($D1325,'[2]product Table data'!$A$2:$G$12,N$1,FALSE)</f>
        <v>Central America</v>
      </c>
      <c r="O1325">
        <f>VLOOKUP($D1325,'[2]product Table data'!$A$2:$G$12,O$1,FALSE)</f>
        <v>30</v>
      </c>
      <c r="P1325">
        <f>VLOOKUP($D1325,'[2]product Table data'!$A$2:$G$12,P$1,FALSE)</f>
        <v>45</v>
      </c>
      <c r="Q1325">
        <f t="shared" si="100"/>
        <v>15</v>
      </c>
      <c r="R1325" t="str">
        <f t="shared" si="101"/>
        <v>-</v>
      </c>
      <c r="S1325" t="str">
        <f t="shared" si="102"/>
        <v>Style Risk</v>
      </c>
      <c r="T1325" t="str">
        <f t="shared" si="103"/>
        <v>-</v>
      </c>
      <c r="U1325" t="str">
        <f t="shared" si="104"/>
        <v>High Value</v>
      </c>
    </row>
    <row r="1326" spans="1:21" hidden="1" x14ac:dyDescent="0.2">
      <c r="A1326" s="2">
        <v>1324</v>
      </c>
      <c r="B1326" s="2" t="s">
        <v>9</v>
      </c>
      <c r="C1326" s="2" t="s">
        <v>1836</v>
      </c>
      <c r="D1326" s="2" t="s">
        <v>505</v>
      </c>
      <c r="E1326" s="2">
        <v>10001</v>
      </c>
      <c r="F1326" s="2" t="s">
        <v>35</v>
      </c>
      <c r="G1326" s="2" t="s">
        <v>36</v>
      </c>
      <c r="H1326" s="2">
        <v>1</v>
      </c>
      <c r="I1326" s="2" t="s">
        <v>17</v>
      </c>
      <c r="J1326" s="2" t="str">
        <f>VLOOKUP(E1326,[1]LL_Hub!$A$1:$B$13,2,FALSE)</f>
        <v>New York</v>
      </c>
      <c r="K1326" t="str">
        <f>VLOOKUP(D1326,'[2]product Table data'!$A$2:$B$12,2,FALSE)</f>
        <v>Female</v>
      </c>
      <c r="L1326" t="str">
        <f>VLOOKUP($D1326,'[2]product Table data'!$A$2:$G$12,L$1,FALSE)</f>
        <v>Casual n Light</v>
      </c>
      <c r="M1326" t="str">
        <f>VLOOKUP($D1326,'[2]product Table data'!$A$2:$G$12,M$1,FALSE)</f>
        <v>Honduras</v>
      </c>
      <c r="N1326" t="str">
        <f>VLOOKUP($D1326,'[2]product Table data'!$A$2:$G$12,N$1,FALSE)</f>
        <v>Central America</v>
      </c>
      <c r="O1326">
        <f>VLOOKUP($D1326,'[2]product Table data'!$A$2:$G$12,O$1,FALSE)</f>
        <v>30</v>
      </c>
      <c r="P1326">
        <f>VLOOKUP($D1326,'[2]product Table data'!$A$2:$G$12,P$1,FALSE)</f>
        <v>45</v>
      </c>
      <c r="Q1326">
        <f t="shared" si="100"/>
        <v>15</v>
      </c>
      <c r="R1326" t="str">
        <f t="shared" si="101"/>
        <v>-</v>
      </c>
      <c r="S1326" t="str">
        <f t="shared" si="102"/>
        <v>Style Risk</v>
      </c>
      <c r="T1326" t="str">
        <f t="shared" si="103"/>
        <v>-</v>
      </c>
      <c r="U1326" t="str">
        <f t="shared" si="104"/>
        <v>High Value</v>
      </c>
    </row>
    <row r="1327" spans="1:21" hidden="1" x14ac:dyDescent="0.2">
      <c r="A1327" s="2">
        <v>1325</v>
      </c>
      <c r="B1327" s="2" t="s">
        <v>9</v>
      </c>
      <c r="C1327" s="2" t="s">
        <v>1837</v>
      </c>
      <c r="D1327" s="2" t="s">
        <v>505</v>
      </c>
      <c r="E1327" s="2">
        <v>10001</v>
      </c>
      <c r="F1327" s="2" t="s">
        <v>35</v>
      </c>
      <c r="G1327" s="2" t="s">
        <v>36</v>
      </c>
      <c r="H1327" s="2">
        <v>1</v>
      </c>
      <c r="I1327" s="2" t="s">
        <v>17</v>
      </c>
      <c r="J1327" s="2" t="str">
        <f>VLOOKUP(E1327,[1]LL_Hub!$A$1:$B$13,2,FALSE)</f>
        <v>New York</v>
      </c>
      <c r="K1327" t="str">
        <f>VLOOKUP(D1327,'[2]product Table data'!$A$2:$B$12,2,FALSE)</f>
        <v>Female</v>
      </c>
      <c r="L1327" t="str">
        <f>VLOOKUP($D1327,'[2]product Table data'!$A$2:$G$12,L$1,FALSE)</f>
        <v>Casual n Light</v>
      </c>
      <c r="M1327" t="str">
        <f>VLOOKUP($D1327,'[2]product Table data'!$A$2:$G$12,M$1,FALSE)</f>
        <v>Honduras</v>
      </c>
      <c r="N1327" t="str">
        <f>VLOOKUP($D1327,'[2]product Table data'!$A$2:$G$12,N$1,FALSE)</f>
        <v>Central America</v>
      </c>
      <c r="O1327">
        <f>VLOOKUP($D1327,'[2]product Table data'!$A$2:$G$12,O$1,FALSE)</f>
        <v>30</v>
      </c>
      <c r="P1327">
        <f>VLOOKUP($D1327,'[2]product Table data'!$A$2:$G$12,P$1,FALSE)</f>
        <v>45</v>
      </c>
      <c r="Q1327">
        <f t="shared" si="100"/>
        <v>15</v>
      </c>
      <c r="R1327" t="str">
        <f t="shared" si="101"/>
        <v>-</v>
      </c>
      <c r="S1327" t="str">
        <f t="shared" si="102"/>
        <v>Style Risk</v>
      </c>
      <c r="T1327" t="str">
        <f t="shared" si="103"/>
        <v>-</v>
      </c>
      <c r="U1327" t="str">
        <f t="shared" si="104"/>
        <v>High Value</v>
      </c>
    </row>
    <row r="1328" spans="1:21" hidden="1" x14ac:dyDescent="0.2">
      <c r="A1328" s="2">
        <v>1326</v>
      </c>
      <c r="B1328" s="2" t="s">
        <v>9</v>
      </c>
      <c r="C1328" s="2" t="s">
        <v>1838</v>
      </c>
      <c r="D1328" s="2" t="s">
        <v>505</v>
      </c>
      <c r="E1328" s="2">
        <v>10001</v>
      </c>
      <c r="F1328" s="2" t="s">
        <v>35</v>
      </c>
      <c r="G1328" s="2" t="s">
        <v>36</v>
      </c>
      <c r="H1328" s="2">
        <v>1</v>
      </c>
      <c r="I1328" s="2" t="s">
        <v>17</v>
      </c>
      <c r="J1328" s="2" t="str">
        <f>VLOOKUP(E1328,[1]LL_Hub!$A$1:$B$13,2,FALSE)</f>
        <v>New York</v>
      </c>
      <c r="K1328" t="str">
        <f>VLOOKUP(D1328,'[2]product Table data'!$A$2:$B$12,2,FALSE)</f>
        <v>Female</v>
      </c>
      <c r="L1328" t="str">
        <f>VLOOKUP($D1328,'[2]product Table data'!$A$2:$G$12,L$1,FALSE)</f>
        <v>Casual n Light</v>
      </c>
      <c r="M1328" t="str">
        <f>VLOOKUP($D1328,'[2]product Table data'!$A$2:$G$12,M$1,FALSE)</f>
        <v>Honduras</v>
      </c>
      <c r="N1328" t="str">
        <f>VLOOKUP($D1328,'[2]product Table data'!$A$2:$G$12,N$1,FALSE)</f>
        <v>Central America</v>
      </c>
      <c r="O1328">
        <f>VLOOKUP($D1328,'[2]product Table data'!$A$2:$G$12,O$1,FALSE)</f>
        <v>30</v>
      </c>
      <c r="P1328">
        <f>VLOOKUP($D1328,'[2]product Table data'!$A$2:$G$12,P$1,FALSE)</f>
        <v>45</v>
      </c>
      <c r="Q1328">
        <f t="shared" si="100"/>
        <v>15</v>
      </c>
      <c r="R1328" t="str">
        <f t="shared" si="101"/>
        <v>-</v>
      </c>
      <c r="S1328" t="str">
        <f t="shared" si="102"/>
        <v>Style Risk</v>
      </c>
      <c r="T1328" t="str">
        <f t="shared" si="103"/>
        <v>-</v>
      </c>
      <c r="U1328" t="str">
        <f t="shared" si="104"/>
        <v>High Value</v>
      </c>
    </row>
    <row r="1329" spans="1:21" hidden="1" x14ac:dyDescent="0.2">
      <c r="A1329" s="2">
        <v>1327</v>
      </c>
      <c r="B1329" s="2" t="s">
        <v>9</v>
      </c>
      <c r="C1329" s="2" t="s">
        <v>1839</v>
      </c>
      <c r="D1329" s="2" t="s">
        <v>505</v>
      </c>
      <c r="E1329" s="2">
        <v>10001</v>
      </c>
      <c r="F1329" s="2" t="s">
        <v>35</v>
      </c>
      <c r="G1329" s="2" t="s">
        <v>36</v>
      </c>
      <c r="H1329" s="2">
        <v>1</v>
      </c>
      <c r="I1329" s="2" t="s">
        <v>17</v>
      </c>
      <c r="J1329" s="2" t="str">
        <f>VLOOKUP(E1329,[1]LL_Hub!$A$1:$B$13,2,FALSE)</f>
        <v>New York</v>
      </c>
      <c r="K1329" t="str">
        <f>VLOOKUP(D1329,'[2]product Table data'!$A$2:$B$12,2,FALSE)</f>
        <v>Female</v>
      </c>
      <c r="L1329" t="str">
        <f>VLOOKUP($D1329,'[2]product Table data'!$A$2:$G$12,L$1,FALSE)</f>
        <v>Casual n Light</v>
      </c>
      <c r="M1329" t="str">
        <f>VLOOKUP($D1329,'[2]product Table data'!$A$2:$G$12,M$1,FALSE)</f>
        <v>Honduras</v>
      </c>
      <c r="N1329" t="str">
        <f>VLOOKUP($D1329,'[2]product Table data'!$A$2:$G$12,N$1,FALSE)</f>
        <v>Central America</v>
      </c>
      <c r="O1329">
        <f>VLOOKUP($D1329,'[2]product Table data'!$A$2:$G$12,O$1,FALSE)</f>
        <v>30</v>
      </c>
      <c r="P1329">
        <f>VLOOKUP($D1329,'[2]product Table data'!$A$2:$G$12,P$1,FALSE)</f>
        <v>45</v>
      </c>
      <c r="Q1329">
        <f t="shared" si="100"/>
        <v>15</v>
      </c>
      <c r="R1329" t="str">
        <f t="shared" si="101"/>
        <v>-</v>
      </c>
      <c r="S1329" t="str">
        <f t="shared" si="102"/>
        <v>Style Risk</v>
      </c>
      <c r="T1329" t="str">
        <f t="shared" si="103"/>
        <v>-</v>
      </c>
      <c r="U1329" t="str">
        <f t="shared" si="104"/>
        <v>High Value</v>
      </c>
    </row>
    <row r="1330" spans="1:21" hidden="1" x14ac:dyDescent="0.2">
      <c r="A1330" s="2">
        <v>1328</v>
      </c>
      <c r="B1330" s="2" t="s">
        <v>9</v>
      </c>
      <c r="C1330" s="2" t="s">
        <v>1840</v>
      </c>
      <c r="D1330" s="2" t="s">
        <v>505</v>
      </c>
      <c r="E1330" s="2">
        <v>10001</v>
      </c>
      <c r="F1330" s="2" t="s">
        <v>35</v>
      </c>
      <c r="G1330" s="2" t="s">
        <v>36</v>
      </c>
      <c r="H1330" s="2">
        <v>1</v>
      </c>
      <c r="I1330" s="2" t="s">
        <v>17</v>
      </c>
      <c r="J1330" s="2" t="str">
        <f>VLOOKUP(E1330,[1]LL_Hub!$A$1:$B$13,2,FALSE)</f>
        <v>New York</v>
      </c>
      <c r="K1330" t="str">
        <f>VLOOKUP(D1330,'[2]product Table data'!$A$2:$B$12,2,FALSE)</f>
        <v>Female</v>
      </c>
      <c r="L1330" t="str">
        <f>VLOOKUP($D1330,'[2]product Table data'!$A$2:$G$12,L$1,FALSE)</f>
        <v>Casual n Light</v>
      </c>
      <c r="M1330" t="str">
        <f>VLOOKUP($D1330,'[2]product Table data'!$A$2:$G$12,M$1,FALSE)</f>
        <v>Honduras</v>
      </c>
      <c r="N1330" t="str">
        <f>VLOOKUP($D1330,'[2]product Table data'!$A$2:$G$12,N$1,FALSE)</f>
        <v>Central America</v>
      </c>
      <c r="O1330">
        <f>VLOOKUP($D1330,'[2]product Table data'!$A$2:$G$12,O$1,FALSE)</f>
        <v>30</v>
      </c>
      <c r="P1330">
        <f>VLOOKUP($D1330,'[2]product Table data'!$A$2:$G$12,P$1,FALSE)</f>
        <v>45</v>
      </c>
      <c r="Q1330">
        <f t="shared" si="100"/>
        <v>15</v>
      </c>
      <c r="R1330" t="str">
        <f t="shared" si="101"/>
        <v>-</v>
      </c>
      <c r="S1330" t="str">
        <f t="shared" si="102"/>
        <v>Style Risk</v>
      </c>
      <c r="T1330" t="str">
        <f t="shared" si="103"/>
        <v>-</v>
      </c>
      <c r="U1330" t="str">
        <f t="shared" si="104"/>
        <v>High Value</v>
      </c>
    </row>
    <row r="1331" spans="1:21" hidden="1" x14ac:dyDescent="0.2">
      <c r="A1331" s="2">
        <v>1329</v>
      </c>
      <c r="B1331" s="2" t="s">
        <v>9</v>
      </c>
      <c r="C1331" s="2" t="s">
        <v>1841</v>
      </c>
      <c r="D1331" s="2" t="s">
        <v>505</v>
      </c>
      <c r="E1331" s="2">
        <v>10001</v>
      </c>
      <c r="F1331" s="2" t="s">
        <v>35</v>
      </c>
      <c r="G1331" s="2" t="s">
        <v>36</v>
      </c>
      <c r="H1331" s="2">
        <v>1</v>
      </c>
      <c r="I1331" s="2" t="s">
        <v>17</v>
      </c>
      <c r="J1331" s="2" t="str">
        <f>VLOOKUP(E1331,[1]LL_Hub!$A$1:$B$13,2,FALSE)</f>
        <v>New York</v>
      </c>
      <c r="K1331" t="str">
        <f>VLOOKUP(D1331,'[2]product Table data'!$A$2:$B$12,2,FALSE)</f>
        <v>Female</v>
      </c>
      <c r="L1331" t="str">
        <f>VLOOKUP($D1331,'[2]product Table data'!$A$2:$G$12,L$1,FALSE)</f>
        <v>Casual n Light</v>
      </c>
      <c r="M1331" t="str">
        <f>VLOOKUP($D1331,'[2]product Table data'!$A$2:$G$12,M$1,FALSE)</f>
        <v>Honduras</v>
      </c>
      <c r="N1331" t="str">
        <f>VLOOKUP($D1331,'[2]product Table data'!$A$2:$G$12,N$1,FALSE)</f>
        <v>Central America</v>
      </c>
      <c r="O1331">
        <f>VLOOKUP($D1331,'[2]product Table data'!$A$2:$G$12,O$1,FALSE)</f>
        <v>30</v>
      </c>
      <c r="P1331">
        <f>VLOOKUP($D1331,'[2]product Table data'!$A$2:$G$12,P$1,FALSE)</f>
        <v>45</v>
      </c>
      <c r="Q1331">
        <f t="shared" si="100"/>
        <v>15</v>
      </c>
      <c r="R1331" t="str">
        <f t="shared" si="101"/>
        <v>-</v>
      </c>
      <c r="S1331" t="str">
        <f t="shared" si="102"/>
        <v>Style Risk</v>
      </c>
      <c r="T1331" t="str">
        <f t="shared" si="103"/>
        <v>-</v>
      </c>
      <c r="U1331" t="str">
        <f t="shared" si="104"/>
        <v>High Value</v>
      </c>
    </row>
    <row r="1332" spans="1:21" hidden="1" x14ac:dyDescent="0.2">
      <c r="A1332" s="2">
        <v>1330</v>
      </c>
      <c r="B1332" s="2" t="s">
        <v>9</v>
      </c>
      <c r="C1332" s="2" t="s">
        <v>1842</v>
      </c>
      <c r="D1332" s="2" t="s">
        <v>505</v>
      </c>
      <c r="E1332" s="2">
        <v>10001</v>
      </c>
      <c r="F1332" s="2" t="s">
        <v>35</v>
      </c>
      <c r="G1332" s="2" t="s">
        <v>36</v>
      </c>
      <c r="H1332" s="2">
        <v>1</v>
      </c>
      <c r="I1332" s="2" t="s">
        <v>17</v>
      </c>
      <c r="J1332" s="2" t="str">
        <f>VLOOKUP(E1332,[1]LL_Hub!$A$1:$B$13,2,FALSE)</f>
        <v>New York</v>
      </c>
      <c r="K1332" t="str">
        <f>VLOOKUP(D1332,'[2]product Table data'!$A$2:$B$12,2,FALSE)</f>
        <v>Female</v>
      </c>
      <c r="L1332" t="str">
        <f>VLOOKUP($D1332,'[2]product Table data'!$A$2:$G$12,L$1,FALSE)</f>
        <v>Casual n Light</v>
      </c>
      <c r="M1332" t="str">
        <f>VLOOKUP($D1332,'[2]product Table data'!$A$2:$G$12,M$1,FALSE)</f>
        <v>Honduras</v>
      </c>
      <c r="N1332" t="str">
        <f>VLOOKUP($D1332,'[2]product Table data'!$A$2:$G$12,N$1,FALSE)</f>
        <v>Central America</v>
      </c>
      <c r="O1332">
        <f>VLOOKUP($D1332,'[2]product Table data'!$A$2:$G$12,O$1,FALSE)</f>
        <v>30</v>
      </c>
      <c r="P1332">
        <f>VLOOKUP($D1332,'[2]product Table data'!$A$2:$G$12,P$1,FALSE)</f>
        <v>45</v>
      </c>
      <c r="Q1332">
        <f t="shared" si="100"/>
        <v>15</v>
      </c>
      <c r="R1332" t="str">
        <f t="shared" si="101"/>
        <v>-</v>
      </c>
      <c r="S1332" t="str">
        <f t="shared" si="102"/>
        <v>Style Risk</v>
      </c>
      <c r="T1332" t="str">
        <f t="shared" si="103"/>
        <v>-</v>
      </c>
      <c r="U1332" t="str">
        <f t="shared" si="104"/>
        <v>High Value</v>
      </c>
    </row>
    <row r="1333" spans="1:21" hidden="1" x14ac:dyDescent="0.2">
      <c r="A1333" s="2">
        <v>1331</v>
      </c>
      <c r="B1333" s="2" t="s">
        <v>9</v>
      </c>
      <c r="C1333" s="2" t="s">
        <v>1843</v>
      </c>
      <c r="D1333" s="2" t="s">
        <v>505</v>
      </c>
      <c r="E1333" s="2">
        <v>10001</v>
      </c>
      <c r="F1333" s="2" t="s">
        <v>35</v>
      </c>
      <c r="G1333" s="2" t="s">
        <v>36</v>
      </c>
      <c r="H1333" s="2">
        <v>1</v>
      </c>
      <c r="I1333" s="2" t="s">
        <v>17</v>
      </c>
      <c r="J1333" s="2" t="str">
        <f>VLOOKUP(E1333,[1]LL_Hub!$A$1:$B$13,2,FALSE)</f>
        <v>New York</v>
      </c>
      <c r="K1333" t="str">
        <f>VLOOKUP(D1333,'[2]product Table data'!$A$2:$B$12,2,FALSE)</f>
        <v>Female</v>
      </c>
      <c r="L1333" t="str">
        <f>VLOOKUP($D1333,'[2]product Table data'!$A$2:$G$12,L$1,FALSE)</f>
        <v>Casual n Light</v>
      </c>
      <c r="M1333" t="str">
        <f>VLOOKUP($D1333,'[2]product Table data'!$A$2:$G$12,M$1,FALSE)</f>
        <v>Honduras</v>
      </c>
      <c r="N1333" t="str">
        <f>VLOOKUP($D1333,'[2]product Table data'!$A$2:$G$12,N$1,FALSE)</f>
        <v>Central America</v>
      </c>
      <c r="O1333">
        <f>VLOOKUP($D1333,'[2]product Table data'!$A$2:$G$12,O$1,FALSE)</f>
        <v>30</v>
      </c>
      <c r="P1333">
        <f>VLOOKUP($D1333,'[2]product Table data'!$A$2:$G$12,P$1,FALSE)</f>
        <v>45</v>
      </c>
      <c r="Q1333">
        <f t="shared" si="100"/>
        <v>15</v>
      </c>
      <c r="R1333" t="str">
        <f t="shared" si="101"/>
        <v>-</v>
      </c>
      <c r="S1333" t="str">
        <f t="shared" si="102"/>
        <v>Style Risk</v>
      </c>
      <c r="T1333" t="str">
        <f t="shared" si="103"/>
        <v>-</v>
      </c>
      <c r="U1333" t="str">
        <f t="shared" si="104"/>
        <v>High Value</v>
      </c>
    </row>
    <row r="1334" spans="1:21" hidden="1" x14ac:dyDescent="0.2">
      <c r="A1334" s="2">
        <v>1332</v>
      </c>
      <c r="B1334" s="2" t="s">
        <v>9</v>
      </c>
      <c r="C1334" s="2" t="s">
        <v>1844</v>
      </c>
      <c r="D1334" s="2" t="s">
        <v>505</v>
      </c>
      <c r="E1334" s="2">
        <v>10001</v>
      </c>
      <c r="F1334" s="2" t="s">
        <v>35</v>
      </c>
      <c r="G1334" s="2" t="s">
        <v>36</v>
      </c>
      <c r="H1334" s="2">
        <v>1</v>
      </c>
      <c r="I1334" s="2" t="s">
        <v>17</v>
      </c>
      <c r="J1334" s="2" t="str">
        <f>VLOOKUP(E1334,[1]LL_Hub!$A$1:$B$13,2,FALSE)</f>
        <v>New York</v>
      </c>
      <c r="K1334" t="str">
        <f>VLOOKUP(D1334,'[2]product Table data'!$A$2:$B$12,2,FALSE)</f>
        <v>Female</v>
      </c>
      <c r="L1334" t="str">
        <f>VLOOKUP($D1334,'[2]product Table data'!$A$2:$G$12,L$1,FALSE)</f>
        <v>Casual n Light</v>
      </c>
      <c r="M1334" t="str">
        <f>VLOOKUP($D1334,'[2]product Table data'!$A$2:$G$12,M$1,FALSE)</f>
        <v>Honduras</v>
      </c>
      <c r="N1334" t="str">
        <f>VLOOKUP($D1334,'[2]product Table data'!$A$2:$G$12,N$1,FALSE)</f>
        <v>Central America</v>
      </c>
      <c r="O1334">
        <f>VLOOKUP($D1334,'[2]product Table data'!$A$2:$G$12,O$1,FALSE)</f>
        <v>30</v>
      </c>
      <c r="P1334">
        <f>VLOOKUP($D1334,'[2]product Table data'!$A$2:$G$12,P$1,FALSE)</f>
        <v>45</v>
      </c>
      <c r="Q1334">
        <f t="shared" si="100"/>
        <v>15</v>
      </c>
      <c r="R1334" t="str">
        <f t="shared" si="101"/>
        <v>-</v>
      </c>
      <c r="S1334" t="str">
        <f t="shared" si="102"/>
        <v>Style Risk</v>
      </c>
      <c r="T1334" t="str">
        <f t="shared" si="103"/>
        <v>-</v>
      </c>
      <c r="U1334" t="str">
        <f t="shared" si="104"/>
        <v>High Value</v>
      </c>
    </row>
    <row r="1335" spans="1:21" hidden="1" x14ac:dyDescent="0.2">
      <c r="A1335" s="2">
        <v>1333</v>
      </c>
      <c r="B1335" s="2" t="s">
        <v>9</v>
      </c>
      <c r="C1335" s="2" t="s">
        <v>1845</v>
      </c>
      <c r="D1335" s="2" t="s">
        <v>505</v>
      </c>
      <c r="E1335" s="2">
        <v>10001</v>
      </c>
      <c r="F1335" s="2" t="s">
        <v>35</v>
      </c>
      <c r="G1335" s="2" t="s">
        <v>36</v>
      </c>
      <c r="H1335" s="2">
        <v>1</v>
      </c>
      <c r="I1335" s="2" t="s">
        <v>17</v>
      </c>
      <c r="J1335" s="2" t="str">
        <f>VLOOKUP(E1335,[1]LL_Hub!$A$1:$B$13,2,FALSE)</f>
        <v>New York</v>
      </c>
      <c r="K1335" t="str">
        <f>VLOOKUP(D1335,'[2]product Table data'!$A$2:$B$12,2,FALSE)</f>
        <v>Female</v>
      </c>
      <c r="L1335" t="str">
        <f>VLOOKUP($D1335,'[2]product Table data'!$A$2:$G$12,L$1,FALSE)</f>
        <v>Casual n Light</v>
      </c>
      <c r="M1335" t="str">
        <f>VLOOKUP($D1335,'[2]product Table data'!$A$2:$G$12,M$1,FALSE)</f>
        <v>Honduras</v>
      </c>
      <c r="N1335" t="str">
        <f>VLOOKUP($D1335,'[2]product Table data'!$A$2:$G$12,N$1,FALSE)</f>
        <v>Central America</v>
      </c>
      <c r="O1335">
        <f>VLOOKUP($D1335,'[2]product Table data'!$A$2:$G$12,O$1,FALSE)</f>
        <v>30</v>
      </c>
      <c r="P1335">
        <f>VLOOKUP($D1335,'[2]product Table data'!$A$2:$G$12,P$1,FALSE)</f>
        <v>45</v>
      </c>
      <c r="Q1335">
        <f t="shared" si="100"/>
        <v>15</v>
      </c>
      <c r="R1335" t="str">
        <f t="shared" si="101"/>
        <v>-</v>
      </c>
      <c r="S1335" t="str">
        <f t="shared" si="102"/>
        <v>Style Risk</v>
      </c>
      <c r="T1335" t="str">
        <f t="shared" si="103"/>
        <v>-</v>
      </c>
      <c r="U1335" t="str">
        <f t="shared" si="104"/>
        <v>High Value</v>
      </c>
    </row>
    <row r="1336" spans="1:21" hidden="1" x14ac:dyDescent="0.2">
      <c r="A1336" s="2">
        <v>1334</v>
      </c>
      <c r="B1336" s="2" t="s">
        <v>9</v>
      </c>
      <c r="C1336" s="2" t="s">
        <v>1846</v>
      </c>
      <c r="D1336" s="2" t="s">
        <v>505</v>
      </c>
      <c r="E1336" s="2">
        <v>10001</v>
      </c>
      <c r="F1336" s="2" t="s">
        <v>35</v>
      </c>
      <c r="G1336" s="2" t="s">
        <v>36</v>
      </c>
      <c r="H1336" s="2">
        <v>1</v>
      </c>
      <c r="I1336" s="2" t="s">
        <v>17</v>
      </c>
      <c r="J1336" s="2" t="str">
        <f>VLOOKUP(E1336,[1]LL_Hub!$A$1:$B$13,2,FALSE)</f>
        <v>New York</v>
      </c>
      <c r="K1336" t="str">
        <f>VLOOKUP(D1336,'[2]product Table data'!$A$2:$B$12,2,FALSE)</f>
        <v>Female</v>
      </c>
      <c r="L1336" t="str">
        <f>VLOOKUP($D1336,'[2]product Table data'!$A$2:$G$12,L$1,FALSE)</f>
        <v>Casual n Light</v>
      </c>
      <c r="M1336" t="str">
        <f>VLOOKUP($D1336,'[2]product Table data'!$A$2:$G$12,M$1,FALSE)</f>
        <v>Honduras</v>
      </c>
      <c r="N1336" t="str">
        <f>VLOOKUP($D1336,'[2]product Table data'!$A$2:$G$12,N$1,FALSE)</f>
        <v>Central America</v>
      </c>
      <c r="O1336">
        <f>VLOOKUP($D1336,'[2]product Table data'!$A$2:$G$12,O$1,FALSE)</f>
        <v>30</v>
      </c>
      <c r="P1336">
        <f>VLOOKUP($D1336,'[2]product Table data'!$A$2:$G$12,P$1,FALSE)</f>
        <v>45</v>
      </c>
      <c r="Q1336">
        <f t="shared" si="100"/>
        <v>15</v>
      </c>
      <c r="R1336" t="str">
        <f t="shared" si="101"/>
        <v>-</v>
      </c>
      <c r="S1336" t="str">
        <f t="shared" si="102"/>
        <v>Style Risk</v>
      </c>
      <c r="T1336" t="str">
        <f t="shared" si="103"/>
        <v>-</v>
      </c>
      <c r="U1336" t="str">
        <f t="shared" si="104"/>
        <v>High Value</v>
      </c>
    </row>
    <row r="1337" spans="1:21" hidden="1" x14ac:dyDescent="0.2">
      <c r="A1337" s="2">
        <v>1335</v>
      </c>
      <c r="B1337" s="2" t="s">
        <v>9</v>
      </c>
      <c r="C1337" s="2" t="s">
        <v>1847</v>
      </c>
      <c r="D1337" s="2" t="s">
        <v>505</v>
      </c>
      <c r="E1337" s="2">
        <v>10001</v>
      </c>
      <c r="F1337" s="2" t="s">
        <v>35</v>
      </c>
      <c r="G1337" s="2" t="s">
        <v>36</v>
      </c>
      <c r="H1337" s="2">
        <v>1</v>
      </c>
      <c r="I1337" s="2" t="s">
        <v>17</v>
      </c>
      <c r="J1337" s="2" t="str">
        <f>VLOOKUP(E1337,[1]LL_Hub!$A$1:$B$13,2,FALSE)</f>
        <v>New York</v>
      </c>
      <c r="K1337" t="str">
        <f>VLOOKUP(D1337,'[2]product Table data'!$A$2:$B$12,2,FALSE)</f>
        <v>Female</v>
      </c>
      <c r="L1337" t="str">
        <f>VLOOKUP($D1337,'[2]product Table data'!$A$2:$G$12,L$1,FALSE)</f>
        <v>Casual n Light</v>
      </c>
      <c r="M1337" t="str">
        <f>VLOOKUP($D1337,'[2]product Table data'!$A$2:$G$12,M$1,FALSE)</f>
        <v>Honduras</v>
      </c>
      <c r="N1337" t="str">
        <f>VLOOKUP($D1337,'[2]product Table data'!$A$2:$G$12,N$1,FALSE)</f>
        <v>Central America</v>
      </c>
      <c r="O1337">
        <f>VLOOKUP($D1337,'[2]product Table data'!$A$2:$G$12,O$1,FALSE)</f>
        <v>30</v>
      </c>
      <c r="P1337">
        <f>VLOOKUP($D1337,'[2]product Table data'!$A$2:$G$12,P$1,FALSE)</f>
        <v>45</v>
      </c>
      <c r="Q1337">
        <f t="shared" si="100"/>
        <v>15</v>
      </c>
      <c r="R1337" t="str">
        <f t="shared" si="101"/>
        <v>-</v>
      </c>
      <c r="S1337" t="str">
        <f t="shared" si="102"/>
        <v>Style Risk</v>
      </c>
      <c r="T1337" t="str">
        <f t="shared" si="103"/>
        <v>-</v>
      </c>
      <c r="U1337" t="str">
        <f t="shared" si="104"/>
        <v>High Value</v>
      </c>
    </row>
    <row r="1338" spans="1:21" hidden="1" x14ac:dyDescent="0.2">
      <c r="A1338" s="2">
        <v>1336</v>
      </c>
      <c r="B1338" s="2" t="s">
        <v>9</v>
      </c>
      <c r="C1338" s="2" t="s">
        <v>1848</v>
      </c>
      <c r="D1338" s="2" t="s">
        <v>505</v>
      </c>
      <c r="E1338" s="2">
        <v>10001</v>
      </c>
      <c r="F1338" s="2" t="s">
        <v>35</v>
      </c>
      <c r="G1338" s="2" t="s">
        <v>36</v>
      </c>
      <c r="H1338" s="2">
        <v>1</v>
      </c>
      <c r="I1338" s="2" t="s">
        <v>17</v>
      </c>
      <c r="J1338" s="2" t="str">
        <f>VLOOKUP(E1338,[1]LL_Hub!$A$1:$B$13,2,FALSE)</f>
        <v>New York</v>
      </c>
      <c r="K1338" t="str">
        <f>VLOOKUP(D1338,'[2]product Table data'!$A$2:$B$12,2,FALSE)</f>
        <v>Female</v>
      </c>
      <c r="L1338" t="str">
        <f>VLOOKUP($D1338,'[2]product Table data'!$A$2:$G$12,L$1,FALSE)</f>
        <v>Casual n Light</v>
      </c>
      <c r="M1338" t="str">
        <f>VLOOKUP($D1338,'[2]product Table data'!$A$2:$G$12,M$1,FALSE)</f>
        <v>Honduras</v>
      </c>
      <c r="N1338" t="str">
        <f>VLOOKUP($D1338,'[2]product Table data'!$A$2:$G$12,N$1,FALSE)</f>
        <v>Central America</v>
      </c>
      <c r="O1338">
        <f>VLOOKUP($D1338,'[2]product Table data'!$A$2:$G$12,O$1,FALSE)</f>
        <v>30</v>
      </c>
      <c r="P1338">
        <f>VLOOKUP($D1338,'[2]product Table data'!$A$2:$G$12,P$1,FALSE)</f>
        <v>45</v>
      </c>
      <c r="Q1338">
        <f t="shared" si="100"/>
        <v>15</v>
      </c>
      <c r="R1338" t="str">
        <f t="shared" si="101"/>
        <v>-</v>
      </c>
      <c r="S1338" t="str">
        <f t="shared" si="102"/>
        <v>Style Risk</v>
      </c>
      <c r="T1338" t="str">
        <f t="shared" si="103"/>
        <v>-</v>
      </c>
      <c r="U1338" t="str">
        <f t="shared" si="104"/>
        <v>High Value</v>
      </c>
    </row>
    <row r="1339" spans="1:21" hidden="1" x14ac:dyDescent="0.2">
      <c r="A1339" s="2">
        <v>1337</v>
      </c>
      <c r="B1339" s="2" t="s">
        <v>9</v>
      </c>
      <c r="C1339" s="2" t="s">
        <v>1849</v>
      </c>
      <c r="D1339" s="2" t="s">
        <v>505</v>
      </c>
      <c r="E1339" s="2">
        <v>10001</v>
      </c>
      <c r="F1339" s="2" t="s">
        <v>35</v>
      </c>
      <c r="G1339" s="2" t="s">
        <v>36</v>
      </c>
      <c r="H1339" s="2">
        <v>1</v>
      </c>
      <c r="I1339" s="2" t="s">
        <v>17</v>
      </c>
      <c r="J1339" s="2" t="str">
        <f>VLOOKUP(E1339,[1]LL_Hub!$A$1:$B$13,2,FALSE)</f>
        <v>New York</v>
      </c>
      <c r="K1339" t="str">
        <f>VLOOKUP(D1339,'[2]product Table data'!$A$2:$B$12,2,FALSE)</f>
        <v>Female</v>
      </c>
      <c r="L1339" t="str">
        <f>VLOOKUP($D1339,'[2]product Table data'!$A$2:$G$12,L$1,FALSE)</f>
        <v>Casual n Light</v>
      </c>
      <c r="M1339" t="str">
        <f>VLOOKUP($D1339,'[2]product Table data'!$A$2:$G$12,M$1,FALSE)</f>
        <v>Honduras</v>
      </c>
      <c r="N1339" t="str">
        <f>VLOOKUP($D1339,'[2]product Table data'!$A$2:$G$12,N$1,FALSE)</f>
        <v>Central America</v>
      </c>
      <c r="O1339">
        <f>VLOOKUP($D1339,'[2]product Table data'!$A$2:$G$12,O$1,FALSE)</f>
        <v>30</v>
      </c>
      <c r="P1339">
        <f>VLOOKUP($D1339,'[2]product Table data'!$A$2:$G$12,P$1,FALSE)</f>
        <v>45</v>
      </c>
      <c r="Q1339">
        <f t="shared" si="100"/>
        <v>15</v>
      </c>
      <c r="R1339" t="str">
        <f t="shared" si="101"/>
        <v>-</v>
      </c>
      <c r="S1339" t="str">
        <f t="shared" si="102"/>
        <v>Style Risk</v>
      </c>
      <c r="T1339" t="str">
        <f t="shared" si="103"/>
        <v>-</v>
      </c>
      <c r="U1339" t="str">
        <f t="shared" si="104"/>
        <v>High Value</v>
      </c>
    </row>
    <row r="1340" spans="1:21" hidden="1" x14ac:dyDescent="0.2">
      <c r="A1340" s="2">
        <v>1338</v>
      </c>
      <c r="B1340" s="2" t="s">
        <v>9</v>
      </c>
      <c r="C1340" s="2" t="s">
        <v>1850</v>
      </c>
      <c r="D1340" s="2" t="s">
        <v>505</v>
      </c>
      <c r="E1340" s="2">
        <v>10001</v>
      </c>
      <c r="F1340" s="2" t="s">
        <v>35</v>
      </c>
      <c r="G1340" s="2" t="s">
        <v>36</v>
      </c>
      <c r="H1340" s="2">
        <v>1</v>
      </c>
      <c r="I1340" s="2" t="s">
        <v>17</v>
      </c>
      <c r="J1340" s="2" t="str">
        <f>VLOOKUP(E1340,[1]LL_Hub!$A$1:$B$13,2,FALSE)</f>
        <v>New York</v>
      </c>
      <c r="K1340" t="str">
        <f>VLOOKUP(D1340,'[2]product Table data'!$A$2:$B$12,2,FALSE)</f>
        <v>Female</v>
      </c>
      <c r="L1340" t="str">
        <f>VLOOKUP($D1340,'[2]product Table data'!$A$2:$G$12,L$1,FALSE)</f>
        <v>Casual n Light</v>
      </c>
      <c r="M1340" t="str">
        <f>VLOOKUP($D1340,'[2]product Table data'!$A$2:$G$12,M$1,FALSE)</f>
        <v>Honduras</v>
      </c>
      <c r="N1340" t="str">
        <f>VLOOKUP($D1340,'[2]product Table data'!$A$2:$G$12,N$1,FALSE)</f>
        <v>Central America</v>
      </c>
      <c r="O1340">
        <f>VLOOKUP($D1340,'[2]product Table data'!$A$2:$G$12,O$1,FALSE)</f>
        <v>30</v>
      </c>
      <c r="P1340">
        <f>VLOOKUP($D1340,'[2]product Table data'!$A$2:$G$12,P$1,FALSE)</f>
        <v>45</v>
      </c>
      <c r="Q1340">
        <f t="shared" si="100"/>
        <v>15</v>
      </c>
      <c r="R1340" t="str">
        <f t="shared" si="101"/>
        <v>-</v>
      </c>
      <c r="S1340" t="str">
        <f t="shared" si="102"/>
        <v>Style Risk</v>
      </c>
      <c r="T1340" t="str">
        <f t="shared" si="103"/>
        <v>-</v>
      </c>
      <c r="U1340" t="str">
        <f t="shared" si="104"/>
        <v>High Value</v>
      </c>
    </row>
    <row r="1341" spans="1:21" hidden="1" x14ac:dyDescent="0.2">
      <c r="A1341" s="2">
        <v>1339</v>
      </c>
      <c r="B1341" s="2" t="s">
        <v>9</v>
      </c>
      <c r="C1341" s="2" t="s">
        <v>1851</v>
      </c>
      <c r="D1341" s="2" t="s">
        <v>505</v>
      </c>
      <c r="E1341" s="2">
        <v>10001</v>
      </c>
      <c r="F1341" s="2" t="s">
        <v>35</v>
      </c>
      <c r="G1341" s="2" t="s">
        <v>36</v>
      </c>
      <c r="H1341" s="2">
        <v>1</v>
      </c>
      <c r="I1341" s="2" t="s">
        <v>17</v>
      </c>
      <c r="J1341" s="2" t="str">
        <f>VLOOKUP(E1341,[1]LL_Hub!$A$1:$B$13,2,FALSE)</f>
        <v>New York</v>
      </c>
      <c r="K1341" t="str">
        <f>VLOOKUP(D1341,'[2]product Table data'!$A$2:$B$12,2,FALSE)</f>
        <v>Female</v>
      </c>
      <c r="L1341" t="str">
        <f>VLOOKUP($D1341,'[2]product Table data'!$A$2:$G$12,L$1,FALSE)</f>
        <v>Casual n Light</v>
      </c>
      <c r="M1341" t="str">
        <f>VLOOKUP($D1341,'[2]product Table data'!$A$2:$G$12,M$1,FALSE)</f>
        <v>Honduras</v>
      </c>
      <c r="N1341" t="str">
        <f>VLOOKUP($D1341,'[2]product Table data'!$A$2:$G$12,N$1,FALSE)</f>
        <v>Central America</v>
      </c>
      <c r="O1341">
        <f>VLOOKUP($D1341,'[2]product Table data'!$A$2:$G$12,O$1,FALSE)</f>
        <v>30</v>
      </c>
      <c r="P1341">
        <f>VLOOKUP($D1341,'[2]product Table data'!$A$2:$G$12,P$1,FALSE)</f>
        <v>45</v>
      </c>
      <c r="Q1341">
        <f t="shared" si="100"/>
        <v>15</v>
      </c>
      <c r="R1341" t="str">
        <f t="shared" si="101"/>
        <v>-</v>
      </c>
      <c r="S1341" t="str">
        <f t="shared" si="102"/>
        <v>Style Risk</v>
      </c>
      <c r="T1341" t="str">
        <f t="shared" si="103"/>
        <v>-</v>
      </c>
      <c r="U1341" t="str">
        <f t="shared" si="104"/>
        <v>High Value</v>
      </c>
    </row>
    <row r="1342" spans="1:21" hidden="1" x14ac:dyDescent="0.2">
      <c r="A1342" s="2">
        <v>1340</v>
      </c>
      <c r="B1342" s="2" t="s">
        <v>9</v>
      </c>
      <c r="C1342" s="2" t="s">
        <v>1852</v>
      </c>
      <c r="D1342" s="2" t="s">
        <v>505</v>
      </c>
      <c r="E1342" s="2">
        <v>10001</v>
      </c>
      <c r="F1342" s="2" t="s">
        <v>35</v>
      </c>
      <c r="G1342" s="2" t="s">
        <v>36</v>
      </c>
      <c r="H1342" s="2">
        <v>1</v>
      </c>
      <c r="I1342" s="2" t="s">
        <v>17</v>
      </c>
      <c r="J1342" s="2" t="str">
        <f>VLOOKUP(E1342,[1]LL_Hub!$A$1:$B$13,2,FALSE)</f>
        <v>New York</v>
      </c>
      <c r="K1342" t="str">
        <f>VLOOKUP(D1342,'[2]product Table data'!$A$2:$B$12,2,FALSE)</f>
        <v>Female</v>
      </c>
      <c r="L1342" t="str">
        <f>VLOOKUP($D1342,'[2]product Table data'!$A$2:$G$12,L$1,FALSE)</f>
        <v>Casual n Light</v>
      </c>
      <c r="M1342" t="str">
        <f>VLOOKUP($D1342,'[2]product Table data'!$A$2:$G$12,M$1,FALSE)</f>
        <v>Honduras</v>
      </c>
      <c r="N1342" t="str">
        <f>VLOOKUP($D1342,'[2]product Table data'!$A$2:$G$12,N$1,FALSE)</f>
        <v>Central America</v>
      </c>
      <c r="O1342">
        <f>VLOOKUP($D1342,'[2]product Table data'!$A$2:$G$12,O$1,FALSE)</f>
        <v>30</v>
      </c>
      <c r="P1342">
        <f>VLOOKUP($D1342,'[2]product Table data'!$A$2:$G$12,P$1,FALSE)</f>
        <v>45</v>
      </c>
      <c r="Q1342">
        <f t="shared" si="100"/>
        <v>15</v>
      </c>
      <c r="R1342" t="str">
        <f t="shared" si="101"/>
        <v>-</v>
      </c>
      <c r="S1342" t="str">
        <f t="shared" si="102"/>
        <v>Style Risk</v>
      </c>
      <c r="T1342" t="str">
        <f t="shared" si="103"/>
        <v>-</v>
      </c>
      <c r="U1342" t="str">
        <f t="shared" si="104"/>
        <v>High Value</v>
      </c>
    </row>
    <row r="1343" spans="1:21" hidden="1" x14ac:dyDescent="0.2">
      <c r="A1343" s="2">
        <v>1341</v>
      </c>
      <c r="B1343" s="2" t="s">
        <v>9</v>
      </c>
      <c r="C1343" s="2" t="s">
        <v>1853</v>
      </c>
      <c r="D1343" s="2" t="s">
        <v>505</v>
      </c>
      <c r="E1343" s="2">
        <v>10001</v>
      </c>
      <c r="F1343" s="2" t="s">
        <v>35</v>
      </c>
      <c r="G1343" s="2" t="s">
        <v>36</v>
      </c>
      <c r="H1343" s="2">
        <v>1</v>
      </c>
      <c r="I1343" s="2" t="s">
        <v>17</v>
      </c>
      <c r="J1343" s="2" t="str">
        <f>VLOOKUP(E1343,[1]LL_Hub!$A$1:$B$13,2,FALSE)</f>
        <v>New York</v>
      </c>
      <c r="K1343" t="str">
        <f>VLOOKUP(D1343,'[2]product Table data'!$A$2:$B$12,2,FALSE)</f>
        <v>Female</v>
      </c>
      <c r="L1343" t="str">
        <f>VLOOKUP($D1343,'[2]product Table data'!$A$2:$G$12,L$1,FALSE)</f>
        <v>Casual n Light</v>
      </c>
      <c r="M1343" t="str">
        <f>VLOOKUP($D1343,'[2]product Table data'!$A$2:$G$12,M$1,FALSE)</f>
        <v>Honduras</v>
      </c>
      <c r="N1343" t="str">
        <f>VLOOKUP($D1343,'[2]product Table data'!$A$2:$G$12,N$1,FALSE)</f>
        <v>Central America</v>
      </c>
      <c r="O1343">
        <f>VLOOKUP($D1343,'[2]product Table data'!$A$2:$G$12,O$1,FALSE)</f>
        <v>30</v>
      </c>
      <c r="P1343">
        <f>VLOOKUP($D1343,'[2]product Table data'!$A$2:$G$12,P$1,FALSE)</f>
        <v>45</v>
      </c>
      <c r="Q1343">
        <f t="shared" si="100"/>
        <v>15</v>
      </c>
      <c r="R1343" t="str">
        <f t="shared" si="101"/>
        <v>-</v>
      </c>
      <c r="S1343" t="str">
        <f t="shared" si="102"/>
        <v>Style Risk</v>
      </c>
      <c r="T1343" t="str">
        <f t="shared" si="103"/>
        <v>-</v>
      </c>
      <c r="U1343" t="str">
        <f t="shared" si="104"/>
        <v>High Value</v>
      </c>
    </row>
    <row r="1344" spans="1:21" hidden="1" x14ac:dyDescent="0.2">
      <c r="A1344" s="2">
        <v>1342</v>
      </c>
      <c r="B1344" s="2" t="s">
        <v>9</v>
      </c>
      <c r="C1344" s="2" t="s">
        <v>1854</v>
      </c>
      <c r="D1344" s="2" t="s">
        <v>505</v>
      </c>
      <c r="E1344" s="2">
        <v>10001</v>
      </c>
      <c r="F1344" s="2" t="s">
        <v>35</v>
      </c>
      <c r="G1344" s="2" t="s">
        <v>36</v>
      </c>
      <c r="H1344" s="2">
        <v>1</v>
      </c>
      <c r="I1344" s="2" t="s">
        <v>17</v>
      </c>
      <c r="J1344" s="2" t="str">
        <f>VLOOKUP(E1344,[1]LL_Hub!$A$1:$B$13,2,FALSE)</f>
        <v>New York</v>
      </c>
      <c r="K1344" t="str">
        <f>VLOOKUP(D1344,'[2]product Table data'!$A$2:$B$12,2,FALSE)</f>
        <v>Female</v>
      </c>
      <c r="L1344" t="str">
        <f>VLOOKUP($D1344,'[2]product Table data'!$A$2:$G$12,L$1,FALSE)</f>
        <v>Casual n Light</v>
      </c>
      <c r="M1344" t="str">
        <f>VLOOKUP($D1344,'[2]product Table data'!$A$2:$G$12,M$1,FALSE)</f>
        <v>Honduras</v>
      </c>
      <c r="N1344" t="str">
        <f>VLOOKUP($D1344,'[2]product Table data'!$A$2:$G$12,N$1,FALSE)</f>
        <v>Central America</v>
      </c>
      <c r="O1344">
        <f>VLOOKUP($D1344,'[2]product Table data'!$A$2:$G$12,O$1,FALSE)</f>
        <v>30</v>
      </c>
      <c r="P1344">
        <f>VLOOKUP($D1344,'[2]product Table data'!$A$2:$G$12,P$1,FALSE)</f>
        <v>45</v>
      </c>
      <c r="Q1344">
        <f t="shared" si="100"/>
        <v>15</v>
      </c>
      <c r="R1344" t="str">
        <f t="shared" si="101"/>
        <v>-</v>
      </c>
      <c r="S1344" t="str">
        <f t="shared" si="102"/>
        <v>Style Risk</v>
      </c>
      <c r="T1344" t="str">
        <f t="shared" si="103"/>
        <v>-</v>
      </c>
      <c r="U1344" t="str">
        <f t="shared" si="104"/>
        <v>High Value</v>
      </c>
    </row>
    <row r="1345" spans="1:21" hidden="1" x14ac:dyDescent="0.2">
      <c r="A1345" s="2">
        <v>1343</v>
      </c>
      <c r="B1345" s="2" t="s">
        <v>9</v>
      </c>
      <c r="C1345" s="2" t="s">
        <v>1855</v>
      </c>
      <c r="D1345" s="2" t="s">
        <v>505</v>
      </c>
      <c r="E1345" s="2">
        <v>10001</v>
      </c>
      <c r="F1345" s="2" t="s">
        <v>35</v>
      </c>
      <c r="G1345" s="2" t="s">
        <v>36</v>
      </c>
      <c r="H1345" s="2">
        <v>1</v>
      </c>
      <c r="I1345" s="2" t="s">
        <v>17</v>
      </c>
      <c r="J1345" s="2" t="str">
        <f>VLOOKUP(E1345,[1]LL_Hub!$A$1:$B$13,2,FALSE)</f>
        <v>New York</v>
      </c>
      <c r="K1345" t="str">
        <f>VLOOKUP(D1345,'[2]product Table data'!$A$2:$B$12,2,FALSE)</f>
        <v>Female</v>
      </c>
      <c r="L1345" t="str">
        <f>VLOOKUP($D1345,'[2]product Table data'!$A$2:$G$12,L$1,FALSE)</f>
        <v>Casual n Light</v>
      </c>
      <c r="M1345" t="str">
        <f>VLOOKUP($D1345,'[2]product Table data'!$A$2:$G$12,M$1,FALSE)</f>
        <v>Honduras</v>
      </c>
      <c r="N1345" t="str">
        <f>VLOOKUP($D1345,'[2]product Table data'!$A$2:$G$12,N$1,FALSE)</f>
        <v>Central America</v>
      </c>
      <c r="O1345">
        <f>VLOOKUP($D1345,'[2]product Table data'!$A$2:$G$12,O$1,FALSE)</f>
        <v>30</v>
      </c>
      <c r="P1345">
        <f>VLOOKUP($D1345,'[2]product Table data'!$A$2:$G$12,P$1,FALSE)</f>
        <v>45</v>
      </c>
      <c r="Q1345">
        <f t="shared" si="100"/>
        <v>15</v>
      </c>
      <c r="R1345" t="str">
        <f t="shared" si="101"/>
        <v>-</v>
      </c>
      <c r="S1345" t="str">
        <f t="shared" si="102"/>
        <v>Style Risk</v>
      </c>
      <c r="T1345" t="str">
        <f t="shared" si="103"/>
        <v>-</v>
      </c>
      <c r="U1345" t="str">
        <f t="shared" si="104"/>
        <v>High Value</v>
      </c>
    </row>
    <row r="1346" spans="1:21" hidden="1" x14ac:dyDescent="0.2">
      <c r="A1346" s="2">
        <v>1344</v>
      </c>
      <c r="B1346" s="2" t="s">
        <v>9</v>
      </c>
      <c r="C1346" s="2" t="s">
        <v>1856</v>
      </c>
      <c r="D1346" s="2" t="s">
        <v>505</v>
      </c>
      <c r="E1346" s="2">
        <v>10001</v>
      </c>
      <c r="F1346" s="2" t="s">
        <v>35</v>
      </c>
      <c r="G1346" s="2" t="s">
        <v>36</v>
      </c>
      <c r="H1346" s="2">
        <v>1</v>
      </c>
      <c r="I1346" s="2" t="s">
        <v>17</v>
      </c>
      <c r="J1346" s="2" t="str">
        <f>VLOOKUP(E1346,[1]LL_Hub!$A$1:$B$13,2,FALSE)</f>
        <v>New York</v>
      </c>
      <c r="K1346" t="str">
        <f>VLOOKUP(D1346,'[2]product Table data'!$A$2:$B$12,2,FALSE)</f>
        <v>Female</v>
      </c>
      <c r="L1346" t="str">
        <f>VLOOKUP($D1346,'[2]product Table data'!$A$2:$G$12,L$1,FALSE)</f>
        <v>Casual n Light</v>
      </c>
      <c r="M1346" t="str">
        <f>VLOOKUP($D1346,'[2]product Table data'!$A$2:$G$12,M$1,FALSE)</f>
        <v>Honduras</v>
      </c>
      <c r="N1346" t="str">
        <f>VLOOKUP($D1346,'[2]product Table data'!$A$2:$G$12,N$1,FALSE)</f>
        <v>Central America</v>
      </c>
      <c r="O1346">
        <f>VLOOKUP($D1346,'[2]product Table data'!$A$2:$G$12,O$1,FALSE)</f>
        <v>30</v>
      </c>
      <c r="P1346">
        <f>VLOOKUP($D1346,'[2]product Table data'!$A$2:$G$12,P$1,FALSE)</f>
        <v>45</v>
      </c>
      <c r="Q1346">
        <f t="shared" si="100"/>
        <v>15</v>
      </c>
      <c r="R1346" t="str">
        <f t="shared" si="101"/>
        <v>-</v>
      </c>
      <c r="S1346" t="str">
        <f t="shared" si="102"/>
        <v>Style Risk</v>
      </c>
      <c r="T1346" t="str">
        <f t="shared" si="103"/>
        <v>-</v>
      </c>
      <c r="U1346" t="str">
        <f t="shared" si="104"/>
        <v>High Value</v>
      </c>
    </row>
    <row r="1347" spans="1:21" hidden="1" x14ac:dyDescent="0.2">
      <c r="A1347" s="2">
        <v>1345</v>
      </c>
      <c r="B1347" s="2" t="s">
        <v>9</v>
      </c>
      <c r="C1347" s="2" t="s">
        <v>1857</v>
      </c>
      <c r="D1347" s="2" t="s">
        <v>505</v>
      </c>
      <c r="E1347" s="2">
        <v>10001</v>
      </c>
      <c r="F1347" s="2" t="s">
        <v>35</v>
      </c>
      <c r="G1347" s="2" t="s">
        <v>36</v>
      </c>
      <c r="H1347" s="2">
        <v>1</v>
      </c>
      <c r="I1347" s="2" t="s">
        <v>17</v>
      </c>
      <c r="J1347" s="2" t="str">
        <f>VLOOKUP(E1347,[1]LL_Hub!$A$1:$B$13,2,FALSE)</f>
        <v>New York</v>
      </c>
      <c r="K1347" t="str">
        <f>VLOOKUP(D1347,'[2]product Table data'!$A$2:$B$12,2,FALSE)</f>
        <v>Female</v>
      </c>
      <c r="L1347" t="str">
        <f>VLOOKUP($D1347,'[2]product Table data'!$A$2:$G$12,L$1,FALSE)</f>
        <v>Casual n Light</v>
      </c>
      <c r="M1347" t="str">
        <f>VLOOKUP($D1347,'[2]product Table data'!$A$2:$G$12,M$1,FALSE)</f>
        <v>Honduras</v>
      </c>
      <c r="N1347" t="str">
        <f>VLOOKUP($D1347,'[2]product Table data'!$A$2:$G$12,N$1,FALSE)</f>
        <v>Central America</v>
      </c>
      <c r="O1347">
        <f>VLOOKUP($D1347,'[2]product Table data'!$A$2:$G$12,O$1,FALSE)</f>
        <v>30</v>
      </c>
      <c r="P1347">
        <f>VLOOKUP($D1347,'[2]product Table data'!$A$2:$G$12,P$1,FALSE)</f>
        <v>45</v>
      </c>
      <c r="Q1347">
        <f t="shared" ref="Q1347:Q1410" si="105">P1347-O1347</f>
        <v>15</v>
      </c>
      <c r="R1347" t="str">
        <f t="shared" ref="R1347:R1410" si="106">IF(OR(J1347="Los Angeles",J1347="Denver"),"Hub Risk","-")</f>
        <v>-</v>
      </c>
      <c r="S1347" t="str">
        <f t="shared" ref="S1347:S1410" si="107">IF(OR(L1347="Casual n Light",L1347="Fancy Sheek"),"Style Risk","-")</f>
        <v>Style Risk</v>
      </c>
      <c r="T1347" t="str">
        <f t="shared" ref="T1347:T1410" si="108">IF(AND(R1347="Hub Risk", S1347="Style Risk"), "Risk", "-")</f>
        <v>-</v>
      </c>
      <c r="U1347" t="str">
        <f t="shared" ref="U1347:U1410" si="109">IF(Q1347&lt;=5, "Low Value", "High Value")</f>
        <v>High Value</v>
      </c>
    </row>
    <row r="1348" spans="1:21" hidden="1" x14ac:dyDescent="0.2">
      <c r="A1348" s="2">
        <v>1346</v>
      </c>
      <c r="B1348" s="2" t="s">
        <v>9</v>
      </c>
      <c r="C1348" s="2" t="s">
        <v>1858</v>
      </c>
      <c r="D1348" s="2" t="s">
        <v>505</v>
      </c>
      <c r="E1348" s="2">
        <v>10001</v>
      </c>
      <c r="F1348" s="2" t="s">
        <v>35</v>
      </c>
      <c r="G1348" s="2" t="s">
        <v>36</v>
      </c>
      <c r="H1348" s="2">
        <v>1</v>
      </c>
      <c r="I1348" s="2" t="s">
        <v>17</v>
      </c>
      <c r="J1348" s="2" t="str">
        <f>VLOOKUP(E1348,[1]LL_Hub!$A$1:$B$13,2,FALSE)</f>
        <v>New York</v>
      </c>
      <c r="K1348" t="str">
        <f>VLOOKUP(D1348,'[2]product Table data'!$A$2:$B$12,2,FALSE)</f>
        <v>Female</v>
      </c>
      <c r="L1348" t="str">
        <f>VLOOKUP($D1348,'[2]product Table data'!$A$2:$G$12,L$1,FALSE)</f>
        <v>Casual n Light</v>
      </c>
      <c r="M1348" t="str">
        <f>VLOOKUP($D1348,'[2]product Table data'!$A$2:$G$12,M$1,FALSE)</f>
        <v>Honduras</v>
      </c>
      <c r="N1348" t="str">
        <f>VLOOKUP($D1348,'[2]product Table data'!$A$2:$G$12,N$1,FALSE)</f>
        <v>Central America</v>
      </c>
      <c r="O1348">
        <f>VLOOKUP($D1348,'[2]product Table data'!$A$2:$G$12,O$1,FALSE)</f>
        <v>30</v>
      </c>
      <c r="P1348">
        <f>VLOOKUP($D1348,'[2]product Table data'!$A$2:$G$12,P$1,FALSE)</f>
        <v>45</v>
      </c>
      <c r="Q1348">
        <f t="shared" si="105"/>
        <v>15</v>
      </c>
      <c r="R1348" t="str">
        <f t="shared" si="106"/>
        <v>-</v>
      </c>
      <c r="S1348" t="str">
        <f t="shared" si="107"/>
        <v>Style Risk</v>
      </c>
      <c r="T1348" t="str">
        <f t="shared" si="108"/>
        <v>-</v>
      </c>
      <c r="U1348" t="str">
        <f t="shared" si="109"/>
        <v>High Value</v>
      </c>
    </row>
    <row r="1349" spans="1:21" hidden="1" x14ac:dyDescent="0.2">
      <c r="A1349" s="2">
        <v>1347</v>
      </c>
      <c r="B1349" s="2" t="s">
        <v>9</v>
      </c>
      <c r="C1349" s="2" t="s">
        <v>1859</v>
      </c>
      <c r="D1349" s="2" t="s">
        <v>505</v>
      </c>
      <c r="E1349" s="2">
        <v>10001</v>
      </c>
      <c r="F1349" s="2" t="s">
        <v>35</v>
      </c>
      <c r="G1349" s="2" t="s">
        <v>36</v>
      </c>
      <c r="H1349" s="2">
        <v>1</v>
      </c>
      <c r="I1349" s="2" t="s">
        <v>17</v>
      </c>
      <c r="J1349" s="2" t="str">
        <f>VLOOKUP(E1349,[1]LL_Hub!$A$1:$B$13,2,FALSE)</f>
        <v>New York</v>
      </c>
      <c r="K1349" t="str">
        <f>VLOOKUP(D1349,'[2]product Table data'!$A$2:$B$12,2,FALSE)</f>
        <v>Female</v>
      </c>
      <c r="L1349" t="str">
        <f>VLOOKUP($D1349,'[2]product Table data'!$A$2:$G$12,L$1,FALSE)</f>
        <v>Casual n Light</v>
      </c>
      <c r="M1349" t="str">
        <f>VLOOKUP($D1349,'[2]product Table data'!$A$2:$G$12,M$1,FALSE)</f>
        <v>Honduras</v>
      </c>
      <c r="N1349" t="str">
        <f>VLOOKUP($D1349,'[2]product Table data'!$A$2:$G$12,N$1,FALSE)</f>
        <v>Central America</v>
      </c>
      <c r="O1349">
        <f>VLOOKUP($D1349,'[2]product Table data'!$A$2:$G$12,O$1,FALSE)</f>
        <v>30</v>
      </c>
      <c r="P1349">
        <f>VLOOKUP($D1349,'[2]product Table data'!$A$2:$G$12,P$1,FALSE)</f>
        <v>45</v>
      </c>
      <c r="Q1349">
        <f t="shared" si="105"/>
        <v>15</v>
      </c>
      <c r="R1349" t="str">
        <f t="shared" si="106"/>
        <v>-</v>
      </c>
      <c r="S1349" t="str">
        <f t="shared" si="107"/>
        <v>Style Risk</v>
      </c>
      <c r="T1349" t="str">
        <f t="shared" si="108"/>
        <v>-</v>
      </c>
      <c r="U1349" t="str">
        <f t="shared" si="109"/>
        <v>High Value</v>
      </c>
    </row>
    <row r="1350" spans="1:21" hidden="1" x14ac:dyDescent="0.2">
      <c r="A1350" s="2">
        <v>1348</v>
      </c>
      <c r="B1350" s="2" t="s">
        <v>9</v>
      </c>
      <c r="C1350" s="2" t="s">
        <v>1860</v>
      </c>
      <c r="D1350" s="2" t="s">
        <v>505</v>
      </c>
      <c r="E1350" s="2">
        <v>10001</v>
      </c>
      <c r="F1350" s="2" t="s">
        <v>35</v>
      </c>
      <c r="G1350" s="2" t="s">
        <v>36</v>
      </c>
      <c r="H1350" s="2">
        <v>1</v>
      </c>
      <c r="I1350" s="2" t="s">
        <v>17</v>
      </c>
      <c r="J1350" s="2" t="str">
        <f>VLOOKUP(E1350,[1]LL_Hub!$A$1:$B$13,2,FALSE)</f>
        <v>New York</v>
      </c>
      <c r="K1350" t="str">
        <f>VLOOKUP(D1350,'[2]product Table data'!$A$2:$B$12,2,FALSE)</f>
        <v>Female</v>
      </c>
      <c r="L1350" t="str">
        <f>VLOOKUP($D1350,'[2]product Table data'!$A$2:$G$12,L$1,FALSE)</f>
        <v>Casual n Light</v>
      </c>
      <c r="M1350" t="str">
        <f>VLOOKUP($D1350,'[2]product Table data'!$A$2:$G$12,M$1,FALSE)</f>
        <v>Honduras</v>
      </c>
      <c r="N1350" t="str">
        <f>VLOOKUP($D1350,'[2]product Table data'!$A$2:$G$12,N$1,FALSE)</f>
        <v>Central America</v>
      </c>
      <c r="O1350">
        <f>VLOOKUP($D1350,'[2]product Table data'!$A$2:$G$12,O$1,FALSE)</f>
        <v>30</v>
      </c>
      <c r="P1350">
        <f>VLOOKUP($D1350,'[2]product Table data'!$A$2:$G$12,P$1,FALSE)</f>
        <v>45</v>
      </c>
      <c r="Q1350">
        <f t="shared" si="105"/>
        <v>15</v>
      </c>
      <c r="R1350" t="str">
        <f t="shared" si="106"/>
        <v>-</v>
      </c>
      <c r="S1350" t="str">
        <f t="shared" si="107"/>
        <v>Style Risk</v>
      </c>
      <c r="T1350" t="str">
        <f t="shared" si="108"/>
        <v>-</v>
      </c>
      <c r="U1350" t="str">
        <f t="shared" si="109"/>
        <v>High Value</v>
      </c>
    </row>
    <row r="1351" spans="1:21" hidden="1" x14ac:dyDescent="0.2">
      <c r="A1351" s="2">
        <v>1349</v>
      </c>
      <c r="B1351" s="2" t="s">
        <v>9</v>
      </c>
      <c r="C1351" s="2" t="s">
        <v>1861</v>
      </c>
      <c r="D1351" s="2" t="s">
        <v>505</v>
      </c>
      <c r="E1351" s="2">
        <v>10001</v>
      </c>
      <c r="F1351" s="2" t="s">
        <v>35</v>
      </c>
      <c r="G1351" s="2" t="s">
        <v>36</v>
      </c>
      <c r="H1351" s="2">
        <v>1</v>
      </c>
      <c r="I1351" s="2" t="s">
        <v>17</v>
      </c>
      <c r="J1351" s="2" t="str">
        <f>VLOOKUP(E1351,[1]LL_Hub!$A$1:$B$13,2,FALSE)</f>
        <v>New York</v>
      </c>
      <c r="K1351" t="str">
        <f>VLOOKUP(D1351,'[2]product Table data'!$A$2:$B$12,2,FALSE)</f>
        <v>Female</v>
      </c>
      <c r="L1351" t="str">
        <f>VLOOKUP($D1351,'[2]product Table data'!$A$2:$G$12,L$1,FALSE)</f>
        <v>Casual n Light</v>
      </c>
      <c r="M1351" t="str">
        <f>VLOOKUP($D1351,'[2]product Table data'!$A$2:$G$12,M$1,FALSE)</f>
        <v>Honduras</v>
      </c>
      <c r="N1351" t="str">
        <f>VLOOKUP($D1351,'[2]product Table data'!$A$2:$G$12,N$1,FALSE)</f>
        <v>Central America</v>
      </c>
      <c r="O1351">
        <f>VLOOKUP($D1351,'[2]product Table data'!$A$2:$G$12,O$1,FALSE)</f>
        <v>30</v>
      </c>
      <c r="P1351">
        <f>VLOOKUP($D1351,'[2]product Table data'!$A$2:$G$12,P$1,FALSE)</f>
        <v>45</v>
      </c>
      <c r="Q1351">
        <f t="shared" si="105"/>
        <v>15</v>
      </c>
      <c r="R1351" t="str">
        <f t="shared" si="106"/>
        <v>-</v>
      </c>
      <c r="S1351" t="str">
        <f t="shared" si="107"/>
        <v>Style Risk</v>
      </c>
      <c r="T1351" t="str">
        <f t="shared" si="108"/>
        <v>-</v>
      </c>
      <c r="U1351" t="str">
        <f t="shared" si="109"/>
        <v>High Value</v>
      </c>
    </row>
    <row r="1352" spans="1:21" hidden="1" x14ac:dyDescent="0.2">
      <c r="A1352" s="2">
        <v>1350</v>
      </c>
      <c r="B1352" s="2" t="s">
        <v>9</v>
      </c>
      <c r="C1352" s="2" t="s">
        <v>1862</v>
      </c>
      <c r="D1352" s="2" t="s">
        <v>505</v>
      </c>
      <c r="E1352" s="2">
        <v>10001</v>
      </c>
      <c r="F1352" s="2" t="s">
        <v>35</v>
      </c>
      <c r="G1352" s="2" t="s">
        <v>36</v>
      </c>
      <c r="H1352" s="2">
        <v>1</v>
      </c>
      <c r="I1352" s="2" t="s">
        <v>17</v>
      </c>
      <c r="J1352" s="2" t="str">
        <f>VLOOKUP(E1352,[1]LL_Hub!$A$1:$B$13,2,FALSE)</f>
        <v>New York</v>
      </c>
      <c r="K1352" t="str">
        <f>VLOOKUP(D1352,'[2]product Table data'!$A$2:$B$12,2,FALSE)</f>
        <v>Female</v>
      </c>
      <c r="L1352" t="str">
        <f>VLOOKUP($D1352,'[2]product Table data'!$A$2:$G$12,L$1,FALSE)</f>
        <v>Casual n Light</v>
      </c>
      <c r="M1352" t="str">
        <f>VLOOKUP($D1352,'[2]product Table data'!$A$2:$G$12,M$1,FALSE)</f>
        <v>Honduras</v>
      </c>
      <c r="N1352" t="str">
        <f>VLOOKUP($D1352,'[2]product Table data'!$A$2:$G$12,N$1,FALSE)</f>
        <v>Central America</v>
      </c>
      <c r="O1352">
        <f>VLOOKUP($D1352,'[2]product Table data'!$A$2:$G$12,O$1,FALSE)</f>
        <v>30</v>
      </c>
      <c r="P1352">
        <f>VLOOKUP($D1352,'[2]product Table data'!$A$2:$G$12,P$1,FALSE)</f>
        <v>45</v>
      </c>
      <c r="Q1352">
        <f t="shared" si="105"/>
        <v>15</v>
      </c>
      <c r="R1352" t="str">
        <f t="shared" si="106"/>
        <v>-</v>
      </c>
      <c r="S1352" t="str">
        <f t="shared" si="107"/>
        <v>Style Risk</v>
      </c>
      <c r="T1352" t="str">
        <f t="shared" si="108"/>
        <v>-</v>
      </c>
      <c r="U1352" t="str">
        <f t="shared" si="109"/>
        <v>High Value</v>
      </c>
    </row>
    <row r="1353" spans="1:21" hidden="1" x14ac:dyDescent="0.2">
      <c r="A1353" s="2">
        <v>1351</v>
      </c>
      <c r="B1353" s="2" t="s">
        <v>9</v>
      </c>
      <c r="C1353" s="2" t="s">
        <v>1863</v>
      </c>
      <c r="D1353" s="2" t="s">
        <v>505</v>
      </c>
      <c r="E1353" s="2">
        <v>10001</v>
      </c>
      <c r="F1353" s="2" t="s">
        <v>1864</v>
      </c>
      <c r="G1353" s="2" t="s">
        <v>13</v>
      </c>
      <c r="H1353" s="2">
        <v>1</v>
      </c>
      <c r="I1353" s="2" t="s">
        <v>17</v>
      </c>
      <c r="J1353" s="2" t="str">
        <f>VLOOKUP(E1353,[1]LL_Hub!$A$1:$B$13,2,FALSE)</f>
        <v>New York</v>
      </c>
      <c r="K1353" t="str">
        <f>VLOOKUP(D1353,'[2]product Table data'!$A$2:$B$12,2,FALSE)</f>
        <v>Female</v>
      </c>
      <c r="L1353" t="str">
        <f>VLOOKUP($D1353,'[2]product Table data'!$A$2:$G$12,L$1,FALSE)</f>
        <v>Casual n Light</v>
      </c>
      <c r="M1353" t="str">
        <f>VLOOKUP($D1353,'[2]product Table data'!$A$2:$G$12,M$1,FALSE)</f>
        <v>Honduras</v>
      </c>
      <c r="N1353" t="str">
        <f>VLOOKUP($D1353,'[2]product Table data'!$A$2:$G$12,N$1,FALSE)</f>
        <v>Central America</v>
      </c>
      <c r="O1353">
        <f>VLOOKUP($D1353,'[2]product Table data'!$A$2:$G$12,O$1,FALSE)</f>
        <v>30</v>
      </c>
      <c r="P1353">
        <f>VLOOKUP($D1353,'[2]product Table data'!$A$2:$G$12,P$1,FALSE)</f>
        <v>45</v>
      </c>
      <c r="Q1353">
        <f t="shared" si="105"/>
        <v>15</v>
      </c>
      <c r="R1353" t="str">
        <f t="shared" si="106"/>
        <v>-</v>
      </c>
      <c r="S1353" t="str">
        <f t="shared" si="107"/>
        <v>Style Risk</v>
      </c>
      <c r="T1353" t="str">
        <f t="shared" si="108"/>
        <v>-</v>
      </c>
      <c r="U1353" t="str">
        <f t="shared" si="109"/>
        <v>High Value</v>
      </c>
    </row>
    <row r="1354" spans="1:21" hidden="1" x14ac:dyDescent="0.2">
      <c r="A1354" s="2">
        <v>1352</v>
      </c>
      <c r="B1354" s="2" t="s">
        <v>9</v>
      </c>
      <c r="C1354" s="2" t="s">
        <v>1865</v>
      </c>
      <c r="D1354" s="2" t="s">
        <v>505</v>
      </c>
      <c r="E1354" s="2">
        <v>10001</v>
      </c>
      <c r="F1354" s="2" t="s">
        <v>1866</v>
      </c>
      <c r="G1354" s="2" t="s">
        <v>13</v>
      </c>
      <c r="H1354" s="2">
        <v>1</v>
      </c>
      <c r="I1354" s="2" t="s">
        <v>17</v>
      </c>
      <c r="J1354" s="2" t="str">
        <f>VLOOKUP(E1354,[1]LL_Hub!$A$1:$B$13,2,FALSE)</f>
        <v>New York</v>
      </c>
      <c r="K1354" t="str">
        <f>VLOOKUP(D1354,'[2]product Table data'!$A$2:$B$12,2,FALSE)</f>
        <v>Female</v>
      </c>
      <c r="L1354" t="str">
        <f>VLOOKUP($D1354,'[2]product Table data'!$A$2:$G$12,L$1,FALSE)</f>
        <v>Casual n Light</v>
      </c>
      <c r="M1354" t="str">
        <f>VLOOKUP($D1354,'[2]product Table data'!$A$2:$G$12,M$1,FALSE)</f>
        <v>Honduras</v>
      </c>
      <c r="N1354" t="str">
        <f>VLOOKUP($D1354,'[2]product Table data'!$A$2:$G$12,N$1,FALSE)</f>
        <v>Central America</v>
      </c>
      <c r="O1354">
        <f>VLOOKUP($D1354,'[2]product Table data'!$A$2:$G$12,O$1,FALSE)</f>
        <v>30</v>
      </c>
      <c r="P1354">
        <f>VLOOKUP($D1354,'[2]product Table data'!$A$2:$G$12,P$1,FALSE)</f>
        <v>45</v>
      </c>
      <c r="Q1354">
        <f t="shared" si="105"/>
        <v>15</v>
      </c>
      <c r="R1354" t="str">
        <f t="shared" si="106"/>
        <v>-</v>
      </c>
      <c r="S1354" t="str">
        <f t="shared" si="107"/>
        <v>Style Risk</v>
      </c>
      <c r="T1354" t="str">
        <f t="shared" si="108"/>
        <v>-</v>
      </c>
      <c r="U1354" t="str">
        <f t="shared" si="109"/>
        <v>High Value</v>
      </c>
    </row>
    <row r="1355" spans="1:21" hidden="1" x14ac:dyDescent="0.2">
      <c r="A1355" s="2">
        <v>1353</v>
      </c>
      <c r="B1355" s="2" t="s">
        <v>9</v>
      </c>
      <c r="C1355" s="2" t="s">
        <v>1867</v>
      </c>
      <c r="D1355" s="2" t="s">
        <v>505</v>
      </c>
      <c r="E1355" s="2">
        <v>10001</v>
      </c>
      <c r="F1355" s="2" t="s">
        <v>1868</v>
      </c>
      <c r="G1355" s="2" t="s">
        <v>13</v>
      </c>
      <c r="H1355" s="2">
        <v>1</v>
      </c>
      <c r="I1355" s="2" t="s">
        <v>17</v>
      </c>
      <c r="J1355" s="2" t="str">
        <f>VLOOKUP(E1355,[1]LL_Hub!$A$1:$B$13,2,FALSE)</f>
        <v>New York</v>
      </c>
      <c r="K1355" t="str">
        <f>VLOOKUP(D1355,'[2]product Table data'!$A$2:$B$12,2,FALSE)</f>
        <v>Female</v>
      </c>
      <c r="L1355" t="str">
        <f>VLOOKUP($D1355,'[2]product Table data'!$A$2:$G$12,L$1,FALSE)</f>
        <v>Casual n Light</v>
      </c>
      <c r="M1355" t="str">
        <f>VLOOKUP($D1355,'[2]product Table data'!$A$2:$G$12,M$1,FALSE)</f>
        <v>Honduras</v>
      </c>
      <c r="N1355" t="str">
        <f>VLOOKUP($D1355,'[2]product Table data'!$A$2:$G$12,N$1,FALSE)</f>
        <v>Central America</v>
      </c>
      <c r="O1355">
        <f>VLOOKUP($D1355,'[2]product Table data'!$A$2:$G$12,O$1,FALSE)</f>
        <v>30</v>
      </c>
      <c r="P1355">
        <f>VLOOKUP($D1355,'[2]product Table data'!$A$2:$G$12,P$1,FALSE)</f>
        <v>45</v>
      </c>
      <c r="Q1355">
        <f t="shared" si="105"/>
        <v>15</v>
      </c>
      <c r="R1355" t="str">
        <f t="shared" si="106"/>
        <v>-</v>
      </c>
      <c r="S1355" t="str">
        <f t="shared" si="107"/>
        <v>Style Risk</v>
      </c>
      <c r="T1355" t="str">
        <f t="shared" si="108"/>
        <v>-</v>
      </c>
      <c r="U1355" t="str">
        <f t="shared" si="109"/>
        <v>High Value</v>
      </c>
    </row>
    <row r="1356" spans="1:21" hidden="1" x14ac:dyDescent="0.2">
      <c r="A1356" s="2">
        <v>1354</v>
      </c>
      <c r="B1356" s="2" t="s">
        <v>9</v>
      </c>
      <c r="C1356" s="2" t="s">
        <v>1869</v>
      </c>
      <c r="D1356" s="2" t="s">
        <v>505</v>
      </c>
      <c r="E1356" s="2">
        <v>10001</v>
      </c>
      <c r="F1356" s="2" t="s">
        <v>1870</v>
      </c>
      <c r="G1356" s="2" t="s">
        <v>13</v>
      </c>
      <c r="H1356" s="2">
        <v>1</v>
      </c>
      <c r="I1356" s="2" t="s">
        <v>17</v>
      </c>
      <c r="J1356" s="2" t="str">
        <f>VLOOKUP(E1356,[1]LL_Hub!$A$1:$B$13,2,FALSE)</f>
        <v>New York</v>
      </c>
      <c r="K1356" t="str">
        <f>VLOOKUP(D1356,'[2]product Table data'!$A$2:$B$12,2,FALSE)</f>
        <v>Female</v>
      </c>
      <c r="L1356" t="str">
        <f>VLOOKUP($D1356,'[2]product Table data'!$A$2:$G$12,L$1,FALSE)</f>
        <v>Casual n Light</v>
      </c>
      <c r="M1356" t="str">
        <f>VLOOKUP($D1356,'[2]product Table data'!$A$2:$G$12,M$1,FALSE)</f>
        <v>Honduras</v>
      </c>
      <c r="N1356" t="str">
        <f>VLOOKUP($D1356,'[2]product Table data'!$A$2:$G$12,N$1,FALSE)</f>
        <v>Central America</v>
      </c>
      <c r="O1356">
        <f>VLOOKUP($D1356,'[2]product Table data'!$A$2:$G$12,O$1,FALSE)</f>
        <v>30</v>
      </c>
      <c r="P1356">
        <f>VLOOKUP($D1356,'[2]product Table data'!$A$2:$G$12,P$1,FALSE)</f>
        <v>45</v>
      </c>
      <c r="Q1356">
        <f t="shared" si="105"/>
        <v>15</v>
      </c>
      <c r="R1356" t="str">
        <f t="shared" si="106"/>
        <v>-</v>
      </c>
      <c r="S1356" t="str">
        <f t="shared" si="107"/>
        <v>Style Risk</v>
      </c>
      <c r="T1356" t="str">
        <f t="shared" si="108"/>
        <v>-</v>
      </c>
      <c r="U1356" t="str">
        <f t="shared" si="109"/>
        <v>High Value</v>
      </c>
    </row>
    <row r="1357" spans="1:21" hidden="1" x14ac:dyDescent="0.2">
      <c r="A1357" s="2">
        <v>1355</v>
      </c>
      <c r="B1357" s="2" t="s">
        <v>9</v>
      </c>
      <c r="C1357" s="2" t="s">
        <v>1871</v>
      </c>
      <c r="D1357" s="2" t="s">
        <v>505</v>
      </c>
      <c r="E1357" s="2">
        <v>10001</v>
      </c>
      <c r="F1357" s="2" t="s">
        <v>1872</v>
      </c>
      <c r="G1357" s="2" t="s">
        <v>13</v>
      </c>
      <c r="H1357" s="2">
        <v>1</v>
      </c>
      <c r="I1357" s="2" t="s">
        <v>17</v>
      </c>
      <c r="J1357" s="2" t="str">
        <f>VLOOKUP(E1357,[1]LL_Hub!$A$1:$B$13,2,FALSE)</f>
        <v>New York</v>
      </c>
      <c r="K1357" t="str">
        <f>VLOOKUP(D1357,'[2]product Table data'!$A$2:$B$12,2,FALSE)</f>
        <v>Female</v>
      </c>
      <c r="L1357" t="str">
        <f>VLOOKUP($D1357,'[2]product Table data'!$A$2:$G$12,L$1,FALSE)</f>
        <v>Casual n Light</v>
      </c>
      <c r="M1357" t="str">
        <f>VLOOKUP($D1357,'[2]product Table data'!$A$2:$G$12,M$1,FALSE)</f>
        <v>Honduras</v>
      </c>
      <c r="N1357" t="str">
        <f>VLOOKUP($D1357,'[2]product Table data'!$A$2:$G$12,N$1,FALSE)</f>
        <v>Central America</v>
      </c>
      <c r="O1357">
        <f>VLOOKUP($D1357,'[2]product Table data'!$A$2:$G$12,O$1,FALSE)</f>
        <v>30</v>
      </c>
      <c r="P1357">
        <f>VLOOKUP($D1357,'[2]product Table data'!$A$2:$G$12,P$1,FALSE)</f>
        <v>45</v>
      </c>
      <c r="Q1357">
        <f t="shared" si="105"/>
        <v>15</v>
      </c>
      <c r="R1357" t="str">
        <f t="shared" si="106"/>
        <v>-</v>
      </c>
      <c r="S1357" t="str">
        <f t="shared" si="107"/>
        <v>Style Risk</v>
      </c>
      <c r="T1357" t="str">
        <f t="shared" si="108"/>
        <v>-</v>
      </c>
      <c r="U1357" t="str">
        <f t="shared" si="109"/>
        <v>High Value</v>
      </c>
    </row>
    <row r="1358" spans="1:21" hidden="1" x14ac:dyDescent="0.2">
      <c r="A1358" s="2">
        <v>1356</v>
      </c>
      <c r="B1358" s="2" t="s">
        <v>9</v>
      </c>
      <c r="C1358" s="2" t="s">
        <v>1873</v>
      </c>
      <c r="D1358" s="2" t="s">
        <v>505</v>
      </c>
      <c r="E1358" s="2">
        <v>10001</v>
      </c>
      <c r="F1358" s="2" t="s">
        <v>1874</v>
      </c>
      <c r="G1358" s="2" t="s">
        <v>13</v>
      </c>
      <c r="H1358" s="2">
        <v>1</v>
      </c>
      <c r="I1358" s="2" t="s">
        <v>17</v>
      </c>
      <c r="J1358" s="2" t="str">
        <f>VLOOKUP(E1358,[1]LL_Hub!$A$1:$B$13,2,FALSE)</f>
        <v>New York</v>
      </c>
      <c r="K1358" t="str">
        <f>VLOOKUP(D1358,'[2]product Table data'!$A$2:$B$12,2,FALSE)</f>
        <v>Female</v>
      </c>
      <c r="L1358" t="str">
        <f>VLOOKUP($D1358,'[2]product Table data'!$A$2:$G$12,L$1,FALSE)</f>
        <v>Casual n Light</v>
      </c>
      <c r="M1358" t="str">
        <f>VLOOKUP($D1358,'[2]product Table data'!$A$2:$G$12,M$1,FALSE)</f>
        <v>Honduras</v>
      </c>
      <c r="N1358" t="str">
        <f>VLOOKUP($D1358,'[2]product Table data'!$A$2:$G$12,N$1,FALSE)</f>
        <v>Central America</v>
      </c>
      <c r="O1358">
        <f>VLOOKUP($D1358,'[2]product Table data'!$A$2:$G$12,O$1,FALSE)</f>
        <v>30</v>
      </c>
      <c r="P1358">
        <f>VLOOKUP($D1358,'[2]product Table data'!$A$2:$G$12,P$1,FALSE)</f>
        <v>45</v>
      </c>
      <c r="Q1358">
        <f t="shared" si="105"/>
        <v>15</v>
      </c>
      <c r="R1358" t="str">
        <f t="shared" si="106"/>
        <v>-</v>
      </c>
      <c r="S1358" t="str">
        <f t="shared" si="107"/>
        <v>Style Risk</v>
      </c>
      <c r="T1358" t="str">
        <f t="shared" si="108"/>
        <v>-</v>
      </c>
      <c r="U1358" t="str">
        <f t="shared" si="109"/>
        <v>High Value</v>
      </c>
    </row>
    <row r="1359" spans="1:21" hidden="1" x14ac:dyDescent="0.2">
      <c r="A1359" s="2">
        <v>1357</v>
      </c>
      <c r="B1359" s="2" t="s">
        <v>9</v>
      </c>
      <c r="C1359" s="2" t="s">
        <v>1875</v>
      </c>
      <c r="D1359" s="2" t="s">
        <v>505</v>
      </c>
      <c r="E1359" s="2">
        <v>10001</v>
      </c>
      <c r="F1359" s="2" t="s">
        <v>1876</v>
      </c>
      <c r="G1359" s="2" t="s">
        <v>13</v>
      </c>
      <c r="H1359" s="2">
        <v>1</v>
      </c>
      <c r="I1359" s="2" t="s">
        <v>17</v>
      </c>
      <c r="J1359" s="2" t="str">
        <f>VLOOKUP(E1359,[1]LL_Hub!$A$1:$B$13,2,FALSE)</f>
        <v>New York</v>
      </c>
      <c r="K1359" t="str">
        <f>VLOOKUP(D1359,'[2]product Table data'!$A$2:$B$12,2,FALSE)</f>
        <v>Female</v>
      </c>
      <c r="L1359" t="str">
        <f>VLOOKUP($D1359,'[2]product Table data'!$A$2:$G$12,L$1,FALSE)</f>
        <v>Casual n Light</v>
      </c>
      <c r="M1359" t="str">
        <f>VLOOKUP($D1359,'[2]product Table data'!$A$2:$G$12,M$1,FALSE)</f>
        <v>Honduras</v>
      </c>
      <c r="N1359" t="str">
        <f>VLOOKUP($D1359,'[2]product Table data'!$A$2:$G$12,N$1,FALSE)</f>
        <v>Central America</v>
      </c>
      <c r="O1359">
        <f>VLOOKUP($D1359,'[2]product Table data'!$A$2:$G$12,O$1,FALSE)</f>
        <v>30</v>
      </c>
      <c r="P1359">
        <f>VLOOKUP($D1359,'[2]product Table data'!$A$2:$G$12,P$1,FALSE)</f>
        <v>45</v>
      </c>
      <c r="Q1359">
        <f t="shared" si="105"/>
        <v>15</v>
      </c>
      <c r="R1359" t="str">
        <f t="shared" si="106"/>
        <v>-</v>
      </c>
      <c r="S1359" t="str">
        <f t="shared" si="107"/>
        <v>Style Risk</v>
      </c>
      <c r="T1359" t="str">
        <f t="shared" si="108"/>
        <v>-</v>
      </c>
      <c r="U1359" t="str">
        <f t="shared" si="109"/>
        <v>High Value</v>
      </c>
    </row>
    <row r="1360" spans="1:21" hidden="1" x14ac:dyDescent="0.2">
      <c r="A1360" s="2">
        <v>1358</v>
      </c>
      <c r="B1360" s="2" t="s">
        <v>9</v>
      </c>
      <c r="C1360" s="2" t="s">
        <v>1877</v>
      </c>
      <c r="D1360" s="2" t="s">
        <v>505</v>
      </c>
      <c r="E1360" s="2">
        <v>10001</v>
      </c>
      <c r="F1360" s="2" t="s">
        <v>1878</v>
      </c>
      <c r="G1360" s="2" t="s">
        <v>13</v>
      </c>
      <c r="H1360" s="2">
        <v>1</v>
      </c>
      <c r="I1360" s="2" t="s">
        <v>17</v>
      </c>
      <c r="J1360" s="2" t="str">
        <f>VLOOKUP(E1360,[1]LL_Hub!$A$1:$B$13,2,FALSE)</f>
        <v>New York</v>
      </c>
      <c r="K1360" t="str">
        <f>VLOOKUP(D1360,'[2]product Table data'!$A$2:$B$12,2,FALSE)</f>
        <v>Female</v>
      </c>
      <c r="L1360" t="str">
        <f>VLOOKUP($D1360,'[2]product Table data'!$A$2:$G$12,L$1,FALSE)</f>
        <v>Casual n Light</v>
      </c>
      <c r="M1360" t="str">
        <f>VLOOKUP($D1360,'[2]product Table data'!$A$2:$G$12,M$1,FALSE)</f>
        <v>Honduras</v>
      </c>
      <c r="N1360" t="str">
        <f>VLOOKUP($D1360,'[2]product Table data'!$A$2:$G$12,N$1,FALSE)</f>
        <v>Central America</v>
      </c>
      <c r="O1360">
        <f>VLOOKUP($D1360,'[2]product Table data'!$A$2:$G$12,O$1,FALSE)</f>
        <v>30</v>
      </c>
      <c r="P1360">
        <f>VLOOKUP($D1360,'[2]product Table data'!$A$2:$G$12,P$1,FALSE)</f>
        <v>45</v>
      </c>
      <c r="Q1360">
        <f t="shared" si="105"/>
        <v>15</v>
      </c>
      <c r="R1360" t="str">
        <f t="shared" si="106"/>
        <v>-</v>
      </c>
      <c r="S1360" t="str">
        <f t="shared" si="107"/>
        <v>Style Risk</v>
      </c>
      <c r="T1360" t="str">
        <f t="shared" si="108"/>
        <v>-</v>
      </c>
      <c r="U1360" t="str">
        <f t="shared" si="109"/>
        <v>High Value</v>
      </c>
    </row>
    <row r="1361" spans="1:21" hidden="1" x14ac:dyDescent="0.2">
      <c r="A1361" s="2">
        <v>1359</v>
      </c>
      <c r="B1361" s="2" t="s">
        <v>9</v>
      </c>
      <c r="C1361" s="2" t="s">
        <v>1879</v>
      </c>
      <c r="D1361" s="2" t="s">
        <v>505</v>
      </c>
      <c r="E1361" s="2">
        <v>10001</v>
      </c>
      <c r="F1361" s="2" t="s">
        <v>1880</v>
      </c>
      <c r="G1361" s="2" t="s">
        <v>13</v>
      </c>
      <c r="H1361" s="2">
        <v>1</v>
      </c>
      <c r="I1361" s="2" t="s">
        <v>17</v>
      </c>
      <c r="J1361" s="2" t="str">
        <f>VLOOKUP(E1361,[1]LL_Hub!$A$1:$B$13,2,FALSE)</f>
        <v>New York</v>
      </c>
      <c r="K1361" t="str">
        <f>VLOOKUP(D1361,'[2]product Table data'!$A$2:$B$12,2,FALSE)</f>
        <v>Female</v>
      </c>
      <c r="L1361" t="str">
        <f>VLOOKUP($D1361,'[2]product Table data'!$A$2:$G$12,L$1,FALSE)</f>
        <v>Casual n Light</v>
      </c>
      <c r="M1361" t="str">
        <f>VLOOKUP($D1361,'[2]product Table data'!$A$2:$G$12,M$1,FALSE)</f>
        <v>Honduras</v>
      </c>
      <c r="N1361" t="str">
        <f>VLOOKUP($D1361,'[2]product Table data'!$A$2:$G$12,N$1,FALSE)</f>
        <v>Central America</v>
      </c>
      <c r="O1361">
        <f>VLOOKUP($D1361,'[2]product Table data'!$A$2:$G$12,O$1,FALSE)</f>
        <v>30</v>
      </c>
      <c r="P1361">
        <f>VLOOKUP($D1361,'[2]product Table data'!$A$2:$G$12,P$1,FALSE)</f>
        <v>45</v>
      </c>
      <c r="Q1361">
        <f t="shared" si="105"/>
        <v>15</v>
      </c>
      <c r="R1361" t="str">
        <f t="shared" si="106"/>
        <v>-</v>
      </c>
      <c r="S1361" t="str">
        <f t="shared" si="107"/>
        <v>Style Risk</v>
      </c>
      <c r="T1361" t="str">
        <f t="shared" si="108"/>
        <v>-</v>
      </c>
      <c r="U1361" t="str">
        <f t="shared" si="109"/>
        <v>High Value</v>
      </c>
    </row>
    <row r="1362" spans="1:21" hidden="1" x14ac:dyDescent="0.2">
      <c r="A1362" s="2">
        <v>1360</v>
      </c>
      <c r="B1362" s="2" t="s">
        <v>9</v>
      </c>
      <c r="C1362" s="2" t="s">
        <v>1881</v>
      </c>
      <c r="D1362" s="2" t="s">
        <v>505</v>
      </c>
      <c r="E1362" s="2">
        <v>10001</v>
      </c>
      <c r="F1362" s="2" t="s">
        <v>1882</v>
      </c>
      <c r="G1362" s="2" t="s">
        <v>13</v>
      </c>
      <c r="H1362" s="2">
        <v>1</v>
      </c>
      <c r="I1362" s="2" t="s">
        <v>17</v>
      </c>
      <c r="J1362" s="2" t="str">
        <f>VLOOKUP(E1362,[1]LL_Hub!$A$1:$B$13,2,FALSE)</f>
        <v>New York</v>
      </c>
      <c r="K1362" t="str">
        <f>VLOOKUP(D1362,'[2]product Table data'!$A$2:$B$12,2,FALSE)</f>
        <v>Female</v>
      </c>
      <c r="L1362" t="str">
        <f>VLOOKUP($D1362,'[2]product Table data'!$A$2:$G$12,L$1,FALSE)</f>
        <v>Casual n Light</v>
      </c>
      <c r="M1362" t="str">
        <f>VLOOKUP($D1362,'[2]product Table data'!$A$2:$G$12,M$1,FALSE)</f>
        <v>Honduras</v>
      </c>
      <c r="N1362" t="str">
        <f>VLOOKUP($D1362,'[2]product Table data'!$A$2:$G$12,N$1,FALSE)</f>
        <v>Central America</v>
      </c>
      <c r="O1362">
        <f>VLOOKUP($D1362,'[2]product Table data'!$A$2:$G$12,O$1,FALSE)</f>
        <v>30</v>
      </c>
      <c r="P1362">
        <f>VLOOKUP($D1362,'[2]product Table data'!$A$2:$G$12,P$1,FALSE)</f>
        <v>45</v>
      </c>
      <c r="Q1362">
        <f t="shared" si="105"/>
        <v>15</v>
      </c>
      <c r="R1362" t="str">
        <f t="shared" si="106"/>
        <v>-</v>
      </c>
      <c r="S1362" t="str">
        <f t="shared" si="107"/>
        <v>Style Risk</v>
      </c>
      <c r="T1362" t="str">
        <f t="shared" si="108"/>
        <v>-</v>
      </c>
      <c r="U1362" t="str">
        <f t="shared" si="109"/>
        <v>High Value</v>
      </c>
    </row>
    <row r="1363" spans="1:21" hidden="1" x14ac:dyDescent="0.2">
      <c r="A1363" s="2">
        <v>1361</v>
      </c>
      <c r="B1363" s="2" t="s">
        <v>9</v>
      </c>
      <c r="C1363" s="2" t="s">
        <v>1883</v>
      </c>
      <c r="D1363" s="2" t="s">
        <v>505</v>
      </c>
      <c r="E1363" s="2">
        <v>10001</v>
      </c>
      <c r="F1363" s="2" t="s">
        <v>1884</v>
      </c>
      <c r="G1363" s="2" t="s">
        <v>13</v>
      </c>
      <c r="H1363" s="2">
        <v>1</v>
      </c>
      <c r="I1363" s="2" t="s">
        <v>17</v>
      </c>
      <c r="J1363" s="2" t="str">
        <f>VLOOKUP(E1363,[1]LL_Hub!$A$1:$B$13,2,FALSE)</f>
        <v>New York</v>
      </c>
      <c r="K1363" t="str">
        <f>VLOOKUP(D1363,'[2]product Table data'!$A$2:$B$12,2,FALSE)</f>
        <v>Female</v>
      </c>
      <c r="L1363" t="str">
        <f>VLOOKUP($D1363,'[2]product Table data'!$A$2:$G$12,L$1,FALSE)</f>
        <v>Casual n Light</v>
      </c>
      <c r="M1363" t="str">
        <f>VLOOKUP($D1363,'[2]product Table data'!$A$2:$G$12,M$1,FALSE)</f>
        <v>Honduras</v>
      </c>
      <c r="N1363" t="str">
        <f>VLOOKUP($D1363,'[2]product Table data'!$A$2:$G$12,N$1,FALSE)</f>
        <v>Central America</v>
      </c>
      <c r="O1363">
        <f>VLOOKUP($D1363,'[2]product Table data'!$A$2:$G$12,O$1,FALSE)</f>
        <v>30</v>
      </c>
      <c r="P1363">
        <f>VLOOKUP($D1363,'[2]product Table data'!$A$2:$G$12,P$1,FALSE)</f>
        <v>45</v>
      </c>
      <c r="Q1363">
        <f t="shared" si="105"/>
        <v>15</v>
      </c>
      <c r="R1363" t="str">
        <f t="shared" si="106"/>
        <v>-</v>
      </c>
      <c r="S1363" t="str">
        <f t="shared" si="107"/>
        <v>Style Risk</v>
      </c>
      <c r="T1363" t="str">
        <f t="shared" si="108"/>
        <v>-</v>
      </c>
      <c r="U1363" t="str">
        <f t="shared" si="109"/>
        <v>High Value</v>
      </c>
    </row>
    <row r="1364" spans="1:21" hidden="1" x14ac:dyDescent="0.2">
      <c r="A1364" s="2">
        <v>1362</v>
      </c>
      <c r="B1364" s="2" t="s">
        <v>9</v>
      </c>
      <c r="C1364" s="2" t="s">
        <v>1885</v>
      </c>
      <c r="D1364" s="2" t="s">
        <v>505</v>
      </c>
      <c r="E1364" s="2">
        <v>10001</v>
      </c>
      <c r="F1364" s="2" t="s">
        <v>1886</v>
      </c>
      <c r="G1364" s="2" t="s">
        <v>13</v>
      </c>
      <c r="H1364" s="2">
        <v>1</v>
      </c>
      <c r="I1364" s="2" t="s">
        <v>17</v>
      </c>
      <c r="J1364" s="2" t="str">
        <f>VLOOKUP(E1364,[1]LL_Hub!$A$1:$B$13,2,FALSE)</f>
        <v>New York</v>
      </c>
      <c r="K1364" t="str">
        <f>VLOOKUP(D1364,'[2]product Table data'!$A$2:$B$12,2,FALSE)</f>
        <v>Female</v>
      </c>
      <c r="L1364" t="str">
        <f>VLOOKUP($D1364,'[2]product Table data'!$A$2:$G$12,L$1,FALSE)</f>
        <v>Casual n Light</v>
      </c>
      <c r="M1364" t="str">
        <f>VLOOKUP($D1364,'[2]product Table data'!$A$2:$G$12,M$1,FALSE)</f>
        <v>Honduras</v>
      </c>
      <c r="N1364" t="str">
        <f>VLOOKUP($D1364,'[2]product Table data'!$A$2:$G$12,N$1,FALSE)</f>
        <v>Central America</v>
      </c>
      <c r="O1364">
        <f>VLOOKUP($D1364,'[2]product Table data'!$A$2:$G$12,O$1,FALSE)</f>
        <v>30</v>
      </c>
      <c r="P1364">
        <f>VLOOKUP($D1364,'[2]product Table data'!$A$2:$G$12,P$1,FALSE)</f>
        <v>45</v>
      </c>
      <c r="Q1364">
        <f t="shared" si="105"/>
        <v>15</v>
      </c>
      <c r="R1364" t="str">
        <f t="shared" si="106"/>
        <v>-</v>
      </c>
      <c r="S1364" t="str">
        <f t="shared" si="107"/>
        <v>Style Risk</v>
      </c>
      <c r="T1364" t="str">
        <f t="shared" si="108"/>
        <v>-</v>
      </c>
      <c r="U1364" t="str">
        <f t="shared" si="109"/>
        <v>High Value</v>
      </c>
    </row>
    <row r="1365" spans="1:21" hidden="1" x14ac:dyDescent="0.2">
      <c r="A1365" s="2">
        <v>1363</v>
      </c>
      <c r="B1365" s="2" t="s">
        <v>9</v>
      </c>
      <c r="C1365" s="2" t="s">
        <v>1887</v>
      </c>
      <c r="D1365" s="2" t="s">
        <v>505</v>
      </c>
      <c r="E1365" s="2">
        <v>10001</v>
      </c>
      <c r="F1365" s="2" t="s">
        <v>1888</v>
      </c>
      <c r="G1365" s="2" t="s">
        <v>13</v>
      </c>
      <c r="H1365" s="2">
        <v>1</v>
      </c>
      <c r="I1365" s="2" t="s">
        <v>17</v>
      </c>
      <c r="J1365" s="2" t="str">
        <f>VLOOKUP(E1365,[1]LL_Hub!$A$1:$B$13,2,FALSE)</f>
        <v>New York</v>
      </c>
      <c r="K1365" t="str">
        <f>VLOOKUP(D1365,'[2]product Table data'!$A$2:$B$12,2,FALSE)</f>
        <v>Female</v>
      </c>
      <c r="L1365" t="str">
        <f>VLOOKUP($D1365,'[2]product Table data'!$A$2:$G$12,L$1,FALSE)</f>
        <v>Casual n Light</v>
      </c>
      <c r="M1365" t="str">
        <f>VLOOKUP($D1365,'[2]product Table data'!$A$2:$G$12,M$1,FALSE)</f>
        <v>Honduras</v>
      </c>
      <c r="N1365" t="str">
        <f>VLOOKUP($D1365,'[2]product Table data'!$A$2:$G$12,N$1,FALSE)</f>
        <v>Central America</v>
      </c>
      <c r="O1365">
        <f>VLOOKUP($D1365,'[2]product Table data'!$A$2:$G$12,O$1,FALSE)</f>
        <v>30</v>
      </c>
      <c r="P1365">
        <f>VLOOKUP($D1365,'[2]product Table data'!$A$2:$G$12,P$1,FALSE)</f>
        <v>45</v>
      </c>
      <c r="Q1365">
        <f t="shared" si="105"/>
        <v>15</v>
      </c>
      <c r="R1365" t="str">
        <f t="shared" si="106"/>
        <v>-</v>
      </c>
      <c r="S1365" t="str">
        <f t="shared" si="107"/>
        <v>Style Risk</v>
      </c>
      <c r="T1365" t="str">
        <f t="shared" si="108"/>
        <v>-</v>
      </c>
      <c r="U1365" t="str">
        <f t="shared" si="109"/>
        <v>High Value</v>
      </c>
    </row>
    <row r="1366" spans="1:21" hidden="1" x14ac:dyDescent="0.2">
      <c r="A1366" s="2">
        <v>1364</v>
      </c>
      <c r="B1366" s="2" t="s">
        <v>9</v>
      </c>
      <c r="C1366" s="2" t="s">
        <v>1889</v>
      </c>
      <c r="D1366" s="2" t="s">
        <v>505</v>
      </c>
      <c r="E1366" s="2">
        <v>10001</v>
      </c>
      <c r="F1366" s="2" t="s">
        <v>1890</v>
      </c>
      <c r="G1366" s="2" t="s">
        <v>13</v>
      </c>
      <c r="H1366" s="2">
        <v>1</v>
      </c>
      <c r="I1366" s="2" t="s">
        <v>17</v>
      </c>
      <c r="J1366" s="2" t="str">
        <f>VLOOKUP(E1366,[1]LL_Hub!$A$1:$B$13,2,FALSE)</f>
        <v>New York</v>
      </c>
      <c r="K1366" t="str">
        <f>VLOOKUP(D1366,'[2]product Table data'!$A$2:$B$12,2,FALSE)</f>
        <v>Female</v>
      </c>
      <c r="L1366" t="str">
        <f>VLOOKUP($D1366,'[2]product Table data'!$A$2:$G$12,L$1,FALSE)</f>
        <v>Casual n Light</v>
      </c>
      <c r="M1366" t="str">
        <f>VLOOKUP($D1366,'[2]product Table data'!$A$2:$G$12,M$1,FALSE)</f>
        <v>Honduras</v>
      </c>
      <c r="N1366" t="str">
        <f>VLOOKUP($D1366,'[2]product Table data'!$A$2:$G$12,N$1,FALSE)</f>
        <v>Central America</v>
      </c>
      <c r="O1366">
        <f>VLOOKUP($D1366,'[2]product Table data'!$A$2:$G$12,O$1,FALSE)</f>
        <v>30</v>
      </c>
      <c r="P1366">
        <f>VLOOKUP($D1366,'[2]product Table data'!$A$2:$G$12,P$1,FALSE)</f>
        <v>45</v>
      </c>
      <c r="Q1366">
        <f t="shared" si="105"/>
        <v>15</v>
      </c>
      <c r="R1366" t="str">
        <f t="shared" si="106"/>
        <v>-</v>
      </c>
      <c r="S1366" t="str">
        <f t="shared" si="107"/>
        <v>Style Risk</v>
      </c>
      <c r="T1366" t="str">
        <f t="shared" si="108"/>
        <v>-</v>
      </c>
      <c r="U1366" t="str">
        <f t="shared" si="109"/>
        <v>High Value</v>
      </c>
    </row>
    <row r="1367" spans="1:21" hidden="1" x14ac:dyDescent="0.2">
      <c r="A1367" s="2">
        <v>1365</v>
      </c>
      <c r="B1367" s="2" t="s">
        <v>9</v>
      </c>
      <c r="C1367" s="2" t="s">
        <v>1891</v>
      </c>
      <c r="D1367" s="2" t="s">
        <v>505</v>
      </c>
      <c r="E1367" s="2">
        <v>10001</v>
      </c>
      <c r="F1367" s="2" t="s">
        <v>1892</v>
      </c>
      <c r="G1367" s="2" t="s">
        <v>13</v>
      </c>
      <c r="H1367" s="2">
        <v>1</v>
      </c>
      <c r="I1367" s="2" t="s">
        <v>17</v>
      </c>
      <c r="J1367" s="2" t="str">
        <f>VLOOKUP(E1367,[1]LL_Hub!$A$1:$B$13,2,FALSE)</f>
        <v>New York</v>
      </c>
      <c r="K1367" t="str">
        <f>VLOOKUP(D1367,'[2]product Table data'!$A$2:$B$12,2,FALSE)</f>
        <v>Female</v>
      </c>
      <c r="L1367" t="str">
        <f>VLOOKUP($D1367,'[2]product Table data'!$A$2:$G$12,L$1,FALSE)</f>
        <v>Casual n Light</v>
      </c>
      <c r="M1367" t="str">
        <f>VLOOKUP($D1367,'[2]product Table data'!$A$2:$G$12,M$1,FALSE)</f>
        <v>Honduras</v>
      </c>
      <c r="N1367" t="str">
        <f>VLOOKUP($D1367,'[2]product Table data'!$A$2:$G$12,N$1,FALSE)</f>
        <v>Central America</v>
      </c>
      <c r="O1367">
        <f>VLOOKUP($D1367,'[2]product Table data'!$A$2:$G$12,O$1,FALSE)</f>
        <v>30</v>
      </c>
      <c r="P1367">
        <f>VLOOKUP($D1367,'[2]product Table data'!$A$2:$G$12,P$1,FALSE)</f>
        <v>45</v>
      </c>
      <c r="Q1367">
        <f t="shared" si="105"/>
        <v>15</v>
      </c>
      <c r="R1367" t="str">
        <f t="shared" si="106"/>
        <v>-</v>
      </c>
      <c r="S1367" t="str">
        <f t="shared" si="107"/>
        <v>Style Risk</v>
      </c>
      <c r="T1367" t="str">
        <f t="shared" si="108"/>
        <v>-</v>
      </c>
      <c r="U1367" t="str">
        <f t="shared" si="109"/>
        <v>High Value</v>
      </c>
    </row>
    <row r="1368" spans="1:21" hidden="1" x14ac:dyDescent="0.2">
      <c r="A1368" s="2">
        <v>1366</v>
      </c>
      <c r="B1368" s="2" t="s">
        <v>9</v>
      </c>
      <c r="C1368" s="2" t="s">
        <v>1893</v>
      </c>
      <c r="D1368" s="2" t="s">
        <v>505</v>
      </c>
      <c r="E1368" s="2">
        <v>10001</v>
      </c>
      <c r="F1368" s="2" t="s">
        <v>1894</v>
      </c>
      <c r="G1368" s="2" t="s">
        <v>13</v>
      </c>
      <c r="H1368" s="2">
        <v>1</v>
      </c>
      <c r="I1368" s="2" t="s">
        <v>17</v>
      </c>
      <c r="J1368" s="2" t="str">
        <f>VLOOKUP(E1368,[1]LL_Hub!$A$1:$B$13,2,FALSE)</f>
        <v>New York</v>
      </c>
      <c r="K1368" t="str">
        <f>VLOOKUP(D1368,'[2]product Table data'!$A$2:$B$12,2,FALSE)</f>
        <v>Female</v>
      </c>
      <c r="L1368" t="str">
        <f>VLOOKUP($D1368,'[2]product Table data'!$A$2:$G$12,L$1,FALSE)</f>
        <v>Casual n Light</v>
      </c>
      <c r="M1368" t="str">
        <f>VLOOKUP($D1368,'[2]product Table data'!$A$2:$G$12,M$1,FALSE)</f>
        <v>Honduras</v>
      </c>
      <c r="N1368" t="str">
        <f>VLOOKUP($D1368,'[2]product Table data'!$A$2:$G$12,N$1,FALSE)</f>
        <v>Central America</v>
      </c>
      <c r="O1368">
        <f>VLOOKUP($D1368,'[2]product Table data'!$A$2:$G$12,O$1,FALSE)</f>
        <v>30</v>
      </c>
      <c r="P1368">
        <f>VLOOKUP($D1368,'[2]product Table data'!$A$2:$G$12,P$1,FALSE)</f>
        <v>45</v>
      </c>
      <c r="Q1368">
        <f t="shared" si="105"/>
        <v>15</v>
      </c>
      <c r="R1368" t="str">
        <f t="shared" si="106"/>
        <v>-</v>
      </c>
      <c r="S1368" t="str">
        <f t="shared" si="107"/>
        <v>Style Risk</v>
      </c>
      <c r="T1368" t="str">
        <f t="shared" si="108"/>
        <v>-</v>
      </c>
      <c r="U1368" t="str">
        <f t="shared" si="109"/>
        <v>High Value</v>
      </c>
    </row>
    <row r="1369" spans="1:21" hidden="1" x14ac:dyDescent="0.2">
      <c r="A1369" s="2">
        <v>1367</v>
      </c>
      <c r="B1369" s="2" t="s">
        <v>9</v>
      </c>
      <c r="C1369" s="2" t="s">
        <v>1895</v>
      </c>
      <c r="D1369" s="2" t="s">
        <v>505</v>
      </c>
      <c r="E1369" s="2">
        <v>10001</v>
      </c>
      <c r="F1369" s="2" t="s">
        <v>1896</v>
      </c>
      <c r="G1369" s="2" t="s">
        <v>13</v>
      </c>
      <c r="H1369" s="2">
        <v>1</v>
      </c>
      <c r="I1369" s="2" t="s">
        <v>17</v>
      </c>
      <c r="J1369" s="2" t="str">
        <f>VLOOKUP(E1369,[1]LL_Hub!$A$1:$B$13,2,FALSE)</f>
        <v>New York</v>
      </c>
      <c r="K1369" t="str">
        <f>VLOOKUP(D1369,'[2]product Table data'!$A$2:$B$12,2,FALSE)</f>
        <v>Female</v>
      </c>
      <c r="L1369" t="str">
        <f>VLOOKUP($D1369,'[2]product Table data'!$A$2:$G$12,L$1,FALSE)</f>
        <v>Casual n Light</v>
      </c>
      <c r="M1369" t="str">
        <f>VLOOKUP($D1369,'[2]product Table data'!$A$2:$G$12,M$1,FALSE)</f>
        <v>Honduras</v>
      </c>
      <c r="N1369" t="str">
        <f>VLOOKUP($D1369,'[2]product Table data'!$A$2:$G$12,N$1,FALSE)</f>
        <v>Central America</v>
      </c>
      <c r="O1369">
        <f>VLOOKUP($D1369,'[2]product Table data'!$A$2:$G$12,O$1,FALSE)</f>
        <v>30</v>
      </c>
      <c r="P1369">
        <f>VLOOKUP($D1369,'[2]product Table data'!$A$2:$G$12,P$1,FALSE)</f>
        <v>45</v>
      </c>
      <c r="Q1369">
        <f t="shared" si="105"/>
        <v>15</v>
      </c>
      <c r="R1369" t="str">
        <f t="shared" si="106"/>
        <v>-</v>
      </c>
      <c r="S1369" t="str">
        <f t="shared" si="107"/>
        <v>Style Risk</v>
      </c>
      <c r="T1369" t="str">
        <f t="shared" si="108"/>
        <v>-</v>
      </c>
      <c r="U1369" t="str">
        <f t="shared" si="109"/>
        <v>High Value</v>
      </c>
    </row>
    <row r="1370" spans="1:21" hidden="1" x14ac:dyDescent="0.2">
      <c r="A1370" s="2">
        <v>1368</v>
      </c>
      <c r="B1370" s="2" t="s">
        <v>9</v>
      </c>
      <c r="C1370" s="2" t="s">
        <v>1897</v>
      </c>
      <c r="D1370" s="2" t="s">
        <v>505</v>
      </c>
      <c r="E1370" s="2">
        <v>10001</v>
      </c>
      <c r="F1370" s="2" t="s">
        <v>1898</v>
      </c>
      <c r="G1370" s="2" t="s">
        <v>13</v>
      </c>
      <c r="H1370" s="2">
        <v>1</v>
      </c>
      <c r="I1370" s="2" t="s">
        <v>17</v>
      </c>
      <c r="J1370" s="2" t="str">
        <f>VLOOKUP(E1370,[1]LL_Hub!$A$1:$B$13,2,FALSE)</f>
        <v>New York</v>
      </c>
      <c r="K1370" t="str">
        <f>VLOOKUP(D1370,'[2]product Table data'!$A$2:$B$12,2,FALSE)</f>
        <v>Female</v>
      </c>
      <c r="L1370" t="str">
        <f>VLOOKUP($D1370,'[2]product Table data'!$A$2:$G$12,L$1,FALSE)</f>
        <v>Casual n Light</v>
      </c>
      <c r="M1370" t="str">
        <f>VLOOKUP($D1370,'[2]product Table data'!$A$2:$G$12,M$1,FALSE)</f>
        <v>Honduras</v>
      </c>
      <c r="N1370" t="str">
        <f>VLOOKUP($D1370,'[2]product Table data'!$A$2:$G$12,N$1,FALSE)</f>
        <v>Central America</v>
      </c>
      <c r="O1370">
        <f>VLOOKUP($D1370,'[2]product Table data'!$A$2:$G$12,O$1,FALSE)</f>
        <v>30</v>
      </c>
      <c r="P1370">
        <f>VLOOKUP($D1370,'[2]product Table data'!$A$2:$G$12,P$1,FALSE)</f>
        <v>45</v>
      </c>
      <c r="Q1370">
        <f t="shared" si="105"/>
        <v>15</v>
      </c>
      <c r="R1370" t="str">
        <f t="shared" si="106"/>
        <v>-</v>
      </c>
      <c r="S1370" t="str">
        <f t="shared" si="107"/>
        <v>Style Risk</v>
      </c>
      <c r="T1370" t="str">
        <f t="shared" si="108"/>
        <v>-</v>
      </c>
      <c r="U1370" t="str">
        <f t="shared" si="109"/>
        <v>High Value</v>
      </c>
    </row>
    <row r="1371" spans="1:21" hidden="1" x14ac:dyDescent="0.2">
      <c r="A1371" s="2">
        <v>1369</v>
      </c>
      <c r="B1371" s="2" t="s">
        <v>9</v>
      </c>
      <c r="C1371" s="2" t="s">
        <v>1899</v>
      </c>
      <c r="D1371" s="2" t="s">
        <v>505</v>
      </c>
      <c r="E1371" s="2">
        <v>10001</v>
      </c>
      <c r="F1371" s="2" t="s">
        <v>1900</v>
      </c>
      <c r="G1371" s="2" t="s">
        <v>13</v>
      </c>
      <c r="H1371" s="2">
        <v>1</v>
      </c>
      <c r="I1371" s="2" t="s">
        <v>17</v>
      </c>
      <c r="J1371" s="2" t="str">
        <f>VLOOKUP(E1371,[1]LL_Hub!$A$1:$B$13,2,FALSE)</f>
        <v>New York</v>
      </c>
      <c r="K1371" t="str">
        <f>VLOOKUP(D1371,'[2]product Table data'!$A$2:$B$12,2,FALSE)</f>
        <v>Female</v>
      </c>
      <c r="L1371" t="str">
        <f>VLOOKUP($D1371,'[2]product Table data'!$A$2:$G$12,L$1,FALSE)</f>
        <v>Casual n Light</v>
      </c>
      <c r="M1371" t="str">
        <f>VLOOKUP($D1371,'[2]product Table data'!$A$2:$G$12,M$1,FALSE)</f>
        <v>Honduras</v>
      </c>
      <c r="N1371" t="str">
        <f>VLOOKUP($D1371,'[2]product Table data'!$A$2:$G$12,N$1,FALSE)</f>
        <v>Central America</v>
      </c>
      <c r="O1371">
        <f>VLOOKUP($D1371,'[2]product Table data'!$A$2:$G$12,O$1,FALSE)</f>
        <v>30</v>
      </c>
      <c r="P1371">
        <f>VLOOKUP($D1371,'[2]product Table data'!$A$2:$G$12,P$1,FALSE)</f>
        <v>45</v>
      </c>
      <c r="Q1371">
        <f t="shared" si="105"/>
        <v>15</v>
      </c>
      <c r="R1371" t="str">
        <f t="shared" si="106"/>
        <v>-</v>
      </c>
      <c r="S1371" t="str">
        <f t="shared" si="107"/>
        <v>Style Risk</v>
      </c>
      <c r="T1371" t="str">
        <f t="shared" si="108"/>
        <v>-</v>
      </c>
      <c r="U1371" t="str">
        <f t="shared" si="109"/>
        <v>High Value</v>
      </c>
    </row>
    <row r="1372" spans="1:21" hidden="1" x14ac:dyDescent="0.2">
      <c r="A1372" s="2">
        <v>1370</v>
      </c>
      <c r="B1372" s="2" t="s">
        <v>9</v>
      </c>
      <c r="C1372" s="2" t="s">
        <v>1901</v>
      </c>
      <c r="D1372" s="2" t="s">
        <v>505</v>
      </c>
      <c r="E1372" s="2">
        <v>10001</v>
      </c>
      <c r="F1372" s="2" t="s">
        <v>1902</v>
      </c>
      <c r="G1372" s="2" t="s">
        <v>13</v>
      </c>
      <c r="H1372" s="2">
        <v>1</v>
      </c>
      <c r="I1372" s="2" t="s">
        <v>17</v>
      </c>
      <c r="J1372" s="2" t="str">
        <f>VLOOKUP(E1372,[1]LL_Hub!$A$1:$B$13,2,FALSE)</f>
        <v>New York</v>
      </c>
      <c r="K1372" t="str">
        <f>VLOOKUP(D1372,'[2]product Table data'!$A$2:$B$12,2,FALSE)</f>
        <v>Female</v>
      </c>
      <c r="L1372" t="str">
        <f>VLOOKUP($D1372,'[2]product Table data'!$A$2:$G$12,L$1,FALSE)</f>
        <v>Casual n Light</v>
      </c>
      <c r="M1372" t="str">
        <f>VLOOKUP($D1372,'[2]product Table data'!$A$2:$G$12,M$1,FALSE)</f>
        <v>Honduras</v>
      </c>
      <c r="N1372" t="str">
        <f>VLOOKUP($D1372,'[2]product Table data'!$A$2:$G$12,N$1,FALSE)</f>
        <v>Central America</v>
      </c>
      <c r="O1372">
        <f>VLOOKUP($D1372,'[2]product Table data'!$A$2:$G$12,O$1,FALSE)</f>
        <v>30</v>
      </c>
      <c r="P1372">
        <f>VLOOKUP($D1372,'[2]product Table data'!$A$2:$G$12,P$1,FALSE)</f>
        <v>45</v>
      </c>
      <c r="Q1372">
        <f t="shared" si="105"/>
        <v>15</v>
      </c>
      <c r="R1372" t="str">
        <f t="shared" si="106"/>
        <v>-</v>
      </c>
      <c r="S1372" t="str">
        <f t="shared" si="107"/>
        <v>Style Risk</v>
      </c>
      <c r="T1372" t="str">
        <f t="shared" si="108"/>
        <v>-</v>
      </c>
      <c r="U1372" t="str">
        <f t="shared" si="109"/>
        <v>High Value</v>
      </c>
    </row>
    <row r="1373" spans="1:21" hidden="1" x14ac:dyDescent="0.2">
      <c r="A1373" s="2">
        <v>1371</v>
      </c>
      <c r="B1373" s="2" t="s">
        <v>9</v>
      </c>
      <c r="C1373" s="2" t="s">
        <v>1903</v>
      </c>
      <c r="D1373" s="2" t="s">
        <v>505</v>
      </c>
      <c r="E1373" s="2">
        <v>10001</v>
      </c>
      <c r="F1373" s="2" t="s">
        <v>35</v>
      </c>
      <c r="G1373" s="2" t="s">
        <v>36</v>
      </c>
      <c r="H1373" s="2">
        <v>1</v>
      </c>
      <c r="I1373" s="2" t="s">
        <v>17</v>
      </c>
      <c r="J1373" s="2" t="str">
        <f>VLOOKUP(E1373,[1]LL_Hub!$A$1:$B$13,2,FALSE)</f>
        <v>New York</v>
      </c>
      <c r="K1373" t="str">
        <f>VLOOKUP(D1373,'[2]product Table data'!$A$2:$B$12,2,FALSE)</f>
        <v>Female</v>
      </c>
      <c r="L1373" t="str">
        <f>VLOOKUP($D1373,'[2]product Table data'!$A$2:$G$12,L$1,FALSE)</f>
        <v>Casual n Light</v>
      </c>
      <c r="M1373" t="str">
        <f>VLOOKUP($D1373,'[2]product Table data'!$A$2:$G$12,M$1,FALSE)</f>
        <v>Honduras</v>
      </c>
      <c r="N1373" t="str">
        <f>VLOOKUP($D1373,'[2]product Table data'!$A$2:$G$12,N$1,FALSE)</f>
        <v>Central America</v>
      </c>
      <c r="O1373">
        <f>VLOOKUP($D1373,'[2]product Table data'!$A$2:$G$12,O$1,FALSE)</f>
        <v>30</v>
      </c>
      <c r="P1373">
        <f>VLOOKUP($D1373,'[2]product Table data'!$A$2:$G$12,P$1,FALSE)</f>
        <v>45</v>
      </c>
      <c r="Q1373">
        <f t="shared" si="105"/>
        <v>15</v>
      </c>
      <c r="R1373" t="str">
        <f t="shared" si="106"/>
        <v>-</v>
      </c>
      <c r="S1373" t="str">
        <f t="shared" si="107"/>
        <v>Style Risk</v>
      </c>
      <c r="T1373" t="str">
        <f t="shared" si="108"/>
        <v>-</v>
      </c>
      <c r="U1373" t="str">
        <f t="shared" si="109"/>
        <v>High Value</v>
      </c>
    </row>
    <row r="1374" spans="1:21" hidden="1" x14ac:dyDescent="0.2">
      <c r="A1374" s="2">
        <v>1372</v>
      </c>
      <c r="B1374" s="2" t="s">
        <v>9</v>
      </c>
      <c r="C1374" s="2" t="s">
        <v>1904</v>
      </c>
      <c r="D1374" s="2" t="s">
        <v>505</v>
      </c>
      <c r="E1374" s="2">
        <v>10001</v>
      </c>
      <c r="F1374" s="2" t="s">
        <v>35</v>
      </c>
      <c r="G1374" s="2" t="s">
        <v>36</v>
      </c>
      <c r="H1374" s="2">
        <v>1</v>
      </c>
      <c r="I1374" s="2" t="s">
        <v>17</v>
      </c>
      <c r="J1374" s="2" t="str">
        <f>VLOOKUP(E1374,[1]LL_Hub!$A$1:$B$13,2,FALSE)</f>
        <v>New York</v>
      </c>
      <c r="K1374" t="str">
        <f>VLOOKUP(D1374,'[2]product Table data'!$A$2:$B$12,2,FALSE)</f>
        <v>Female</v>
      </c>
      <c r="L1374" t="str">
        <f>VLOOKUP($D1374,'[2]product Table data'!$A$2:$G$12,L$1,FALSE)</f>
        <v>Casual n Light</v>
      </c>
      <c r="M1374" t="str">
        <f>VLOOKUP($D1374,'[2]product Table data'!$A$2:$G$12,M$1,FALSE)</f>
        <v>Honduras</v>
      </c>
      <c r="N1374" t="str">
        <f>VLOOKUP($D1374,'[2]product Table data'!$A$2:$G$12,N$1,FALSE)</f>
        <v>Central America</v>
      </c>
      <c r="O1374">
        <f>VLOOKUP($D1374,'[2]product Table data'!$A$2:$G$12,O$1,FALSE)</f>
        <v>30</v>
      </c>
      <c r="P1374">
        <f>VLOOKUP($D1374,'[2]product Table data'!$A$2:$G$12,P$1,FALSE)</f>
        <v>45</v>
      </c>
      <c r="Q1374">
        <f t="shared" si="105"/>
        <v>15</v>
      </c>
      <c r="R1374" t="str">
        <f t="shared" si="106"/>
        <v>-</v>
      </c>
      <c r="S1374" t="str">
        <f t="shared" si="107"/>
        <v>Style Risk</v>
      </c>
      <c r="T1374" t="str">
        <f t="shared" si="108"/>
        <v>-</v>
      </c>
      <c r="U1374" t="str">
        <f t="shared" si="109"/>
        <v>High Value</v>
      </c>
    </row>
    <row r="1375" spans="1:21" hidden="1" x14ac:dyDescent="0.2">
      <c r="A1375" s="2">
        <v>1373</v>
      </c>
      <c r="B1375" s="2" t="s">
        <v>9</v>
      </c>
      <c r="C1375" s="2" t="s">
        <v>1905</v>
      </c>
      <c r="D1375" s="2" t="s">
        <v>505</v>
      </c>
      <c r="E1375" s="2">
        <v>10001</v>
      </c>
      <c r="F1375" s="2" t="s">
        <v>35</v>
      </c>
      <c r="G1375" s="2" t="s">
        <v>36</v>
      </c>
      <c r="H1375" s="2">
        <v>1</v>
      </c>
      <c r="I1375" s="2" t="s">
        <v>17</v>
      </c>
      <c r="J1375" s="2" t="str">
        <f>VLOOKUP(E1375,[1]LL_Hub!$A$1:$B$13,2,FALSE)</f>
        <v>New York</v>
      </c>
      <c r="K1375" t="str">
        <f>VLOOKUP(D1375,'[2]product Table data'!$A$2:$B$12,2,FALSE)</f>
        <v>Female</v>
      </c>
      <c r="L1375" t="str">
        <f>VLOOKUP($D1375,'[2]product Table data'!$A$2:$G$12,L$1,FALSE)</f>
        <v>Casual n Light</v>
      </c>
      <c r="M1375" t="str">
        <f>VLOOKUP($D1375,'[2]product Table data'!$A$2:$G$12,M$1,FALSE)</f>
        <v>Honduras</v>
      </c>
      <c r="N1375" t="str">
        <f>VLOOKUP($D1375,'[2]product Table data'!$A$2:$G$12,N$1,FALSE)</f>
        <v>Central America</v>
      </c>
      <c r="O1375">
        <f>VLOOKUP($D1375,'[2]product Table data'!$A$2:$G$12,O$1,FALSE)</f>
        <v>30</v>
      </c>
      <c r="P1375">
        <f>VLOOKUP($D1375,'[2]product Table data'!$A$2:$G$12,P$1,FALSE)</f>
        <v>45</v>
      </c>
      <c r="Q1375">
        <f t="shared" si="105"/>
        <v>15</v>
      </c>
      <c r="R1375" t="str">
        <f t="shared" si="106"/>
        <v>-</v>
      </c>
      <c r="S1375" t="str">
        <f t="shared" si="107"/>
        <v>Style Risk</v>
      </c>
      <c r="T1375" t="str">
        <f t="shared" si="108"/>
        <v>-</v>
      </c>
      <c r="U1375" t="str">
        <f t="shared" si="109"/>
        <v>High Value</v>
      </c>
    </row>
    <row r="1376" spans="1:21" hidden="1" x14ac:dyDescent="0.2">
      <c r="A1376" s="2">
        <v>1374</v>
      </c>
      <c r="B1376" s="2" t="s">
        <v>9</v>
      </c>
      <c r="C1376" s="2" t="s">
        <v>1906</v>
      </c>
      <c r="D1376" s="2" t="s">
        <v>505</v>
      </c>
      <c r="E1376" s="2">
        <v>10001</v>
      </c>
      <c r="F1376" s="2" t="s">
        <v>35</v>
      </c>
      <c r="G1376" s="2" t="s">
        <v>36</v>
      </c>
      <c r="H1376" s="2">
        <v>1</v>
      </c>
      <c r="I1376" s="2" t="s">
        <v>17</v>
      </c>
      <c r="J1376" s="2" t="str">
        <f>VLOOKUP(E1376,[1]LL_Hub!$A$1:$B$13,2,FALSE)</f>
        <v>New York</v>
      </c>
      <c r="K1376" t="str">
        <f>VLOOKUP(D1376,'[2]product Table data'!$A$2:$B$12,2,FALSE)</f>
        <v>Female</v>
      </c>
      <c r="L1376" t="str">
        <f>VLOOKUP($D1376,'[2]product Table data'!$A$2:$G$12,L$1,FALSE)</f>
        <v>Casual n Light</v>
      </c>
      <c r="M1376" t="str">
        <f>VLOOKUP($D1376,'[2]product Table data'!$A$2:$G$12,M$1,FALSE)</f>
        <v>Honduras</v>
      </c>
      <c r="N1376" t="str">
        <f>VLOOKUP($D1376,'[2]product Table data'!$A$2:$G$12,N$1,FALSE)</f>
        <v>Central America</v>
      </c>
      <c r="O1376">
        <f>VLOOKUP($D1376,'[2]product Table data'!$A$2:$G$12,O$1,FALSE)</f>
        <v>30</v>
      </c>
      <c r="P1376">
        <f>VLOOKUP($D1376,'[2]product Table data'!$A$2:$G$12,P$1,FALSE)</f>
        <v>45</v>
      </c>
      <c r="Q1376">
        <f t="shared" si="105"/>
        <v>15</v>
      </c>
      <c r="R1376" t="str">
        <f t="shared" si="106"/>
        <v>-</v>
      </c>
      <c r="S1376" t="str">
        <f t="shared" si="107"/>
        <v>Style Risk</v>
      </c>
      <c r="T1376" t="str">
        <f t="shared" si="108"/>
        <v>-</v>
      </c>
      <c r="U1376" t="str">
        <f t="shared" si="109"/>
        <v>High Value</v>
      </c>
    </row>
    <row r="1377" spans="1:21" hidden="1" x14ac:dyDescent="0.2">
      <c r="A1377" s="2">
        <v>1375</v>
      </c>
      <c r="B1377" s="2" t="s">
        <v>9</v>
      </c>
      <c r="C1377" s="2" t="s">
        <v>1907</v>
      </c>
      <c r="D1377" s="2" t="s">
        <v>505</v>
      </c>
      <c r="E1377" s="2">
        <v>10001</v>
      </c>
      <c r="F1377" s="2" t="s">
        <v>35</v>
      </c>
      <c r="G1377" s="2" t="s">
        <v>36</v>
      </c>
      <c r="H1377" s="2">
        <v>1</v>
      </c>
      <c r="I1377" s="2" t="s">
        <v>17</v>
      </c>
      <c r="J1377" s="2" t="str">
        <f>VLOOKUP(E1377,[1]LL_Hub!$A$1:$B$13,2,FALSE)</f>
        <v>New York</v>
      </c>
      <c r="K1377" t="str">
        <f>VLOOKUP(D1377,'[2]product Table data'!$A$2:$B$12,2,FALSE)</f>
        <v>Female</v>
      </c>
      <c r="L1377" t="str">
        <f>VLOOKUP($D1377,'[2]product Table data'!$A$2:$G$12,L$1,FALSE)</f>
        <v>Casual n Light</v>
      </c>
      <c r="M1377" t="str">
        <f>VLOOKUP($D1377,'[2]product Table data'!$A$2:$G$12,M$1,FALSE)</f>
        <v>Honduras</v>
      </c>
      <c r="N1377" t="str">
        <f>VLOOKUP($D1377,'[2]product Table data'!$A$2:$G$12,N$1,FALSE)</f>
        <v>Central America</v>
      </c>
      <c r="O1377">
        <f>VLOOKUP($D1377,'[2]product Table data'!$A$2:$G$12,O$1,FALSE)</f>
        <v>30</v>
      </c>
      <c r="P1377">
        <f>VLOOKUP($D1377,'[2]product Table data'!$A$2:$G$12,P$1,FALSE)</f>
        <v>45</v>
      </c>
      <c r="Q1377">
        <f t="shared" si="105"/>
        <v>15</v>
      </c>
      <c r="R1377" t="str">
        <f t="shared" si="106"/>
        <v>-</v>
      </c>
      <c r="S1377" t="str">
        <f t="shared" si="107"/>
        <v>Style Risk</v>
      </c>
      <c r="T1377" t="str">
        <f t="shared" si="108"/>
        <v>-</v>
      </c>
      <c r="U1377" t="str">
        <f t="shared" si="109"/>
        <v>High Value</v>
      </c>
    </row>
    <row r="1378" spans="1:21" hidden="1" x14ac:dyDescent="0.2">
      <c r="A1378" s="2">
        <v>1376</v>
      </c>
      <c r="B1378" s="2" t="s">
        <v>9</v>
      </c>
      <c r="C1378" s="2" t="s">
        <v>1908</v>
      </c>
      <c r="D1378" s="2" t="s">
        <v>505</v>
      </c>
      <c r="E1378" s="2">
        <v>10001</v>
      </c>
      <c r="F1378" s="2" t="s">
        <v>35</v>
      </c>
      <c r="G1378" s="2" t="s">
        <v>36</v>
      </c>
      <c r="H1378" s="2">
        <v>1</v>
      </c>
      <c r="I1378" s="2" t="s">
        <v>17</v>
      </c>
      <c r="J1378" s="2" t="str">
        <f>VLOOKUP(E1378,[1]LL_Hub!$A$1:$B$13,2,FALSE)</f>
        <v>New York</v>
      </c>
      <c r="K1378" t="str">
        <f>VLOOKUP(D1378,'[2]product Table data'!$A$2:$B$12,2,FALSE)</f>
        <v>Female</v>
      </c>
      <c r="L1378" t="str">
        <f>VLOOKUP($D1378,'[2]product Table data'!$A$2:$G$12,L$1,FALSE)</f>
        <v>Casual n Light</v>
      </c>
      <c r="M1378" t="str">
        <f>VLOOKUP($D1378,'[2]product Table data'!$A$2:$G$12,M$1,FALSE)</f>
        <v>Honduras</v>
      </c>
      <c r="N1378" t="str">
        <f>VLOOKUP($D1378,'[2]product Table data'!$A$2:$G$12,N$1,FALSE)</f>
        <v>Central America</v>
      </c>
      <c r="O1378">
        <f>VLOOKUP($D1378,'[2]product Table data'!$A$2:$G$12,O$1,FALSE)</f>
        <v>30</v>
      </c>
      <c r="P1378">
        <f>VLOOKUP($D1378,'[2]product Table data'!$A$2:$G$12,P$1,FALSE)</f>
        <v>45</v>
      </c>
      <c r="Q1378">
        <f t="shared" si="105"/>
        <v>15</v>
      </c>
      <c r="R1378" t="str">
        <f t="shared" si="106"/>
        <v>-</v>
      </c>
      <c r="S1378" t="str">
        <f t="shared" si="107"/>
        <v>Style Risk</v>
      </c>
      <c r="T1378" t="str">
        <f t="shared" si="108"/>
        <v>-</v>
      </c>
      <c r="U1378" t="str">
        <f t="shared" si="109"/>
        <v>High Value</v>
      </c>
    </row>
    <row r="1379" spans="1:21" hidden="1" x14ac:dyDescent="0.2">
      <c r="A1379" s="2">
        <v>1377</v>
      </c>
      <c r="B1379" s="2" t="s">
        <v>9</v>
      </c>
      <c r="C1379" s="2" t="s">
        <v>1909</v>
      </c>
      <c r="D1379" s="2" t="s">
        <v>505</v>
      </c>
      <c r="E1379" s="2">
        <v>10001</v>
      </c>
      <c r="F1379" s="2" t="s">
        <v>35</v>
      </c>
      <c r="G1379" s="2" t="s">
        <v>36</v>
      </c>
      <c r="H1379" s="2">
        <v>1</v>
      </c>
      <c r="I1379" s="2" t="s">
        <v>17</v>
      </c>
      <c r="J1379" s="2" t="str">
        <f>VLOOKUP(E1379,[1]LL_Hub!$A$1:$B$13,2,FALSE)</f>
        <v>New York</v>
      </c>
      <c r="K1379" t="str">
        <f>VLOOKUP(D1379,'[2]product Table data'!$A$2:$B$12,2,FALSE)</f>
        <v>Female</v>
      </c>
      <c r="L1379" t="str">
        <f>VLOOKUP($D1379,'[2]product Table data'!$A$2:$G$12,L$1,FALSE)</f>
        <v>Casual n Light</v>
      </c>
      <c r="M1379" t="str">
        <f>VLOOKUP($D1379,'[2]product Table data'!$A$2:$G$12,M$1,FALSE)</f>
        <v>Honduras</v>
      </c>
      <c r="N1379" t="str">
        <f>VLOOKUP($D1379,'[2]product Table data'!$A$2:$G$12,N$1,FALSE)</f>
        <v>Central America</v>
      </c>
      <c r="O1379">
        <f>VLOOKUP($D1379,'[2]product Table data'!$A$2:$G$12,O$1,FALSE)</f>
        <v>30</v>
      </c>
      <c r="P1379">
        <f>VLOOKUP($D1379,'[2]product Table data'!$A$2:$G$12,P$1,FALSE)</f>
        <v>45</v>
      </c>
      <c r="Q1379">
        <f t="shared" si="105"/>
        <v>15</v>
      </c>
      <c r="R1379" t="str">
        <f t="shared" si="106"/>
        <v>-</v>
      </c>
      <c r="S1379" t="str">
        <f t="shared" si="107"/>
        <v>Style Risk</v>
      </c>
      <c r="T1379" t="str">
        <f t="shared" si="108"/>
        <v>-</v>
      </c>
      <c r="U1379" t="str">
        <f t="shared" si="109"/>
        <v>High Value</v>
      </c>
    </row>
    <row r="1380" spans="1:21" hidden="1" x14ac:dyDescent="0.2">
      <c r="A1380" s="2">
        <v>1378</v>
      </c>
      <c r="B1380" s="2" t="s">
        <v>9</v>
      </c>
      <c r="C1380" s="2" t="s">
        <v>1910</v>
      </c>
      <c r="D1380" s="2" t="s">
        <v>505</v>
      </c>
      <c r="E1380" s="2">
        <v>10001</v>
      </c>
      <c r="F1380" s="2" t="s">
        <v>35</v>
      </c>
      <c r="G1380" s="2" t="s">
        <v>36</v>
      </c>
      <c r="H1380" s="2">
        <v>1</v>
      </c>
      <c r="I1380" s="2" t="s">
        <v>17</v>
      </c>
      <c r="J1380" s="2" t="str">
        <f>VLOOKUP(E1380,[1]LL_Hub!$A$1:$B$13,2,FALSE)</f>
        <v>New York</v>
      </c>
      <c r="K1380" t="str">
        <f>VLOOKUP(D1380,'[2]product Table data'!$A$2:$B$12,2,FALSE)</f>
        <v>Female</v>
      </c>
      <c r="L1380" t="str">
        <f>VLOOKUP($D1380,'[2]product Table data'!$A$2:$G$12,L$1,FALSE)</f>
        <v>Casual n Light</v>
      </c>
      <c r="M1380" t="str">
        <f>VLOOKUP($D1380,'[2]product Table data'!$A$2:$G$12,M$1,FALSE)</f>
        <v>Honduras</v>
      </c>
      <c r="N1380" t="str">
        <f>VLOOKUP($D1380,'[2]product Table data'!$A$2:$G$12,N$1,FALSE)</f>
        <v>Central America</v>
      </c>
      <c r="O1380">
        <f>VLOOKUP($D1380,'[2]product Table data'!$A$2:$G$12,O$1,FALSE)</f>
        <v>30</v>
      </c>
      <c r="P1380">
        <f>VLOOKUP($D1380,'[2]product Table data'!$A$2:$G$12,P$1,FALSE)</f>
        <v>45</v>
      </c>
      <c r="Q1380">
        <f t="shared" si="105"/>
        <v>15</v>
      </c>
      <c r="R1380" t="str">
        <f t="shared" si="106"/>
        <v>-</v>
      </c>
      <c r="S1380" t="str">
        <f t="shared" si="107"/>
        <v>Style Risk</v>
      </c>
      <c r="T1380" t="str">
        <f t="shared" si="108"/>
        <v>-</v>
      </c>
      <c r="U1380" t="str">
        <f t="shared" si="109"/>
        <v>High Value</v>
      </c>
    </row>
    <row r="1381" spans="1:21" hidden="1" x14ac:dyDescent="0.2">
      <c r="A1381" s="2">
        <v>1379</v>
      </c>
      <c r="B1381" s="2" t="s">
        <v>9</v>
      </c>
      <c r="C1381" s="2" t="s">
        <v>1911</v>
      </c>
      <c r="D1381" s="2" t="s">
        <v>505</v>
      </c>
      <c r="E1381" s="2">
        <v>10001</v>
      </c>
      <c r="F1381" s="2" t="s">
        <v>35</v>
      </c>
      <c r="G1381" s="2" t="s">
        <v>36</v>
      </c>
      <c r="H1381" s="2">
        <v>1</v>
      </c>
      <c r="I1381" s="2" t="s">
        <v>17</v>
      </c>
      <c r="J1381" s="2" t="str">
        <f>VLOOKUP(E1381,[1]LL_Hub!$A$1:$B$13,2,FALSE)</f>
        <v>New York</v>
      </c>
      <c r="K1381" t="str">
        <f>VLOOKUP(D1381,'[2]product Table data'!$A$2:$B$12,2,FALSE)</f>
        <v>Female</v>
      </c>
      <c r="L1381" t="str">
        <f>VLOOKUP($D1381,'[2]product Table data'!$A$2:$G$12,L$1,FALSE)</f>
        <v>Casual n Light</v>
      </c>
      <c r="M1381" t="str">
        <f>VLOOKUP($D1381,'[2]product Table data'!$A$2:$G$12,M$1,FALSE)</f>
        <v>Honduras</v>
      </c>
      <c r="N1381" t="str">
        <f>VLOOKUP($D1381,'[2]product Table data'!$A$2:$G$12,N$1,FALSE)</f>
        <v>Central America</v>
      </c>
      <c r="O1381">
        <f>VLOOKUP($D1381,'[2]product Table data'!$A$2:$G$12,O$1,FALSE)</f>
        <v>30</v>
      </c>
      <c r="P1381">
        <f>VLOOKUP($D1381,'[2]product Table data'!$A$2:$G$12,P$1,FALSE)</f>
        <v>45</v>
      </c>
      <c r="Q1381">
        <f t="shared" si="105"/>
        <v>15</v>
      </c>
      <c r="R1381" t="str">
        <f t="shared" si="106"/>
        <v>-</v>
      </c>
      <c r="S1381" t="str">
        <f t="shared" si="107"/>
        <v>Style Risk</v>
      </c>
      <c r="T1381" t="str">
        <f t="shared" si="108"/>
        <v>-</v>
      </c>
      <c r="U1381" t="str">
        <f t="shared" si="109"/>
        <v>High Value</v>
      </c>
    </row>
    <row r="1382" spans="1:21" hidden="1" x14ac:dyDescent="0.2">
      <c r="A1382" s="2">
        <v>1380</v>
      </c>
      <c r="B1382" s="2" t="s">
        <v>9</v>
      </c>
      <c r="C1382" s="2" t="s">
        <v>1912</v>
      </c>
      <c r="D1382" s="2" t="s">
        <v>505</v>
      </c>
      <c r="E1382" s="2">
        <v>10001</v>
      </c>
      <c r="F1382" s="2" t="s">
        <v>35</v>
      </c>
      <c r="G1382" s="2" t="s">
        <v>36</v>
      </c>
      <c r="H1382" s="2">
        <v>1</v>
      </c>
      <c r="I1382" s="2" t="s">
        <v>17</v>
      </c>
      <c r="J1382" s="2" t="str">
        <f>VLOOKUP(E1382,[1]LL_Hub!$A$1:$B$13,2,FALSE)</f>
        <v>New York</v>
      </c>
      <c r="K1382" t="str">
        <f>VLOOKUP(D1382,'[2]product Table data'!$A$2:$B$12,2,FALSE)</f>
        <v>Female</v>
      </c>
      <c r="L1382" t="str">
        <f>VLOOKUP($D1382,'[2]product Table data'!$A$2:$G$12,L$1,FALSE)</f>
        <v>Casual n Light</v>
      </c>
      <c r="M1382" t="str">
        <f>VLOOKUP($D1382,'[2]product Table data'!$A$2:$G$12,M$1,FALSE)</f>
        <v>Honduras</v>
      </c>
      <c r="N1382" t="str">
        <f>VLOOKUP($D1382,'[2]product Table data'!$A$2:$G$12,N$1,FALSE)</f>
        <v>Central America</v>
      </c>
      <c r="O1382">
        <f>VLOOKUP($D1382,'[2]product Table data'!$A$2:$G$12,O$1,FALSE)</f>
        <v>30</v>
      </c>
      <c r="P1382">
        <f>VLOOKUP($D1382,'[2]product Table data'!$A$2:$G$12,P$1,FALSE)</f>
        <v>45</v>
      </c>
      <c r="Q1382">
        <f t="shared" si="105"/>
        <v>15</v>
      </c>
      <c r="R1382" t="str">
        <f t="shared" si="106"/>
        <v>-</v>
      </c>
      <c r="S1382" t="str">
        <f t="shared" si="107"/>
        <v>Style Risk</v>
      </c>
      <c r="T1382" t="str">
        <f t="shared" si="108"/>
        <v>-</v>
      </c>
      <c r="U1382" t="str">
        <f t="shared" si="109"/>
        <v>High Value</v>
      </c>
    </row>
    <row r="1383" spans="1:21" hidden="1" x14ac:dyDescent="0.2">
      <c r="A1383" s="2">
        <v>1381</v>
      </c>
      <c r="B1383" s="2" t="s">
        <v>9</v>
      </c>
      <c r="C1383" s="2" t="s">
        <v>1913</v>
      </c>
      <c r="D1383" s="2" t="s">
        <v>505</v>
      </c>
      <c r="E1383" s="2">
        <v>10001</v>
      </c>
      <c r="F1383" s="2" t="s">
        <v>35</v>
      </c>
      <c r="G1383" s="2" t="s">
        <v>36</v>
      </c>
      <c r="H1383" s="2">
        <v>1</v>
      </c>
      <c r="I1383" s="2" t="s">
        <v>17</v>
      </c>
      <c r="J1383" s="2" t="str">
        <f>VLOOKUP(E1383,[1]LL_Hub!$A$1:$B$13,2,FALSE)</f>
        <v>New York</v>
      </c>
      <c r="K1383" t="str">
        <f>VLOOKUP(D1383,'[2]product Table data'!$A$2:$B$12,2,FALSE)</f>
        <v>Female</v>
      </c>
      <c r="L1383" t="str">
        <f>VLOOKUP($D1383,'[2]product Table data'!$A$2:$G$12,L$1,FALSE)</f>
        <v>Casual n Light</v>
      </c>
      <c r="M1383" t="str">
        <f>VLOOKUP($D1383,'[2]product Table data'!$A$2:$G$12,M$1,FALSE)</f>
        <v>Honduras</v>
      </c>
      <c r="N1383" t="str">
        <f>VLOOKUP($D1383,'[2]product Table data'!$A$2:$G$12,N$1,FALSE)</f>
        <v>Central America</v>
      </c>
      <c r="O1383">
        <f>VLOOKUP($D1383,'[2]product Table data'!$A$2:$G$12,O$1,FALSE)</f>
        <v>30</v>
      </c>
      <c r="P1383">
        <f>VLOOKUP($D1383,'[2]product Table data'!$A$2:$G$12,P$1,FALSE)</f>
        <v>45</v>
      </c>
      <c r="Q1383">
        <f t="shared" si="105"/>
        <v>15</v>
      </c>
      <c r="R1383" t="str">
        <f t="shared" si="106"/>
        <v>-</v>
      </c>
      <c r="S1383" t="str">
        <f t="shared" si="107"/>
        <v>Style Risk</v>
      </c>
      <c r="T1383" t="str">
        <f t="shared" si="108"/>
        <v>-</v>
      </c>
      <c r="U1383" t="str">
        <f t="shared" si="109"/>
        <v>High Value</v>
      </c>
    </row>
    <row r="1384" spans="1:21" hidden="1" x14ac:dyDescent="0.2">
      <c r="A1384" s="2">
        <v>1382</v>
      </c>
      <c r="B1384" s="2" t="s">
        <v>9</v>
      </c>
      <c r="C1384" s="2" t="s">
        <v>1914</v>
      </c>
      <c r="D1384" s="2" t="s">
        <v>505</v>
      </c>
      <c r="E1384" s="2">
        <v>10001</v>
      </c>
      <c r="F1384" s="2" t="s">
        <v>35</v>
      </c>
      <c r="G1384" s="2" t="s">
        <v>36</v>
      </c>
      <c r="H1384" s="2">
        <v>1</v>
      </c>
      <c r="I1384" s="2" t="s">
        <v>17</v>
      </c>
      <c r="J1384" s="2" t="str">
        <f>VLOOKUP(E1384,[1]LL_Hub!$A$1:$B$13,2,FALSE)</f>
        <v>New York</v>
      </c>
      <c r="K1384" t="str">
        <f>VLOOKUP(D1384,'[2]product Table data'!$A$2:$B$12,2,FALSE)</f>
        <v>Female</v>
      </c>
      <c r="L1384" t="str">
        <f>VLOOKUP($D1384,'[2]product Table data'!$A$2:$G$12,L$1,FALSE)</f>
        <v>Casual n Light</v>
      </c>
      <c r="M1384" t="str">
        <f>VLOOKUP($D1384,'[2]product Table data'!$A$2:$G$12,M$1,FALSE)</f>
        <v>Honduras</v>
      </c>
      <c r="N1384" t="str">
        <f>VLOOKUP($D1384,'[2]product Table data'!$A$2:$G$12,N$1,FALSE)</f>
        <v>Central America</v>
      </c>
      <c r="O1384">
        <f>VLOOKUP($D1384,'[2]product Table data'!$A$2:$G$12,O$1,FALSE)</f>
        <v>30</v>
      </c>
      <c r="P1384">
        <f>VLOOKUP($D1384,'[2]product Table data'!$A$2:$G$12,P$1,FALSE)</f>
        <v>45</v>
      </c>
      <c r="Q1384">
        <f t="shared" si="105"/>
        <v>15</v>
      </c>
      <c r="R1384" t="str">
        <f t="shared" si="106"/>
        <v>-</v>
      </c>
      <c r="S1384" t="str">
        <f t="shared" si="107"/>
        <v>Style Risk</v>
      </c>
      <c r="T1384" t="str">
        <f t="shared" si="108"/>
        <v>-</v>
      </c>
      <c r="U1384" t="str">
        <f t="shared" si="109"/>
        <v>High Value</v>
      </c>
    </row>
    <row r="1385" spans="1:21" hidden="1" x14ac:dyDescent="0.2">
      <c r="A1385" s="2">
        <v>1383</v>
      </c>
      <c r="B1385" s="2" t="s">
        <v>9</v>
      </c>
      <c r="C1385" s="2" t="s">
        <v>1915</v>
      </c>
      <c r="D1385" s="2" t="s">
        <v>505</v>
      </c>
      <c r="E1385" s="2">
        <v>10001</v>
      </c>
      <c r="F1385" s="2" t="s">
        <v>35</v>
      </c>
      <c r="G1385" s="2" t="s">
        <v>36</v>
      </c>
      <c r="H1385" s="2">
        <v>1</v>
      </c>
      <c r="I1385" s="2" t="s">
        <v>17</v>
      </c>
      <c r="J1385" s="2" t="str">
        <f>VLOOKUP(E1385,[1]LL_Hub!$A$1:$B$13,2,FALSE)</f>
        <v>New York</v>
      </c>
      <c r="K1385" t="str">
        <f>VLOOKUP(D1385,'[2]product Table data'!$A$2:$B$12,2,FALSE)</f>
        <v>Female</v>
      </c>
      <c r="L1385" t="str">
        <f>VLOOKUP($D1385,'[2]product Table data'!$A$2:$G$12,L$1,FALSE)</f>
        <v>Casual n Light</v>
      </c>
      <c r="M1385" t="str">
        <f>VLOOKUP($D1385,'[2]product Table data'!$A$2:$G$12,M$1,FALSE)</f>
        <v>Honduras</v>
      </c>
      <c r="N1385" t="str">
        <f>VLOOKUP($D1385,'[2]product Table data'!$A$2:$G$12,N$1,FALSE)</f>
        <v>Central America</v>
      </c>
      <c r="O1385">
        <f>VLOOKUP($D1385,'[2]product Table data'!$A$2:$G$12,O$1,FALSE)</f>
        <v>30</v>
      </c>
      <c r="P1385">
        <f>VLOOKUP($D1385,'[2]product Table data'!$A$2:$G$12,P$1,FALSE)</f>
        <v>45</v>
      </c>
      <c r="Q1385">
        <f t="shared" si="105"/>
        <v>15</v>
      </c>
      <c r="R1385" t="str">
        <f t="shared" si="106"/>
        <v>-</v>
      </c>
      <c r="S1385" t="str">
        <f t="shared" si="107"/>
        <v>Style Risk</v>
      </c>
      <c r="T1385" t="str">
        <f t="shared" si="108"/>
        <v>-</v>
      </c>
      <c r="U1385" t="str">
        <f t="shared" si="109"/>
        <v>High Value</v>
      </c>
    </row>
    <row r="1386" spans="1:21" hidden="1" x14ac:dyDescent="0.2">
      <c r="A1386" s="2">
        <v>1384</v>
      </c>
      <c r="B1386" s="2" t="s">
        <v>9</v>
      </c>
      <c r="C1386" s="2" t="s">
        <v>1916</v>
      </c>
      <c r="D1386" s="2" t="s">
        <v>505</v>
      </c>
      <c r="E1386" s="2">
        <v>10001</v>
      </c>
      <c r="F1386" s="2" t="s">
        <v>35</v>
      </c>
      <c r="G1386" s="2" t="s">
        <v>36</v>
      </c>
      <c r="H1386" s="2">
        <v>1</v>
      </c>
      <c r="I1386" s="2" t="s">
        <v>17</v>
      </c>
      <c r="J1386" s="2" t="str">
        <f>VLOOKUP(E1386,[1]LL_Hub!$A$1:$B$13,2,FALSE)</f>
        <v>New York</v>
      </c>
      <c r="K1386" t="str">
        <f>VLOOKUP(D1386,'[2]product Table data'!$A$2:$B$12,2,FALSE)</f>
        <v>Female</v>
      </c>
      <c r="L1386" t="str">
        <f>VLOOKUP($D1386,'[2]product Table data'!$A$2:$G$12,L$1,FALSE)</f>
        <v>Casual n Light</v>
      </c>
      <c r="M1386" t="str">
        <f>VLOOKUP($D1386,'[2]product Table data'!$A$2:$G$12,M$1,FALSE)</f>
        <v>Honduras</v>
      </c>
      <c r="N1386" t="str">
        <f>VLOOKUP($D1386,'[2]product Table data'!$A$2:$G$12,N$1,FALSE)</f>
        <v>Central America</v>
      </c>
      <c r="O1386">
        <f>VLOOKUP($D1386,'[2]product Table data'!$A$2:$G$12,O$1,FALSE)</f>
        <v>30</v>
      </c>
      <c r="P1386">
        <f>VLOOKUP($D1386,'[2]product Table data'!$A$2:$G$12,P$1,FALSE)</f>
        <v>45</v>
      </c>
      <c r="Q1386">
        <f t="shared" si="105"/>
        <v>15</v>
      </c>
      <c r="R1386" t="str">
        <f t="shared" si="106"/>
        <v>-</v>
      </c>
      <c r="S1386" t="str">
        <f t="shared" si="107"/>
        <v>Style Risk</v>
      </c>
      <c r="T1386" t="str">
        <f t="shared" si="108"/>
        <v>-</v>
      </c>
      <c r="U1386" t="str">
        <f t="shared" si="109"/>
        <v>High Value</v>
      </c>
    </row>
    <row r="1387" spans="1:21" hidden="1" x14ac:dyDescent="0.2">
      <c r="A1387" s="2">
        <v>1385</v>
      </c>
      <c r="B1387" s="2" t="s">
        <v>9</v>
      </c>
      <c r="C1387" s="2" t="s">
        <v>1917</v>
      </c>
      <c r="D1387" s="2" t="s">
        <v>505</v>
      </c>
      <c r="E1387" s="2">
        <v>10001</v>
      </c>
      <c r="F1387" s="2" t="s">
        <v>35</v>
      </c>
      <c r="G1387" s="2" t="s">
        <v>36</v>
      </c>
      <c r="H1387" s="2">
        <v>1</v>
      </c>
      <c r="I1387" s="2" t="s">
        <v>17</v>
      </c>
      <c r="J1387" s="2" t="str">
        <f>VLOOKUP(E1387,[1]LL_Hub!$A$1:$B$13,2,FALSE)</f>
        <v>New York</v>
      </c>
      <c r="K1387" t="str">
        <f>VLOOKUP(D1387,'[2]product Table data'!$A$2:$B$12,2,FALSE)</f>
        <v>Female</v>
      </c>
      <c r="L1387" t="str">
        <f>VLOOKUP($D1387,'[2]product Table data'!$A$2:$G$12,L$1,FALSE)</f>
        <v>Casual n Light</v>
      </c>
      <c r="M1387" t="str">
        <f>VLOOKUP($D1387,'[2]product Table data'!$A$2:$G$12,M$1,FALSE)</f>
        <v>Honduras</v>
      </c>
      <c r="N1387" t="str">
        <f>VLOOKUP($D1387,'[2]product Table data'!$A$2:$G$12,N$1,FALSE)</f>
        <v>Central America</v>
      </c>
      <c r="O1387">
        <f>VLOOKUP($D1387,'[2]product Table data'!$A$2:$G$12,O$1,FALSE)</f>
        <v>30</v>
      </c>
      <c r="P1387">
        <f>VLOOKUP($D1387,'[2]product Table data'!$A$2:$G$12,P$1,FALSE)</f>
        <v>45</v>
      </c>
      <c r="Q1387">
        <f t="shared" si="105"/>
        <v>15</v>
      </c>
      <c r="R1387" t="str">
        <f t="shared" si="106"/>
        <v>-</v>
      </c>
      <c r="S1387" t="str">
        <f t="shared" si="107"/>
        <v>Style Risk</v>
      </c>
      <c r="T1387" t="str">
        <f t="shared" si="108"/>
        <v>-</v>
      </c>
      <c r="U1387" t="str">
        <f t="shared" si="109"/>
        <v>High Value</v>
      </c>
    </row>
    <row r="1388" spans="1:21" hidden="1" x14ac:dyDescent="0.2">
      <c r="A1388" s="2">
        <v>1386</v>
      </c>
      <c r="B1388" s="2" t="s">
        <v>9</v>
      </c>
      <c r="C1388" s="2" t="s">
        <v>1918</v>
      </c>
      <c r="D1388" s="2" t="s">
        <v>505</v>
      </c>
      <c r="E1388" s="2">
        <v>10001</v>
      </c>
      <c r="F1388" s="2" t="s">
        <v>35</v>
      </c>
      <c r="G1388" s="2" t="s">
        <v>36</v>
      </c>
      <c r="H1388" s="2">
        <v>1</v>
      </c>
      <c r="I1388" s="2" t="s">
        <v>17</v>
      </c>
      <c r="J1388" s="2" t="str">
        <f>VLOOKUP(E1388,[1]LL_Hub!$A$1:$B$13,2,FALSE)</f>
        <v>New York</v>
      </c>
      <c r="K1388" t="str">
        <f>VLOOKUP(D1388,'[2]product Table data'!$A$2:$B$12,2,FALSE)</f>
        <v>Female</v>
      </c>
      <c r="L1388" t="str">
        <f>VLOOKUP($D1388,'[2]product Table data'!$A$2:$G$12,L$1,FALSE)</f>
        <v>Casual n Light</v>
      </c>
      <c r="M1388" t="str">
        <f>VLOOKUP($D1388,'[2]product Table data'!$A$2:$G$12,M$1,FALSE)</f>
        <v>Honduras</v>
      </c>
      <c r="N1388" t="str">
        <f>VLOOKUP($D1388,'[2]product Table data'!$A$2:$G$12,N$1,FALSE)</f>
        <v>Central America</v>
      </c>
      <c r="O1388">
        <f>VLOOKUP($D1388,'[2]product Table data'!$A$2:$G$12,O$1,FALSE)</f>
        <v>30</v>
      </c>
      <c r="P1388">
        <f>VLOOKUP($D1388,'[2]product Table data'!$A$2:$G$12,P$1,FALSE)</f>
        <v>45</v>
      </c>
      <c r="Q1388">
        <f t="shared" si="105"/>
        <v>15</v>
      </c>
      <c r="R1388" t="str">
        <f t="shared" si="106"/>
        <v>-</v>
      </c>
      <c r="S1388" t="str">
        <f t="shared" si="107"/>
        <v>Style Risk</v>
      </c>
      <c r="T1388" t="str">
        <f t="shared" si="108"/>
        <v>-</v>
      </c>
      <c r="U1388" t="str">
        <f t="shared" si="109"/>
        <v>High Value</v>
      </c>
    </row>
    <row r="1389" spans="1:21" hidden="1" x14ac:dyDescent="0.2">
      <c r="A1389" s="2">
        <v>1387</v>
      </c>
      <c r="B1389" s="2" t="s">
        <v>9</v>
      </c>
      <c r="C1389" s="2" t="s">
        <v>1919</v>
      </c>
      <c r="D1389" s="2" t="s">
        <v>505</v>
      </c>
      <c r="E1389" s="2">
        <v>10001</v>
      </c>
      <c r="F1389" s="2" t="s">
        <v>35</v>
      </c>
      <c r="G1389" s="2" t="s">
        <v>36</v>
      </c>
      <c r="H1389" s="2">
        <v>1</v>
      </c>
      <c r="I1389" s="2" t="s">
        <v>17</v>
      </c>
      <c r="J1389" s="2" t="str">
        <f>VLOOKUP(E1389,[1]LL_Hub!$A$1:$B$13,2,FALSE)</f>
        <v>New York</v>
      </c>
      <c r="K1389" t="str">
        <f>VLOOKUP(D1389,'[2]product Table data'!$A$2:$B$12,2,FALSE)</f>
        <v>Female</v>
      </c>
      <c r="L1389" t="str">
        <f>VLOOKUP($D1389,'[2]product Table data'!$A$2:$G$12,L$1,FALSE)</f>
        <v>Casual n Light</v>
      </c>
      <c r="M1389" t="str">
        <f>VLOOKUP($D1389,'[2]product Table data'!$A$2:$G$12,M$1,FALSE)</f>
        <v>Honduras</v>
      </c>
      <c r="N1389" t="str">
        <f>VLOOKUP($D1389,'[2]product Table data'!$A$2:$G$12,N$1,FALSE)</f>
        <v>Central America</v>
      </c>
      <c r="O1389">
        <f>VLOOKUP($D1389,'[2]product Table data'!$A$2:$G$12,O$1,FALSE)</f>
        <v>30</v>
      </c>
      <c r="P1389">
        <f>VLOOKUP($D1389,'[2]product Table data'!$A$2:$G$12,P$1,FALSE)</f>
        <v>45</v>
      </c>
      <c r="Q1389">
        <f t="shared" si="105"/>
        <v>15</v>
      </c>
      <c r="R1389" t="str">
        <f t="shared" si="106"/>
        <v>-</v>
      </c>
      <c r="S1389" t="str">
        <f t="shared" si="107"/>
        <v>Style Risk</v>
      </c>
      <c r="T1389" t="str">
        <f t="shared" si="108"/>
        <v>-</v>
      </c>
      <c r="U1389" t="str">
        <f t="shared" si="109"/>
        <v>High Value</v>
      </c>
    </row>
    <row r="1390" spans="1:21" hidden="1" x14ac:dyDescent="0.2">
      <c r="A1390" s="2">
        <v>1388</v>
      </c>
      <c r="B1390" s="2" t="s">
        <v>9</v>
      </c>
      <c r="C1390" s="2" t="s">
        <v>1920</v>
      </c>
      <c r="D1390" s="2" t="s">
        <v>566</v>
      </c>
      <c r="E1390" s="2">
        <v>80014</v>
      </c>
      <c r="F1390" s="2" t="s">
        <v>1921</v>
      </c>
      <c r="G1390" s="2" t="s">
        <v>13</v>
      </c>
      <c r="H1390" s="2">
        <v>1</v>
      </c>
      <c r="I1390" s="2" t="s">
        <v>39</v>
      </c>
      <c r="J1390" s="2" t="str">
        <f>VLOOKUP(E1390,[1]LL_Hub!$A$1:$B$13,2,FALSE)</f>
        <v>Denver</v>
      </c>
      <c r="K1390" t="str">
        <f>VLOOKUP(D1390,'[2]product Table data'!$A$2:$B$12,2,FALSE)</f>
        <v>Female</v>
      </c>
      <c r="L1390" t="str">
        <f>VLOOKUP($D1390,'[2]product Table data'!$A$2:$G$12,L$1,FALSE)</f>
        <v>Casual n Light</v>
      </c>
      <c r="M1390" t="str">
        <f>VLOOKUP($D1390,'[2]product Table data'!$A$2:$G$12,M$1,FALSE)</f>
        <v>Guatemala</v>
      </c>
      <c r="N1390" t="str">
        <f>VLOOKUP($D1390,'[2]product Table data'!$A$2:$G$12,N$1,FALSE)</f>
        <v>Central America</v>
      </c>
      <c r="O1390">
        <f>VLOOKUP($D1390,'[2]product Table data'!$A$2:$G$12,O$1,FALSE)</f>
        <v>25</v>
      </c>
      <c r="P1390">
        <f>VLOOKUP($D1390,'[2]product Table data'!$A$2:$G$12,P$1,FALSE)</f>
        <v>30</v>
      </c>
      <c r="Q1390">
        <f t="shared" si="105"/>
        <v>5</v>
      </c>
      <c r="R1390" t="str">
        <f t="shared" si="106"/>
        <v>Hub Risk</v>
      </c>
      <c r="S1390" t="str">
        <f t="shared" si="107"/>
        <v>Style Risk</v>
      </c>
      <c r="T1390" t="str">
        <f t="shared" si="108"/>
        <v>Risk</v>
      </c>
      <c r="U1390" t="str">
        <f t="shared" si="109"/>
        <v>Low Value</v>
      </c>
    </row>
    <row r="1391" spans="1:21" hidden="1" x14ac:dyDescent="0.2">
      <c r="A1391" s="2">
        <v>1389</v>
      </c>
      <c r="B1391" s="2" t="s">
        <v>9</v>
      </c>
      <c r="C1391" s="2" t="s">
        <v>1922</v>
      </c>
      <c r="D1391" s="2" t="s">
        <v>566</v>
      </c>
      <c r="E1391" s="2">
        <v>80014</v>
      </c>
      <c r="F1391" s="2" t="s">
        <v>1923</v>
      </c>
      <c r="G1391" s="2" t="s">
        <v>13</v>
      </c>
      <c r="H1391" s="2">
        <v>1</v>
      </c>
      <c r="I1391" s="2" t="s">
        <v>39</v>
      </c>
      <c r="J1391" s="2" t="str">
        <f>VLOOKUP(E1391,[1]LL_Hub!$A$1:$B$13,2,FALSE)</f>
        <v>Denver</v>
      </c>
      <c r="K1391" t="str">
        <f>VLOOKUP(D1391,'[2]product Table data'!$A$2:$B$12,2,FALSE)</f>
        <v>Female</v>
      </c>
      <c r="L1391" t="str">
        <f>VLOOKUP($D1391,'[2]product Table data'!$A$2:$G$12,L$1,FALSE)</f>
        <v>Casual n Light</v>
      </c>
      <c r="M1391" t="str">
        <f>VLOOKUP($D1391,'[2]product Table data'!$A$2:$G$12,M$1,FALSE)</f>
        <v>Guatemala</v>
      </c>
      <c r="N1391" t="str">
        <f>VLOOKUP($D1391,'[2]product Table data'!$A$2:$G$12,N$1,FALSE)</f>
        <v>Central America</v>
      </c>
      <c r="O1391">
        <f>VLOOKUP($D1391,'[2]product Table data'!$A$2:$G$12,O$1,FALSE)</f>
        <v>25</v>
      </c>
      <c r="P1391">
        <f>VLOOKUP($D1391,'[2]product Table data'!$A$2:$G$12,P$1,FALSE)</f>
        <v>30</v>
      </c>
      <c r="Q1391">
        <f t="shared" si="105"/>
        <v>5</v>
      </c>
      <c r="R1391" t="str">
        <f t="shared" si="106"/>
        <v>Hub Risk</v>
      </c>
      <c r="S1391" t="str">
        <f t="shared" si="107"/>
        <v>Style Risk</v>
      </c>
      <c r="T1391" t="str">
        <f t="shared" si="108"/>
        <v>Risk</v>
      </c>
      <c r="U1391" t="str">
        <f t="shared" si="109"/>
        <v>Low Value</v>
      </c>
    </row>
    <row r="1392" spans="1:21" hidden="1" x14ac:dyDescent="0.2">
      <c r="A1392" s="2">
        <v>1390</v>
      </c>
      <c r="B1392" s="2" t="s">
        <v>9</v>
      </c>
      <c r="C1392" s="2" t="s">
        <v>1924</v>
      </c>
      <c r="D1392" s="2" t="s">
        <v>566</v>
      </c>
      <c r="E1392" s="2">
        <v>80014</v>
      </c>
      <c r="F1392" s="2" t="s">
        <v>1925</v>
      </c>
      <c r="G1392" s="2" t="s">
        <v>13</v>
      </c>
      <c r="H1392" s="2">
        <v>1</v>
      </c>
      <c r="I1392" s="2" t="s">
        <v>39</v>
      </c>
      <c r="J1392" s="2" t="str">
        <f>VLOOKUP(E1392,[1]LL_Hub!$A$1:$B$13,2,FALSE)</f>
        <v>Denver</v>
      </c>
      <c r="K1392" t="str">
        <f>VLOOKUP(D1392,'[2]product Table data'!$A$2:$B$12,2,FALSE)</f>
        <v>Female</v>
      </c>
      <c r="L1392" t="str">
        <f>VLOOKUP($D1392,'[2]product Table data'!$A$2:$G$12,L$1,FALSE)</f>
        <v>Casual n Light</v>
      </c>
      <c r="M1392" t="str">
        <f>VLOOKUP($D1392,'[2]product Table data'!$A$2:$G$12,M$1,FALSE)</f>
        <v>Guatemala</v>
      </c>
      <c r="N1392" t="str">
        <f>VLOOKUP($D1392,'[2]product Table data'!$A$2:$G$12,N$1,FALSE)</f>
        <v>Central America</v>
      </c>
      <c r="O1392">
        <f>VLOOKUP($D1392,'[2]product Table data'!$A$2:$G$12,O$1,FALSE)</f>
        <v>25</v>
      </c>
      <c r="P1392">
        <f>VLOOKUP($D1392,'[2]product Table data'!$A$2:$G$12,P$1,FALSE)</f>
        <v>30</v>
      </c>
      <c r="Q1392">
        <f t="shared" si="105"/>
        <v>5</v>
      </c>
      <c r="R1392" t="str">
        <f t="shared" si="106"/>
        <v>Hub Risk</v>
      </c>
      <c r="S1392" t="str">
        <f t="shared" si="107"/>
        <v>Style Risk</v>
      </c>
      <c r="T1392" t="str">
        <f t="shared" si="108"/>
        <v>Risk</v>
      </c>
      <c r="U1392" t="str">
        <f t="shared" si="109"/>
        <v>Low Value</v>
      </c>
    </row>
    <row r="1393" spans="1:21" hidden="1" x14ac:dyDescent="0.2">
      <c r="A1393" s="2">
        <v>1391</v>
      </c>
      <c r="B1393" s="2" t="s">
        <v>9</v>
      </c>
      <c r="C1393" s="2" t="s">
        <v>1926</v>
      </c>
      <c r="D1393" s="2" t="s">
        <v>566</v>
      </c>
      <c r="E1393" s="2">
        <v>80014</v>
      </c>
      <c r="F1393" s="2" t="s">
        <v>1927</v>
      </c>
      <c r="G1393" s="2" t="s">
        <v>13</v>
      </c>
      <c r="H1393" s="2">
        <v>1</v>
      </c>
      <c r="I1393" s="2" t="s">
        <v>39</v>
      </c>
      <c r="J1393" s="2" t="str">
        <f>VLOOKUP(E1393,[1]LL_Hub!$A$1:$B$13,2,FALSE)</f>
        <v>Denver</v>
      </c>
      <c r="K1393" t="str">
        <f>VLOOKUP(D1393,'[2]product Table data'!$A$2:$B$12,2,FALSE)</f>
        <v>Female</v>
      </c>
      <c r="L1393" t="str">
        <f>VLOOKUP($D1393,'[2]product Table data'!$A$2:$G$12,L$1,FALSE)</f>
        <v>Casual n Light</v>
      </c>
      <c r="M1393" t="str">
        <f>VLOOKUP($D1393,'[2]product Table data'!$A$2:$G$12,M$1,FALSE)</f>
        <v>Guatemala</v>
      </c>
      <c r="N1393" t="str">
        <f>VLOOKUP($D1393,'[2]product Table data'!$A$2:$G$12,N$1,FALSE)</f>
        <v>Central America</v>
      </c>
      <c r="O1393">
        <f>VLOOKUP($D1393,'[2]product Table data'!$A$2:$G$12,O$1,FALSE)</f>
        <v>25</v>
      </c>
      <c r="P1393">
        <f>VLOOKUP($D1393,'[2]product Table data'!$A$2:$G$12,P$1,FALSE)</f>
        <v>30</v>
      </c>
      <c r="Q1393">
        <f t="shared" si="105"/>
        <v>5</v>
      </c>
      <c r="R1393" t="str">
        <f t="shared" si="106"/>
        <v>Hub Risk</v>
      </c>
      <c r="S1393" t="str">
        <f t="shared" si="107"/>
        <v>Style Risk</v>
      </c>
      <c r="T1393" t="str">
        <f t="shared" si="108"/>
        <v>Risk</v>
      </c>
      <c r="U1393" t="str">
        <f t="shared" si="109"/>
        <v>Low Value</v>
      </c>
    </row>
    <row r="1394" spans="1:21" hidden="1" x14ac:dyDescent="0.2">
      <c r="A1394" s="2">
        <v>1392</v>
      </c>
      <c r="B1394" s="2" t="s">
        <v>9</v>
      </c>
      <c r="C1394" s="2" t="s">
        <v>1928</v>
      </c>
      <c r="D1394" s="2" t="s">
        <v>566</v>
      </c>
      <c r="E1394" s="2">
        <v>80014</v>
      </c>
      <c r="F1394" s="2" t="s">
        <v>1929</v>
      </c>
      <c r="G1394" s="2" t="s">
        <v>13</v>
      </c>
      <c r="H1394" s="2">
        <v>1</v>
      </c>
      <c r="I1394" s="2" t="s">
        <v>39</v>
      </c>
      <c r="J1394" s="2" t="str">
        <f>VLOOKUP(E1394,[1]LL_Hub!$A$1:$B$13,2,FALSE)</f>
        <v>Denver</v>
      </c>
      <c r="K1394" t="str">
        <f>VLOOKUP(D1394,'[2]product Table data'!$A$2:$B$12,2,FALSE)</f>
        <v>Female</v>
      </c>
      <c r="L1394" t="str">
        <f>VLOOKUP($D1394,'[2]product Table data'!$A$2:$G$12,L$1,FALSE)</f>
        <v>Casual n Light</v>
      </c>
      <c r="M1394" t="str">
        <f>VLOOKUP($D1394,'[2]product Table data'!$A$2:$G$12,M$1,FALSE)</f>
        <v>Guatemala</v>
      </c>
      <c r="N1394" t="str">
        <f>VLOOKUP($D1394,'[2]product Table data'!$A$2:$G$12,N$1,FALSE)</f>
        <v>Central America</v>
      </c>
      <c r="O1394">
        <f>VLOOKUP($D1394,'[2]product Table data'!$A$2:$G$12,O$1,FALSE)</f>
        <v>25</v>
      </c>
      <c r="P1394">
        <f>VLOOKUP($D1394,'[2]product Table data'!$A$2:$G$12,P$1,FALSE)</f>
        <v>30</v>
      </c>
      <c r="Q1394">
        <f t="shared" si="105"/>
        <v>5</v>
      </c>
      <c r="R1394" t="str">
        <f t="shared" si="106"/>
        <v>Hub Risk</v>
      </c>
      <c r="S1394" t="str">
        <f t="shared" si="107"/>
        <v>Style Risk</v>
      </c>
      <c r="T1394" t="str">
        <f t="shared" si="108"/>
        <v>Risk</v>
      </c>
      <c r="U1394" t="str">
        <f t="shared" si="109"/>
        <v>Low Value</v>
      </c>
    </row>
    <row r="1395" spans="1:21" hidden="1" x14ac:dyDescent="0.2">
      <c r="A1395" s="2">
        <v>1393</v>
      </c>
      <c r="B1395" s="2" t="s">
        <v>9</v>
      </c>
      <c r="C1395" s="2" t="s">
        <v>1930</v>
      </c>
      <c r="D1395" s="2" t="s">
        <v>566</v>
      </c>
      <c r="E1395" s="2">
        <v>80014</v>
      </c>
      <c r="F1395" s="2" t="s">
        <v>1931</v>
      </c>
      <c r="G1395" s="2" t="s">
        <v>13</v>
      </c>
      <c r="H1395" s="2">
        <v>1</v>
      </c>
      <c r="I1395" s="2" t="s">
        <v>39</v>
      </c>
      <c r="J1395" s="2" t="str">
        <f>VLOOKUP(E1395,[1]LL_Hub!$A$1:$B$13,2,FALSE)</f>
        <v>Denver</v>
      </c>
      <c r="K1395" t="str">
        <f>VLOOKUP(D1395,'[2]product Table data'!$A$2:$B$12,2,FALSE)</f>
        <v>Female</v>
      </c>
      <c r="L1395" t="str">
        <f>VLOOKUP($D1395,'[2]product Table data'!$A$2:$G$12,L$1,FALSE)</f>
        <v>Casual n Light</v>
      </c>
      <c r="M1395" t="str">
        <f>VLOOKUP($D1395,'[2]product Table data'!$A$2:$G$12,M$1,FALSE)</f>
        <v>Guatemala</v>
      </c>
      <c r="N1395" t="str">
        <f>VLOOKUP($D1395,'[2]product Table data'!$A$2:$G$12,N$1,FALSE)</f>
        <v>Central America</v>
      </c>
      <c r="O1395">
        <f>VLOOKUP($D1395,'[2]product Table data'!$A$2:$G$12,O$1,FALSE)</f>
        <v>25</v>
      </c>
      <c r="P1395">
        <f>VLOOKUP($D1395,'[2]product Table data'!$A$2:$G$12,P$1,FALSE)</f>
        <v>30</v>
      </c>
      <c r="Q1395">
        <f t="shared" si="105"/>
        <v>5</v>
      </c>
      <c r="R1395" t="str">
        <f t="shared" si="106"/>
        <v>Hub Risk</v>
      </c>
      <c r="S1395" t="str">
        <f t="shared" si="107"/>
        <v>Style Risk</v>
      </c>
      <c r="T1395" t="str">
        <f t="shared" si="108"/>
        <v>Risk</v>
      </c>
      <c r="U1395" t="str">
        <f t="shared" si="109"/>
        <v>Low Value</v>
      </c>
    </row>
    <row r="1396" spans="1:21" hidden="1" x14ac:dyDescent="0.2">
      <c r="A1396" s="2">
        <v>1394</v>
      </c>
      <c r="B1396" s="2" t="s">
        <v>9</v>
      </c>
      <c r="C1396" s="2" t="s">
        <v>1932</v>
      </c>
      <c r="D1396" s="2" t="s">
        <v>566</v>
      </c>
      <c r="E1396" s="2">
        <v>80014</v>
      </c>
      <c r="F1396" s="2" t="s">
        <v>1933</v>
      </c>
      <c r="G1396" s="2" t="s">
        <v>13</v>
      </c>
      <c r="H1396" s="2">
        <v>1</v>
      </c>
      <c r="I1396" s="2" t="s">
        <v>39</v>
      </c>
      <c r="J1396" s="2" t="str">
        <f>VLOOKUP(E1396,[1]LL_Hub!$A$1:$B$13,2,FALSE)</f>
        <v>Denver</v>
      </c>
      <c r="K1396" t="str">
        <f>VLOOKUP(D1396,'[2]product Table data'!$A$2:$B$12,2,FALSE)</f>
        <v>Female</v>
      </c>
      <c r="L1396" t="str">
        <f>VLOOKUP($D1396,'[2]product Table data'!$A$2:$G$12,L$1,FALSE)</f>
        <v>Casual n Light</v>
      </c>
      <c r="M1396" t="str">
        <f>VLOOKUP($D1396,'[2]product Table data'!$A$2:$G$12,M$1,FALSE)</f>
        <v>Guatemala</v>
      </c>
      <c r="N1396" t="str">
        <f>VLOOKUP($D1396,'[2]product Table data'!$A$2:$G$12,N$1,FALSE)</f>
        <v>Central America</v>
      </c>
      <c r="O1396">
        <f>VLOOKUP($D1396,'[2]product Table data'!$A$2:$G$12,O$1,FALSE)</f>
        <v>25</v>
      </c>
      <c r="P1396">
        <f>VLOOKUP($D1396,'[2]product Table data'!$A$2:$G$12,P$1,FALSE)</f>
        <v>30</v>
      </c>
      <c r="Q1396">
        <f t="shared" si="105"/>
        <v>5</v>
      </c>
      <c r="R1396" t="str">
        <f t="shared" si="106"/>
        <v>Hub Risk</v>
      </c>
      <c r="S1396" t="str">
        <f t="shared" si="107"/>
        <v>Style Risk</v>
      </c>
      <c r="T1396" t="str">
        <f t="shared" si="108"/>
        <v>Risk</v>
      </c>
      <c r="U1396" t="str">
        <f t="shared" si="109"/>
        <v>Low Value</v>
      </c>
    </row>
    <row r="1397" spans="1:21" hidden="1" x14ac:dyDescent="0.2">
      <c r="A1397" s="2">
        <v>1395</v>
      </c>
      <c r="B1397" s="2" t="s">
        <v>9</v>
      </c>
      <c r="C1397" s="2" t="s">
        <v>1934</v>
      </c>
      <c r="D1397" s="2" t="s">
        <v>566</v>
      </c>
      <c r="E1397" s="2">
        <v>80014</v>
      </c>
      <c r="F1397" s="2" t="s">
        <v>1935</v>
      </c>
      <c r="G1397" s="2" t="s">
        <v>13</v>
      </c>
      <c r="H1397" s="2">
        <v>1</v>
      </c>
      <c r="I1397" s="2" t="s">
        <v>39</v>
      </c>
      <c r="J1397" s="2" t="str">
        <f>VLOOKUP(E1397,[1]LL_Hub!$A$1:$B$13,2,FALSE)</f>
        <v>Denver</v>
      </c>
      <c r="K1397" t="str">
        <f>VLOOKUP(D1397,'[2]product Table data'!$A$2:$B$12,2,FALSE)</f>
        <v>Female</v>
      </c>
      <c r="L1397" t="str">
        <f>VLOOKUP($D1397,'[2]product Table data'!$A$2:$G$12,L$1,FALSE)</f>
        <v>Casual n Light</v>
      </c>
      <c r="M1397" t="str">
        <f>VLOOKUP($D1397,'[2]product Table data'!$A$2:$G$12,M$1,FALSE)</f>
        <v>Guatemala</v>
      </c>
      <c r="N1397" t="str">
        <f>VLOOKUP($D1397,'[2]product Table data'!$A$2:$G$12,N$1,FALSE)</f>
        <v>Central America</v>
      </c>
      <c r="O1397">
        <f>VLOOKUP($D1397,'[2]product Table data'!$A$2:$G$12,O$1,FALSE)</f>
        <v>25</v>
      </c>
      <c r="P1397">
        <f>VLOOKUP($D1397,'[2]product Table data'!$A$2:$G$12,P$1,FALSE)</f>
        <v>30</v>
      </c>
      <c r="Q1397">
        <f t="shared" si="105"/>
        <v>5</v>
      </c>
      <c r="R1397" t="str">
        <f t="shared" si="106"/>
        <v>Hub Risk</v>
      </c>
      <c r="S1397" t="str">
        <f t="shared" si="107"/>
        <v>Style Risk</v>
      </c>
      <c r="T1397" t="str">
        <f t="shared" si="108"/>
        <v>Risk</v>
      </c>
      <c r="U1397" t="str">
        <f t="shared" si="109"/>
        <v>Low Value</v>
      </c>
    </row>
    <row r="1398" spans="1:21" hidden="1" x14ac:dyDescent="0.2">
      <c r="A1398" s="2">
        <v>1396</v>
      </c>
      <c r="B1398" s="2" t="s">
        <v>9</v>
      </c>
      <c r="C1398" s="2" t="s">
        <v>1936</v>
      </c>
      <c r="D1398" s="2" t="s">
        <v>566</v>
      </c>
      <c r="E1398" s="2">
        <v>80014</v>
      </c>
      <c r="F1398" s="2" t="s">
        <v>1937</v>
      </c>
      <c r="G1398" s="2" t="s">
        <v>13</v>
      </c>
      <c r="H1398" s="2">
        <v>1</v>
      </c>
      <c r="I1398" s="2" t="s">
        <v>39</v>
      </c>
      <c r="J1398" s="2" t="str">
        <f>VLOOKUP(E1398,[1]LL_Hub!$A$1:$B$13,2,FALSE)</f>
        <v>Denver</v>
      </c>
      <c r="K1398" t="str">
        <f>VLOOKUP(D1398,'[2]product Table data'!$A$2:$B$12,2,FALSE)</f>
        <v>Female</v>
      </c>
      <c r="L1398" t="str">
        <f>VLOOKUP($D1398,'[2]product Table data'!$A$2:$G$12,L$1,FALSE)</f>
        <v>Casual n Light</v>
      </c>
      <c r="M1398" t="str">
        <f>VLOOKUP($D1398,'[2]product Table data'!$A$2:$G$12,M$1,FALSE)</f>
        <v>Guatemala</v>
      </c>
      <c r="N1398" t="str">
        <f>VLOOKUP($D1398,'[2]product Table data'!$A$2:$G$12,N$1,FALSE)</f>
        <v>Central America</v>
      </c>
      <c r="O1398">
        <f>VLOOKUP($D1398,'[2]product Table data'!$A$2:$G$12,O$1,FALSE)</f>
        <v>25</v>
      </c>
      <c r="P1398">
        <f>VLOOKUP($D1398,'[2]product Table data'!$A$2:$G$12,P$1,FALSE)</f>
        <v>30</v>
      </c>
      <c r="Q1398">
        <f t="shared" si="105"/>
        <v>5</v>
      </c>
      <c r="R1398" t="str">
        <f t="shared" si="106"/>
        <v>Hub Risk</v>
      </c>
      <c r="S1398" t="str">
        <f t="shared" si="107"/>
        <v>Style Risk</v>
      </c>
      <c r="T1398" t="str">
        <f t="shared" si="108"/>
        <v>Risk</v>
      </c>
      <c r="U1398" t="str">
        <f t="shared" si="109"/>
        <v>Low Value</v>
      </c>
    </row>
    <row r="1399" spans="1:21" hidden="1" x14ac:dyDescent="0.2">
      <c r="A1399" s="2">
        <v>1397</v>
      </c>
      <c r="B1399" s="2" t="s">
        <v>9</v>
      </c>
      <c r="C1399" s="2" t="s">
        <v>1938</v>
      </c>
      <c r="D1399" s="2" t="s">
        <v>566</v>
      </c>
      <c r="E1399" s="2">
        <v>80014</v>
      </c>
      <c r="F1399" s="2" t="s">
        <v>1939</v>
      </c>
      <c r="G1399" s="2" t="s">
        <v>13</v>
      </c>
      <c r="H1399" s="2">
        <v>1</v>
      </c>
      <c r="I1399" s="2" t="s">
        <v>39</v>
      </c>
      <c r="J1399" s="2" t="str">
        <f>VLOOKUP(E1399,[1]LL_Hub!$A$1:$B$13,2,FALSE)</f>
        <v>Denver</v>
      </c>
      <c r="K1399" t="str">
        <f>VLOOKUP(D1399,'[2]product Table data'!$A$2:$B$12,2,FALSE)</f>
        <v>Female</v>
      </c>
      <c r="L1399" t="str">
        <f>VLOOKUP($D1399,'[2]product Table data'!$A$2:$G$12,L$1,FALSE)</f>
        <v>Casual n Light</v>
      </c>
      <c r="M1399" t="str">
        <f>VLOOKUP($D1399,'[2]product Table data'!$A$2:$G$12,M$1,FALSE)</f>
        <v>Guatemala</v>
      </c>
      <c r="N1399" t="str">
        <f>VLOOKUP($D1399,'[2]product Table data'!$A$2:$G$12,N$1,FALSE)</f>
        <v>Central America</v>
      </c>
      <c r="O1399">
        <f>VLOOKUP($D1399,'[2]product Table data'!$A$2:$G$12,O$1,FALSE)</f>
        <v>25</v>
      </c>
      <c r="P1399">
        <f>VLOOKUP($D1399,'[2]product Table data'!$A$2:$G$12,P$1,FALSE)</f>
        <v>30</v>
      </c>
      <c r="Q1399">
        <f t="shared" si="105"/>
        <v>5</v>
      </c>
      <c r="R1399" t="str">
        <f t="shared" si="106"/>
        <v>Hub Risk</v>
      </c>
      <c r="S1399" t="str">
        <f t="shared" si="107"/>
        <v>Style Risk</v>
      </c>
      <c r="T1399" t="str">
        <f t="shared" si="108"/>
        <v>Risk</v>
      </c>
      <c r="U1399" t="str">
        <f t="shared" si="109"/>
        <v>Low Value</v>
      </c>
    </row>
    <row r="1400" spans="1:21" hidden="1" x14ac:dyDescent="0.2">
      <c r="A1400" s="2">
        <v>1398</v>
      </c>
      <c r="B1400" s="2" t="s">
        <v>9</v>
      </c>
      <c r="C1400" s="2" t="s">
        <v>1940</v>
      </c>
      <c r="D1400" s="2" t="s">
        <v>566</v>
      </c>
      <c r="E1400" s="2">
        <v>80014</v>
      </c>
      <c r="F1400" s="2" t="s">
        <v>1941</v>
      </c>
      <c r="G1400" s="2" t="s">
        <v>13</v>
      </c>
      <c r="H1400" s="2">
        <v>1</v>
      </c>
      <c r="I1400" s="2" t="s">
        <v>39</v>
      </c>
      <c r="J1400" s="2" t="str">
        <f>VLOOKUP(E1400,[1]LL_Hub!$A$1:$B$13,2,FALSE)</f>
        <v>Denver</v>
      </c>
      <c r="K1400" t="str">
        <f>VLOOKUP(D1400,'[2]product Table data'!$A$2:$B$12,2,FALSE)</f>
        <v>Female</v>
      </c>
      <c r="L1400" t="str">
        <f>VLOOKUP($D1400,'[2]product Table data'!$A$2:$G$12,L$1,FALSE)</f>
        <v>Casual n Light</v>
      </c>
      <c r="M1400" t="str">
        <f>VLOOKUP($D1400,'[2]product Table data'!$A$2:$G$12,M$1,FALSE)</f>
        <v>Guatemala</v>
      </c>
      <c r="N1400" t="str">
        <f>VLOOKUP($D1400,'[2]product Table data'!$A$2:$G$12,N$1,FALSE)</f>
        <v>Central America</v>
      </c>
      <c r="O1400">
        <f>VLOOKUP($D1400,'[2]product Table data'!$A$2:$G$12,O$1,FALSE)</f>
        <v>25</v>
      </c>
      <c r="P1400">
        <f>VLOOKUP($D1400,'[2]product Table data'!$A$2:$G$12,P$1,FALSE)</f>
        <v>30</v>
      </c>
      <c r="Q1400">
        <f t="shared" si="105"/>
        <v>5</v>
      </c>
      <c r="R1400" t="str">
        <f t="shared" si="106"/>
        <v>Hub Risk</v>
      </c>
      <c r="S1400" t="str">
        <f t="shared" si="107"/>
        <v>Style Risk</v>
      </c>
      <c r="T1400" t="str">
        <f t="shared" si="108"/>
        <v>Risk</v>
      </c>
      <c r="U1400" t="str">
        <f t="shared" si="109"/>
        <v>Low Value</v>
      </c>
    </row>
    <row r="1401" spans="1:21" hidden="1" x14ac:dyDescent="0.2">
      <c r="A1401" s="2">
        <v>1399</v>
      </c>
      <c r="B1401" s="2" t="s">
        <v>9</v>
      </c>
      <c r="C1401" s="2" t="s">
        <v>1942</v>
      </c>
      <c r="D1401" s="2" t="s">
        <v>566</v>
      </c>
      <c r="E1401" s="2">
        <v>80014</v>
      </c>
      <c r="F1401" s="2" t="s">
        <v>1943</v>
      </c>
      <c r="G1401" s="2" t="s">
        <v>13</v>
      </c>
      <c r="H1401" s="2">
        <v>1</v>
      </c>
      <c r="I1401" s="2" t="s">
        <v>39</v>
      </c>
      <c r="J1401" s="2" t="str">
        <f>VLOOKUP(E1401,[1]LL_Hub!$A$1:$B$13,2,FALSE)</f>
        <v>Denver</v>
      </c>
      <c r="K1401" t="str">
        <f>VLOOKUP(D1401,'[2]product Table data'!$A$2:$B$12,2,FALSE)</f>
        <v>Female</v>
      </c>
      <c r="L1401" t="str">
        <f>VLOOKUP($D1401,'[2]product Table data'!$A$2:$G$12,L$1,FALSE)</f>
        <v>Casual n Light</v>
      </c>
      <c r="M1401" t="str">
        <f>VLOOKUP($D1401,'[2]product Table data'!$A$2:$G$12,M$1,FALSE)</f>
        <v>Guatemala</v>
      </c>
      <c r="N1401" t="str">
        <f>VLOOKUP($D1401,'[2]product Table data'!$A$2:$G$12,N$1,FALSE)</f>
        <v>Central America</v>
      </c>
      <c r="O1401">
        <f>VLOOKUP($D1401,'[2]product Table data'!$A$2:$G$12,O$1,FALSE)</f>
        <v>25</v>
      </c>
      <c r="P1401">
        <f>VLOOKUP($D1401,'[2]product Table data'!$A$2:$G$12,P$1,FALSE)</f>
        <v>30</v>
      </c>
      <c r="Q1401">
        <f t="shared" si="105"/>
        <v>5</v>
      </c>
      <c r="R1401" t="str">
        <f t="shared" si="106"/>
        <v>Hub Risk</v>
      </c>
      <c r="S1401" t="str">
        <f t="shared" si="107"/>
        <v>Style Risk</v>
      </c>
      <c r="T1401" t="str">
        <f t="shared" si="108"/>
        <v>Risk</v>
      </c>
      <c r="U1401" t="str">
        <f t="shared" si="109"/>
        <v>Low Value</v>
      </c>
    </row>
    <row r="1402" spans="1:21" hidden="1" x14ac:dyDescent="0.2">
      <c r="A1402" s="2">
        <v>1400</v>
      </c>
      <c r="B1402" s="2" t="s">
        <v>9</v>
      </c>
      <c r="C1402" s="2" t="s">
        <v>1944</v>
      </c>
      <c r="D1402" s="2" t="s">
        <v>566</v>
      </c>
      <c r="E1402" s="2">
        <v>80014</v>
      </c>
      <c r="F1402" s="2" t="s">
        <v>1945</v>
      </c>
      <c r="G1402" s="2" t="s">
        <v>13</v>
      </c>
      <c r="H1402" s="2">
        <v>1</v>
      </c>
      <c r="I1402" s="2" t="s">
        <v>39</v>
      </c>
      <c r="J1402" s="2" t="str">
        <f>VLOOKUP(E1402,[1]LL_Hub!$A$1:$B$13,2,FALSE)</f>
        <v>Denver</v>
      </c>
      <c r="K1402" t="str">
        <f>VLOOKUP(D1402,'[2]product Table data'!$A$2:$B$12,2,FALSE)</f>
        <v>Female</v>
      </c>
      <c r="L1402" t="str">
        <f>VLOOKUP($D1402,'[2]product Table data'!$A$2:$G$12,L$1,FALSE)</f>
        <v>Casual n Light</v>
      </c>
      <c r="M1402" t="str">
        <f>VLOOKUP($D1402,'[2]product Table data'!$A$2:$G$12,M$1,FALSE)</f>
        <v>Guatemala</v>
      </c>
      <c r="N1402" t="str">
        <f>VLOOKUP($D1402,'[2]product Table data'!$A$2:$G$12,N$1,FALSE)</f>
        <v>Central America</v>
      </c>
      <c r="O1402">
        <f>VLOOKUP($D1402,'[2]product Table data'!$A$2:$G$12,O$1,FALSE)</f>
        <v>25</v>
      </c>
      <c r="P1402">
        <f>VLOOKUP($D1402,'[2]product Table data'!$A$2:$G$12,P$1,FALSE)</f>
        <v>30</v>
      </c>
      <c r="Q1402">
        <f t="shared" si="105"/>
        <v>5</v>
      </c>
      <c r="R1402" t="str">
        <f t="shared" si="106"/>
        <v>Hub Risk</v>
      </c>
      <c r="S1402" t="str">
        <f t="shared" si="107"/>
        <v>Style Risk</v>
      </c>
      <c r="T1402" t="str">
        <f t="shared" si="108"/>
        <v>Risk</v>
      </c>
      <c r="U1402" t="str">
        <f t="shared" si="109"/>
        <v>Low Value</v>
      </c>
    </row>
    <row r="1403" spans="1:21" hidden="1" x14ac:dyDescent="0.2">
      <c r="A1403" s="2">
        <v>1401</v>
      </c>
      <c r="B1403" s="2" t="s">
        <v>9</v>
      </c>
      <c r="C1403" s="2" t="s">
        <v>1946</v>
      </c>
      <c r="D1403" s="2" t="s">
        <v>566</v>
      </c>
      <c r="E1403" s="2">
        <v>80014</v>
      </c>
      <c r="F1403" s="2" t="s">
        <v>1947</v>
      </c>
      <c r="G1403" s="2" t="s">
        <v>13</v>
      </c>
      <c r="H1403" s="2">
        <v>1</v>
      </c>
      <c r="I1403" s="2" t="s">
        <v>39</v>
      </c>
      <c r="J1403" s="2" t="str">
        <f>VLOOKUP(E1403,[1]LL_Hub!$A$1:$B$13,2,FALSE)</f>
        <v>Denver</v>
      </c>
      <c r="K1403" t="str">
        <f>VLOOKUP(D1403,'[2]product Table data'!$A$2:$B$12,2,FALSE)</f>
        <v>Female</v>
      </c>
      <c r="L1403" t="str">
        <f>VLOOKUP($D1403,'[2]product Table data'!$A$2:$G$12,L$1,FALSE)</f>
        <v>Casual n Light</v>
      </c>
      <c r="M1403" t="str">
        <f>VLOOKUP($D1403,'[2]product Table data'!$A$2:$G$12,M$1,FALSE)</f>
        <v>Guatemala</v>
      </c>
      <c r="N1403" t="str">
        <f>VLOOKUP($D1403,'[2]product Table data'!$A$2:$G$12,N$1,FALSE)</f>
        <v>Central America</v>
      </c>
      <c r="O1403">
        <f>VLOOKUP($D1403,'[2]product Table data'!$A$2:$G$12,O$1,FALSE)</f>
        <v>25</v>
      </c>
      <c r="P1403">
        <f>VLOOKUP($D1403,'[2]product Table data'!$A$2:$G$12,P$1,FALSE)</f>
        <v>30</v>
      </c>
      <c r="Q1403">
        <f t="shared" si="105"/>
        <v>5</v>
      </c>
      <c r="R1403" t="str">
        <f t="shared" si="106"/>
        <v>Hub Risk</v>
      </c>
      <c r="S1403" t="str">
        <f t="shared" si="107"/>
        <v>Style Risk</v>
      </c>
      <c r="T1403" t="str">
        <f t="shared" si="108"/>
        <v>Risk</v>
      </c>
      <c r="U1403" t="str">
        <f t="shared" si="109"/>
        <v>Low Value</v>
      </c>
    </row>
    <row r="1404" spans="1:21" hidden="1" x14ac:dyDescent="0.2">
      <c r="A1404" s="2">
        <v>1402</v>
      </c>
      <c r="B1404" s="2" t="s">
        <v>9</v>
      </c>
      <c r="C1404" s="2" t="s">
        <v>1948</v>
      </c>
      <c r="D1404" s="2" t="s">
        <v>566</v>
      </c>
      <c r="E1404" s="2">
        <v>80014</v>
      </c>
      <c r="F1404" s="2" t="s">
        <v>1949</v>
      </c>
      <c r="G1404" s="2" t="s">
        <v>13</v>
      </c>
      <c r="H1404" s="2">
        <v>1</v>
      </c>
      <c r="I1404" s="2" t="s">
        <v>39</v>
      </c>
      <c r="J1404" s="2" t="str">
        <f>VLOOKUP(E1404,[1]LL_Hub!$A$1:$B$13,2,FALSE)</f>
        <v>Denver</v>
      </c>
      <c r="K1404" t="str">
        <f>VLOOKUP(D1404,'[2]product Table data'!$A$2:$B$12,2,FALSE)</f>
        <v>Female</v>
      </c>
      <c r="L1404" t="str">
        <f>VLOOKUP($D1404,'[2]product Table data'!$A$2:$G$12,L$1,FALSE)</f>
        <v>Casual n Light</v>
      </c>
      <c r="M1404" t="str">
        <f>VLOOKUP($D1404,'[2]product Table data'!$A$2:$G$12,M$1,FALSE)</f>
        <v>Guatemala</v>
      </c>
      <c r="N1404" t="str">
        <f>VLOOKUP($D1404,'[2]product Table data'!$A$2:$G$12,N$1,FALSE)</f>
        <v>Central America</v>
      </c>
      <c r="O1404">
        <f>VLOOKUP($D1404,'[2]product Table data'!$A$2:$G$12,O$1,FALSE)</f>
        <v>25</v>
      </c>
      <c r="P1404">
        <f>VLOOKUP($D1404,'[2]product Table data'!$A$2:$G$12,P$1,FALSE)</f>
        <v>30</v>
      </c>
      <c r="Q1404">
        <f t="shared" si="105"/>
        <v>5</v>
      </c>
      <c r="R1404" t="str">
        <f t="shared" si="106"/>
        <v>Hub Risk</v>
      </c>
      <c r="S1404" t="str">
        <f t="shared" si="107"/>
        <v>Style Risk</v>
      </c>
      <c r="T1404" t="str">
        <f t="shared" si="108"/>
        <v>Risk</v>
      </c>
      <c r="U1404" t="str">
        <f t="shared" si="109"/>
        <v>Low Value</v>
      </c>
    </row>
    <row r="1405" spans="1:21" hidden="1" x14ac:dyDescent="0.2">
      <c r="A1405" s="2">
        <v>1403</v>
      </c>
      <c r="B1405" s="2" t="s">
        <v>9</v>
      </c>
      <c r="C1405" s="2" t="s">
        <v>1950</v>
      </c>
      <c r="D1405" s="2" t="s">
        <v>566</v>
      </c>
      <c r="E1405" s="2">
        <v>80014</v>
      </c>
      <c r="F1405" s="2" t="s">
        <v>1951</v>
      </c>
      <c r="G1405" s="2" t="s">
        <v>13</v>
      </c>
      <c r="H1405" s="2">
        <v>1</v>
      </c>
      <c r="I1405" s="2" t="s">
        <v>39</v>
      </c>
      <c r="J1405" s="2" t="str">
        <f>VLOOKUP(E1405,[1]LL_Hub!$A$1:$B$13,2,FALSE)</f>
        <v>Denver</v>
      </c>
      <c r="K1405" t="str">
        <f>VLOOKUP(D1405,'[2]product Table data'!$A$2:$B$12,2,FALSE)</f>
        <v>Female</v>
      </c>
      <c r="L1405" t="str">
        <f>VLOOKUP($D1405,'[2]product Table data'!$A$2:$G$12,L$1,FALSE)</f>
        <v>Casual n Light</v>
      </c>
      <c r="M1405" t="str">
        <f>VLOOKUP($D1405,'[2]product Table data'!$A$2:$G$12,M$1,FALSE)</f>
        <v>Guatemala</v>
      </c>
      <c r="N1405" t="str">
        <f>VLOOKUP($D1405,'[2]product Table data'!$A$2:$G$12,N$1,FALSE)</f>
        <v>Central America</v>
      </c>
      <c r="O1405">
        <f>VLOOKUP($D1405,'[2]product Table data'!$A$2:$G$12,O$1,FALSE)</f>
        <v>25</v>
      </c>
      <c r="P1405">
        <f>VLOOKUP($D1405,'[2]product Table data'!$A$2:$G$12,P$1,FALSE)</f>
        <v>30</v>
      </c>
      <c r="Q1405">
        <f t="shared" si="105"/>
        <v>5</v>
      </c>
      <c r="R1405" t="str">
        <f t="shared" si="106"/>
        <v>Hub Risk</v>
      </c>
      <c r="S1405" t="str">
        <f t="shared" si="107"/>
        <v>Style Risk</v>
      </c>
      <c r="T1405" t="str">
        <f t="shared" si="108"/>
        <v>Risk</v>
      </c>
      <c r="U1405" t="str">
        <f t="shared" si="109"/>
        <v>Low Value</v>
      </c>
    </row>
    <row r="1406" spans="1:21" hidden="1" x14ac:dyDescent="0.2">
      <c r="A1406" s="2">
        <v>1404</v>
      </c>
      <c r="B1406" s="2" t="s">
        <v>9</v>
      </c>
      <c r="C1406" s="2" t="s">
        <v>1952</v>
      </c>
      <c r="D1406" s="2" t="s">
        <v>566</v>
      </c>
      <c r="E1406" s="2">
        <v>80014</v>
      </c>
      <c r="F1406" s="2" t="s">
        <v>1953</v>
      </c>
      <c r="G1406" s="2" t="s">
        <v>13</v>
      </c>
      <c r="H1406" s="2">
        <v>1</v>
      </c>
      <c r="I1406" s="2" t="s">
        <v>39</v>
      </c>
      <c r="J1406" s="2" t="str">
        <f>VLOOKUP(E1406,[1]LL_Hub!$A$1:$B$13,2,FALSE)</f>
        <v>Denver</v>
      </c>
      <c r="K1406" t="str">
        <f>VLOOKUP(D1406,'[2]product Table data'!$A$2:$B$12,2,FALSE)</f>
        <v>Female</v>
      </c>
      <c r="L1406" t="str">
        <f>VLOOKUP($D1406,'[2]product Table data'!$A$2:$G$12,L$1,FALSE)</f>
        <v>Casual n Light</v>
      </c>
      <c r="M1406" t="str">
        <f>VLOOKUP($D1406,'[2]product Table data'!$A$2:$G$12,M$1,FALSE)</f>
        <v>Guatemala</v>
      </c>
      <c r="N1406" t="str">
        <f>VLOOKUP($D1406,'[2]product Table data'!$A$2:$G$12,N$1,FALSE)</f>
        <v>Central America</v>
      </c>
      <c r="O1406">
        <f>VLOOKUP($D1406,'[2]product Table data'!$A$2:$G$12,O$1,FALSE)</f>
        <v>25</v>
      </c>
      <c r="P1406">
        <f>VLOOKUP($D1406,'[2]product Table data'!$A$2:$G$12,P$1,FALSE)</f>
        <v>30</v>
      </c>
      <c r="Q1406">
        <f t="shared" si="105"/>
        <v>5</v>
      </c>
      <c r="R1406" t="str">
        <f t="shared" si="106"/>
        <v>Hub Risk</v>
      </c>
      <c r="S1406" t="str">
        <f t="shared" si="107"/>
        <v>Style Risk</v>
      </c>
      <c r="T1406" t="str">
        <f t="shared" si="108"/>
        <v>Risk</v>
      </c>
      <c r="U1406" t="str">
        <f t="shared" si="109"/>
        <v>Low Value</v>
      </c>
    </row>
    <row r="1407" spans="1:21" hidden="1" x14ac:dyDescent="0.2">
      <c r="A1407" s="2">
        <v>1405</v>
      </c>
      <c r="B1407" s="2" t="s">
        <v>9</v>
      </c>
      <c r="C1407" s="2" t="s">
        <v>1954</v>
      </c>
      <c r="D1407" s="2" t="s">
        <v>566</v>
      </c>
      <c r="E1407" s="2">
        <v>80014</v>
      </c>
      <c r="F1407" s="2" t="s">
        <v>1955</v>
      </c>
      <c r="G1407" s="2" t="s">
        <v>13</v>
      </c>
      <c r="H1407" s="2">
        <v>1</v>
      </c>
      <c r="I1407" s="2" t="s">
        <v>39</v>
      </c>
      <c r="J1407" s="2" t="str">
        <f>VLOOKUP(E1407,[1]LL_Hub!$A$1:$B$13,2,FALSE)</f>
        <v>Denver</v>
      </c>
      <c r="K1407" t="str">
        <f>VLOOKUP(D1407,'[2]product Table data'!$A$2:$B$12,2,FALSE)</f>
        <v>Female</v>
      </c>
      <c r="L1407" t="str">
        <f>VLOOKUP($D1407,'[2]product Table data'!$A$2:$G$12,L$1,FALSE)</f>
        <v>Casual n Light</v>
      </c>
      <c r="M1407" t="str">
        <f>VLOOKUP($D1407,'[2]product Table data'!$A$2:$G$12,M$1,FALSE)</f>
        <v>Guatemala</v>
      </c>
      <c r="N1407" t="str">
        <f>VLOOKUP($D1407,'[2]product Table data'!$A$2:$G$12,N$1,FALSE)</f>
        <v>Central America</v>
      </c>
      <c r="O1407">
        <f>VLOOKUP($D1407,'[2]product Table data'!$A$2:$G$12,O$1,FALSE)</f>
        <v>25</v>
      </c>
      <c r="P1407">
        <f>VLOOKUP($D1407,'[2]product Table data'!$A$2:$G$12,P$1,FALSE)</f>
        <v>30</v>
      </c>
      <c r="Q1407">
        <f t="shared" si="105"/>
        <v>5</v>
      </c>
      <c r="R1407" t="str">
        <f t="shared" si="106"/>
        <v>Hub Risk</v>
      </c>
      <c r="S1407" t="str">
        <f t="shared" si="107"/>
        <v>Style Risk</v>
      </c>
      <c r="T1407" t="str">
        <f t="shared" si="108"/>
        <v>Risk</v>
      </c>
      <c r="U1407" t="str">
        <f t="shared" si="109"/>
        <v>Low Value</v>
      </c>
    </row>
    <row r="1408" spans="1:21" hidden="1" x14ac:dyDescent="0.2">
      <c r="A1408" s="2">
        <v>1406</v>
      </c>
      <c r="B1408" s="2" t="s">
        <v>9</v>
      </c>
      <c r="C1408" s="2" t="s">
        <v>1956</v>
      </c>
      <c r="D1408" s="2" t="s">
        <v>566</v>
      </c>
      <c r="E1408" s="2">
        <v>80014</v>
      </c>
      <c r="F1408" s="2" t="s">
        <v>1957</v>
      </c>
      <c r="G1408" s="2" t="s">
        <v>13</v>
      </c>
      <c r="H1408" s="2">
        <v>1</v>
      </c>
      <c r="I1408" s="2" t="s">
        <v>39</v>
      </c>
      <c r="J1408" s="2" t="str">
        <f>VLOOKUP(E1408,[1]LL_Hub!$A$1:$B$13,2,FALSE)</f>
        <v>Denver</v>
      </c>
      <c r="K1408" t="str">
        <f>VLOOKUP(D1408,'[2]product Table data'!$A$2:$B$12,2,FALSE)</f>
        <v>Female</v>
      </c>
      <c r="L1408" t="str">
        <f>VLOOKUP($D1408,'[2]product Table data'!$A$2:$G$12,L$1,FALSE)</f>
        <v>Casual n Light</v>
      </c>
      <c r="M1408" t="str">
        <f>VLOOKUP($D1408,'[2]product Table data'!$A$2:$G$12,M$1,FALSE)</f>
        <v>Guatemala</v>
      </c>
      <c r="N1408" t="str">
        <f>VLOOKUP($D1408,'[2]product Table data'!$A$2:$G$12,N$1,FALSE)</f>
        <v>Central America</v>
      </c>
      <c r="O1408">
        <f>VLOOKUP($D1408,'[2]product Table data'!$A$2:$G$12,O$1,FALSE)</f>
        <v>25</v>
      </c>
      <c r="P1408">
        <f>VLOOKUP($D1408,'[2]product Table data'!$A$2:$G$12,P$1,FALSE)</f>
        <v>30</v>
      </c>
      <c r="Q1408">
        <f t="shared" si="105"/>
        <v>5</v>
      </c>
      <c r="R1408" t="str">
        <f t="shared" si="106"/>
        <v>Hub Risk</v>
      </c>
      <c r="S1408" t="str">
        <f t="shared" si="107"/>
        <v>Style Risk</v>
      </c>
      <c r="T1408" t="str">
        <f t="shared" si="108"/>
        <v>Risk</v>
      </c>
      <c r="U1408" t="str">
        <f t="shared" si="109"/>
        <v>Low Value</v>
      </c>
    </row>
    <row r="1409" spans="1:21" hidden="1" x14ac:dyDescent="0.2">
      <c r="A1409" s="2">
        <v>1407</v>
      </c>
      <c r="B1409" s="2" t="s">
        <v>9</v>
      </c>
      <c r="C1409" s="2" t="s">
        <v>1958</v>
      </c>
      <c r="D1409" s="2" t="s">
        <v>566</v>
      </c>
      <c r="E1409" s="2">
        <v>80014</v>
      </c>
      <c r="F1409" s="2" t="s">
        <v>1959</v>
      </c>
      <c r="G1409" s="2" t="s">
        <v>13</v>
      </c>
      <c r="H1409" s="2">
        <v>1</v>
      </c>
      <c r="I1409" s="2" t="s">
        <v>39</v>
      </c>
      <c r="J1409" s="2" t="str">
        <f>VLOOKUP(E1409,[1]LL_Hub!$A$1:$B$13,2,FALSE)</f>
        <v>Denver</v>
      </c>
      <c r="K1409" t="str">
        <f>VLOOKUP(D1409,'[2]product Table data'!$A$2:$B$12,2,FALSE)</f>
        <v>Female</v>
      </c>
      <c r="L1409" t="str">
        <f>VLOOKUP($D1409,'[2]product Table data'!$A$2:$G$12,L$1,FALSE)</f>
        <v>Casual n Light</v>
      </c>
      <c r="M1409" t="str">
        <f>VLOOKUP($D1409,'[2]product Table data'!$A$2:$G$12,M$1,FALSE)</f>
        <v>Guatemala</v>
      </c>
      <c r="N1409" t="str">
        <f>VLOOKUP($D1409,'[2]product Table data'!$A$2:$G$12,N$1,FALSE)</f>
        <v>Central America</v>
      </c>
      <c r="O1409">
        <f>VLOOKUP($D1409,'[2]product Table data'!$A$2:$G$12,O$1,FALSE)</f>
        <v>25</v>
      </c>
      <c r="P1409">
        <f>VLOOKUP($D1409,'[2]product Table data'!$A$2:$G$12,P$1,FALSE)</f>
        <v>30</v>
      </c>
      <c r="Q1409">
        <f t="shared" si="105"/>
        <v>5</v>
      </c>
      <c r="R1409" t="str">
        <f t="shared" si="106"/>
        <v>Hub Risk</v>
      </c>
      <c r="S1409" t="str">
        <f t="shared" si="107"/>
        <v>Style Risk</v>
      </c>
      <c r="T1409" t="str">
        <f t="shared" si="108"/>
        <v>Risk</v>
      </c>
      <c r="U1409" t="str">
        <f t="shared" si="109"/>
        <v>Low Value</v>
      </c>
    </row>
    <row r="1410" spans="1:21" hidden="1" x14ac:dyDescent="0.2">
      <c r="A1410" s="2">
        <v>1408</v>
      </c>
      <c r="B1410" s="2" t="s">
        <v>9</v>
      </c>
      <c r="C1410" s="2" t="s">
        <v>1960</v>
      </c>
      <c r="D1410" s="2" t="s">
        <v>566</v>
      </c>
      <c r="E1410" s="2">
        <v>80014</v>
      </c>
      <c r="F1410" s="2" t="s">
        <v>1961</v>
      </c>
      <c r="G1410" s="2" t="s">
        <v>13</v>
      </c>
      <c r="H1410" s="2">
        <v>1</v>
      </c>
      <c r="I1410" s="2" t="s">
        <v>39</v>
      </c>
      <c r="J1410" s="2" t="str">
        <f>VLOOKUP(E1410,[1]LL_Hub!$A$1:$B$13,2,FALSE)</f>
        <v>Denver</v>
      </c>
      <c r="K1410" t="str">
        <f>VLOOKUP(D1410,'[2]product Table data'!$A$2:$B$12,2,FALSE)</f>
        <v>Female</v>
      </c>
      <c r="L1410" t="str">
        <f>VLOOKUP($D1410,'[2]product Table data'!$A$2:$G$12,L$1,FALSE)</f>
        <v>Casual n Light</v>
      </c>
      <c r="M1410" t="str">
        <f>VLOOKUP($D1410,'[2]product Table data'!$A$2:$G$12,M$1,FALSE)</f>
        <v>Guatemala</v>
      </c>
      <c r="N1410" t="str">
        <f>VLOOKUP($D1410,'[2]product Table data'!$A$2:$G$12,N$1,FALSE)</f>
        <v>Central America</v>
      </c>
      <c r="O1410">
        <f>VLOOKUP($D1410,'[2]product Table data'!$A$2:$G$12,O$1,FALSE)</f>
        <v>25</v>
      </c>
      <c r="P1410">
        <f>VLOOKUP($D1410,'[2]product Table data'!$A$2:$G$12,P$1,FALSE)</f>
        <v>30</v>
      </c>
      <c r="Q1410">
        <f t="shared" si="105"/>
        <v>5</v>
      </c>
      <c r="R1410" t="str">
        <f t="shared" si="106"/>
        <v>Hub Risk</v>
      </c>
      <c r="S1410" t="str">
        <f t="shared" si="107"/>
        <v>Style Risk</v>
      </c>
      <c r="T1410" t="str">
        <f t="shared" si="108"/>
        <v>Risk</v>
      </c>
      <c r="U1410" t="str">
        <f t="shared" si="109"/>
        <v>Low Value</v>
      </c>
    </row>
    <row r="1411" spans="1:21" hidden="1" x14ac:dyDescent="0.2">
      <c r="A1411" s="2">
        <v>1409</v>
      </c>
      <c r="B1411" s="2" t="s">
        <v>9</v>
      </c>
      <c r="C1411" s="2" t="s">
        <v>1962</v>
      </c>
      <c r="D1411" s="2" t="s">
        <v>566</v>
      </c>
      <c r="E1411" s="2">
        <v>80014</v>
      </c>
      <c r="F1411" s="2" t="s">
        <v>1963</v>
      </c>
      <c r="G1411" s="2" t="s">
        <v>13</v>
      </c>
      <c r="H1411" s="2">
        <v>1</v>
      </c>
      <c r="I1411" s="2" t="s">
        <v>39</v>
      </c>
      <c r="J1411" s="2" t="str">
        <f>VLOOKUP(E1411,[1]LL_Hub!$A$1:$B$13,2,FALSE)</f>
        <v>Denver</v>
      </c>
      <c r="K1411" t="str">
        <f>VLOOKUP(D1411,'[2]product Table data'!$A$2:$B$12,2,FALSE)</f>
        <v>Female</v>
      </c>
      <c r="L1411" t="str">
        <f>VLOOKUP($D1411,'[2]product Table data'!$A$2:$G$12,L$1,FALSE)</f>
        <v>Casual n Light</v>
      </c>
      <c r="M1411" t="str">
        <f>VLOOKUP($D1411,'[2]product Table data'!$A$2:$G$12,M$1,FALSE)</f>
        <v>Guatemala</v>
      </c>
      <c r="N1411" t="str">
        <f>VLOOKUP($D1411,'[2]product Table data'!$A$2:$G$12,N$1,FALSE)</f>
        <v>Central America</v>
      </c>
      <c r="O1411">
        <f>VLOOKUP($D1411,'[2]product Table data'!$A$2:$G$12,O$1,FALSE)</f>
        <v>25</v>
      </c>
      <c r="P1411">
        <f>VLOOKUP($D1411,'[2]product Table data'!$A$2:$G$12,P$1,FALSE)</f>
        <v>30</v>
      </c>
      <c r="Q1411">
        <f t="shared" ref="Q1411:Q1474" si="110">P1411-O1411</f>
        <v>5</v>
      </c>
      <c r="R1411" t="str">
        <f t="shared" ref="R1411:R1474" si="111">IF(OR(J1411="Los Angeles",J1411="Denver"),"Hub Risk","-")</f>
        <v>Hub Risk</v>
      </c>
      <c r="S1411" t="str">
        <f t="shared" ref="S1411:S1474" si="112">IF(OR(L1411="Casual n Light",L1411="Fancy Sheek"),"Style Risk","-")</f>
        <v>Style Risk</v>
      </c>
      <c r="T1411" t="str">
        <f t="shared" ref="T1411:T1474" si="113">IF(AND(R1411="Hub Risk", S1411="Style Risk"), "Risk", "-")</f>
        <v>Risk</v>
      </c>
      <c r="U1411" t="str">
        <f t="shared" ref="U1411:U1474" si="114">IF(Q1411&lt;=5, "Low Value", "High Value")</f>
        <v>Low Value</v>
      </c>
    </row>
    <row r="1412" spans="1:21" hidden="1" x14ac:dyDescent="0.2">
      <c r="A1412" s="2">
        <v>1410</v>
      </c>
      <c r="B1412" s="2" t="s">
        <v>9</v>
      </c>
      <c r="C1412" s="2" t="s">
        <v>1964</v>
      </c>
      <c r="D1412" s="2" t="s">
        <v>566</v>
      </c>
      <c r="E1412" s="2">
        <v>80014</v>
      </c>
      <c r="F1412" s="2" t="s">
        <v>1965</v>
      </c>
      <c r="G1412" s="2" t="s">
        <v>13</v>
      </c>
      <c r="H1412" s="2">
        <v>1</v>
      </c>
      <c r="I1412" s="2" t="s">
        <v>39</v>
      </c>
      <c r="J1412" s="2" t="str">
        <f>VLOOKUP(E1412,[1]LL_Hub!$A$1:$B$13,2,FALSE)</f>
        <v>Denver</v>
      </c>
      <c r="K1412" t="str">
        <f>VLOOKUP(D1412,'[2]product Table data'!$A$2:$B$12,2,FALSE)</f>
        <v>Female</v>
      </c>
      <c r="L1412" t="str">
        <f>VLOOKUP($D1412,'[2]product Table data'!$A$2:$G$12,L$1,FALSE)</f>
        <v>Casual n Light</v>
      </c>
      <c r="M1412" t="str">
        <f>VLOOKUP($D1412,'[2]product Table data'!$A$2:$G$12,M$1,FALSE)</f>
        <v>Guatemala</v>
      </c>
      <c r="N1412" t="str">
        <f>VLOOKUP($D1412,'[2]product Table data'!$A$2:$G$12,N$1,FALSE)</f>
        <v>Central America</v>
      </c>
      <c r="O1412">
        <f>VLOOKUP($D1412,'[2]product Table data'!$A$2:$G$12,O$1,FALSE)</f>
        <v>25</v>
      </c>
      <c r="P1412">
        <f>VLOOKUP($D1412,'[2]product Table data'!$A$2:$G$12,P$1,FALSE)</f>
        <v>30</v>
      </c>
      <c r="Q1412">
        <f t="shared" si="110"/>
        <v>5</v>
      </c>
      <c r="R1412" t="str">
        <f t="shared" si="111"/>
        <v>Hub Risk</v>
      </c>
      <c r="S1412" t="str">
        <f t="shared" si="112"/>
        <v>Style Risk</v>
      </c>
      <c r="T1412" t="str">
        <f t="shared" si="113"/>
        <v>Risk</v>
      </c>
      <c r="U1412" t="str">
        <f t="shared" si="114"/>
        <v>Low Value</v>
      </c>
    </row>
    <row r="1413" spans="1:21" hidden="1" x14ac:dyDescent="0.2">
      <c r="A1413" s="2">
        <v>1411</v>
      </c>
      <c r="B1413" s="2" t="s">
        <v>9</v>
      </c>
      <c r="C1413" s="2" t="s">
        <v>1966</v>
      </c>
      <c r="D1413" s="2" t="s">
        <v>566</v>
      </c>
      <c r="E1413" s="2">
        <v>80014</v>
      </c>
      <c r="F1413" s="2" t="s">
        <v>1967</v>
      </c>
      <c r="G1413" s="2" t="s">
        <v>13</v>
      </c>
      <c r="H1413" s="2">
        <v>1</v>
      </c>
      <c r="I1413" s="2" t="s">
        <v>39</v>
      </c>
      <c r="J1413" s="2" t="str">
        <f>VLOOKUP(E1413,[1]LL_Hub!$A$1:$B$13,2,FALSE)</f>
        <v>Denver</v>
      </c>
      <c r="K1413" t="str">
        <f>VLOOKUP(D1413,'[2]product Table data'!$A$2:$B$12,2,FALSE)</f>
        <v>Female</v>
      </c>
      <c r="L1413" t="str">
        <f>VLOOKUP($D1413,'[2]product Table data'!$A$2:$G$12,L$1,FALSE)</f>
        <v>Casual n Light</v>
      </c>
      <c r="M1413" t="str">
        <f>VLOOKUP($D1413,'[2]product Table data'!$A$2:$G$12,M$1,FALSE)</f>
        <v>Guatemala</v>
      </c>
      <c r="N1413" t="str">
        <f>VLOOKUP($D1413,'[2]product Table data'!$A$2:$G$12,N$1,FALSE)</f>
        <v>Central America</v>
      </c>
      <c r="O1413">
        <f>VLOOKUP($D1413,'[2]product Table data'!$A$2:$G$12,O$1,FALSE)</f>
        <v>25</v>
      </c>
      <c r="P1413">
        <f>VLOOKUP($D1413,'[2]product Table data'!$A$2:$G$12,P$1,FALSE)</f>
        <v>30</v>
      </c>
      <c r="Q1413">
        <f t="shared" si="110"/>
        <v>5</v>
      </c>
      <c r="R1413" t="str">
        <f t="shared" si="111"/>
        <v>Hub Risk</v>
      </c>
      <c r="S1413" t="str">
        <f t="shared" si="112"/>
        <v>Style Risk</v>
      </c>
      <c r="T1413" t="str">
        <f t="shared" si="113"/>
        <v>Risk</v>
      </c>
      <c r="U1413" t="str">
        <f t="shared" si="114"/>
        <v>Low Value</v>
      </c>
    </row>
    <row r="1414" spans="1:21" hidden="1" x14ac:dyDescent="0.2">
      <c r="A1414" s="2">
        <v>1412</v>
      </c>
      <c r="B1414" s="2" t="s">
        <v>9</v>
      </c>
      <c r="C1414" s="2" t="s">
        <v>1968</v>
      </c>
      <c r="D1414" s="2" t="s">
        <v>566</v>
      </c>
      <c r="E1414" s="2">
        <v>80014</v>
      </c>
      <c r="F1414" s="2" t="s">
        <v>1969</v>
      </c>
      <c r="G1414" s="2" t="s">
        <v>13</v>
      </c>
      <c r="H1414" s="2">
        <v>1</v>
      </c>
      <c r="I1414" s="2" t="s">
        <v>39</v>
      </c>
      <c r="J1414" s="2" t="str">
        <f>VLOOKUP(E1414,[1]LL_Hub!$A$1:$B$13,2,FALSE)</f>
        <v>Denver</v>
      </c>
      <c r="K1414" t="str">
        <f>VLOOKUP(D1414,'[2]product Table data'!$A$2:$B$12,2,FALSE)</f>
        <v>Female</v>
      </c>
      <c r="L1414" t="str">
        <f>VLOOKUP($D1414,'[2]product Table data'!$A$2:$G$12,L$1,FALSE)</f>
        <v>Casual n Light</v>
      </c>
      <c r="M1414" t="str">
        <f>VLOOKUP($D1414,'[2]product Table data'!$A$2:$G$12,M$1,FALSE)</f>
        <v>Guatemala</v>
      </c>
      <c r="N1414" t="str">
        <f>VLOOKUP($D1414,'[2]product Table data'!$A$2:$G$12,N$1,FALSE)</f>
        <v>Central America</v>
      </c>
      <c r="O1414">
        <f>VLOOKUP($D1414,'[2]product Table data'!$A$2:$G$12,O$1,FALSE)</f>
        <v>25</v>
      </c>
      <c r="P1414">
        <f>VLOOKUP($D1414,'[2]product Table data'!$A$2:$G$12,P$1,FALSE)</f>
        <v>30</v>
      </c>
      <c r="Q1414">
        <f t="shared" si="110"/>
        <v>5</v>
      </c>
      <c r="R1414" t="str">
        <f t="shared" si="111"/>
        <v>Hub Risk</v>
      </c>
      <c r="S1414" t="str">
        <f t="shared" si="112"/>
        <v>Style Risk</v>
      </c>
      <c r="T1414" t="str">
        <f t="shared" si="113"/>
        <v>Risk</v>
      </c>
      <c r="U1414" t="str">
        <f t="shared" si="114"/>
        <v>Low Value</v>
      </c>
    </row>
    <row r="1415" spans="1:21" hidden="1" x14ac:dyDescent="0.2">
      <c r="A1415" s="2">
        <v>1413</v>
      </c>
      <c r="B1415" s="2" t="s">
        <v>9</v>
      </c>
      <c r="C1415" s="2" t="s">
        <v>1970</v>
      </c>
      <c r="D1415" s="2" t="s">
        <v>566</v>
      </c>
      <c r="E1415" s="2">
        <v>80014</v>
      </c>
      <c r="F1415" s="2" t="s">
        <v>1971</v>
      </c>
      <c r="G1415" s="2" t="s">
        <v>13</v>
      </c>
      <c r="H1415" s="2">
        <v>1</v>
      </c>
      <c r="I1415" s="2" t="s">
        <v>39</v>
      </c>
      <c r="J1415" s="2" t="str">
        <f>VLOOKUP(E1415,[1]LL_Hub!$A$1:$B$13,2,FALSE)</f>
        <v>Denver</v>
      </c>
      <c r="K1415" t="str">
        <f>VLOOKUP(D1415,'[2]product Table data'!$A$2:$B$12,2,FALSE)</f>
        <v>Female</v>
      </c>
      <c r="L1415" t="str">
        <f>VLOOKUP($D1415,'[2]product Table data'!$A$2:$G$12,L$1,FALSE)</f>
        <v>Casual n Light</v>
      </c>
      <c r="M1415" t="str">
        <f>VLOOKUP($D1415,'[2]product Table data'!$A$2:$G$12,M$1,FALSE)</f>
        <v>Guatemala</v>
      </c>
      <c r="N1415" t="str">
        <f>VLOOKUP($D1415,'[2]product Table data'!$A$2:$G$12,N$1,FALSE)</f>
        <v>Central America</v>
      </c>
      <c r="O1415">
        <f>VLOOKUP($D1415,'[2]product Table data'!$A$2:$G$12,O$1,FALSE)</f>
        <v>25</v>
      </c>
      <c r="P1415">
        <f>VLOOKUP($D1415,'[2]product Table data'!$A$2:$G$12,P$1,FALSE)</f>
        <v>30</v>
      </c>
      <c r="Q1415">
        <f t="shared" si="110"/>
        <v>5</v>
      </c>
      <c r="R1415" t="str">
        <f t="shared" si="111"/>
        <v>Hub Risk</v>
      </c>
      <c r="S1415" t="str">
        <f t="shared" si="112"/>
        <v>Style Risk</v>
      </c>
      <c r="T1415" t="str">
        <f t="shared" si="113"/>
        <v>Risk</v>
      </c>
      <c r="U1415" t="str">
        <f t="shared" si="114"/>
        <v>Low Value</v>
      </c>
    </row>
    <row r="1416" spans="1:21" hidden="1" x14ac:dyDescent="0.2">
      <c r="A1416" s="2">
        <v>1414</v>
      </c>
      <c r="B1416" s="2" t="s">
        <v>9</v>
      </c>
      <c r="C1416" s="2" t="s">
        <v>1972</v>
      </c>
      <c r="D1416" s="2" t="s">
        <v>566</v>
      </c>
      <c r="E1416" s="2">
        <v>80014</v>
      </c>
      <c r="F1416" s="2" t="s">
        <v>1973</v>
      </c>
      <c r="G1416" s="2" t="s">
        <v>13</v>
      </c>
      <c r="H1416" s="2">
        <v>1</v>
      </c>
      <c r="I1416" s="2" t="s">
        <v>39</v>
      </c>
      <c r="J1416" s="2" t="str">
        <f>VLOOKUP(E1416,[1]LL_Hub!$A$1:$B$13,2,FALSE)</f>
        <v>Denver</v>
      </c>
      <c r="K1416" t="str">
        <f>VLOOKUP(D1416,'[2]product Table data'!$A$2:$B$12,2,FALSE)</f>
        <v>Female</v>
      </c>
      <c r="L1416" t="str">
        <f>VLOOKUP($D1416,'[2]product Table data'!$A$2:$G$12,L$1,FALSE)</f>
        <v>Casual n Light</v>
      </c>
      <c r="M1416" t="str">
        <f>VLOOKUP($D1416,'[2]product Table data'!$A$2:$G$12,M$1,FALSE)</f>
        <v>Guatemala</v>
      </c>
      <c r="N1416" t="str">
        <f>VLOOKUP($D1416,'[2]product Table data'!$A$2:$G$12,N$1,FALSE)</f>
        <v>Central America</v>
      </c>
      <c r="O1416">
        <f>VLOOKUP($D1416,'[2]product Table data'!$A$2:$G$12,O$1,FALSE)</f>
        <v>25</v>
      </c>
      <c r="P1416">
        <f>VLOOKUP($D1416,'[2]product Table data'!$A$2:$G$12,P$1,FALSE)</f>
        <v>30</v>
      </c>
      <c r="Q1416">
        <f t="shared" si="110"/>
        <v>5</v>
      </c>
      <c r="R1416" t="str">
        <f t="shared" si="111"/>
        <v>Hub Risk</v>
      </c>
      <c r="S1416" t="str">
        <f t="shared" si="112"/>
        <v>Style Risk</v>
      </c>
      <c r="T1416" t="str">
        <f t="shared" si="113"/>
        <v>Risk</v>
      </c>
      <c r="U1416" t="str">
        <f t="shared" si="114"/>
        <v>Low Value</v>
      </c>
    </row>
    <row r="1417" spans="1:21" hidden="1" x14ac:dyDescent="0.2">
      <c r="A1417" s="2">
        <v>1415</v>
      </c>
      <c r="B1417" s="2" t="s">
        <v>9</v>
      </c>
      <c r="C1417" s="2" t="s">
        <v>1974</v>
      </c>
      <c r="D1417" s="2" t="s">
        <v>566</v>
      </c>
      <c r="E1417" s="2">
        <v>80014</v>
      </c>
      <c r="F1417" s="2" t="s">
        <v>1975</v>
      </c>
      <c r="G1417" s="2" t="s">
        <v>13</v>
      </c>
      <c r="H1417" s="2">
        <v>1</v>
      </c>
      <c r="I1417" s="2" t="s">
        <v>39</v>
      </c>
      <c r="J1417" s="2" t="str">
        <f>VLOOKUP(E1417,[1]LL_Hub!$A$1:$B$13,2,FALSE)</f>
        <v>Denver</v>
      </c>
      <c r="K1417" t="str">
        <f>VLOOKUP(D1417,'[2]product Table data'!$A$2:$B$12,2,FALSE)</f>
        <v>Female</v>
      </c>
      <c r="L1417" t="str">
        <f>VLOOKUP($D1417,'[2]product Table data'!$A$2:$G$12,L$1,FALSE)</f>
        <v>Casual n Light</v>
      </c>
      <c r="M1417" t="str">
        <f>VLOOKUP($D1417,'[2]product Table data'!$A$2:$G$12,M$1,FALSE)</f>
        <v>Guatemala</v>
      </c>
      <c r="N1417" t="str">
        <f>VLOOKUP($D1417,'[2]product Table data'!$A$2:$G$12,N$1,FALSE)</f>
        <v>Central America</v>
      </c>
      <c r="O1417">
        <f>VLOOKUP($D1417,'[2]product Table data'!$A$2:$G$12,O$1,FALSE)</f>
        <v>25</v>
      </c>
      <c r="P1417">
        <f>VLOOKUP($D1417,'[2]product Table data'!$A$2:$G$12,P$1,FALSE)</f>
        <v>30</v>
      </c>
      <c r="Q1417">
        <f t="shared" si="110"/>
        <v>5</v>
      </c>
      <c r="R1417" t="str">
        <f t="shared" si="111"/>
        <v>Hub Risk</v>
      </c>
      <c r="S1417" t="str">
        <f t="shared" si="112"/>
        <v>Style Risk</v>
      </c>
      <c r="T1417" t="str">
        <f t="shared" si="113"/>
        <v>Risk</v>
      </c>
      <c r="U1417" t="str">
        <f t="shared" si="114"/>
        <v>Low Value</v>
      </c>
    </row>
    <row r="1418" spans="1:21" hidden="1" x14ac:dyDescent="0.2">
      <c r="A1418" s="2">
        <v>1416</v>
      </c>
      <c r="B1418" s="2" t="s">
        <v>9</v>
      </c>
      <c r="C1418" s="2" t="s">
        <v>1976</v>
      </c>
      <c r="D1418" s="2" t="s">
        <v>566</v>
      </c>
      <c r="E1418" s="2">
        <v>80014</v>
      </c>
      <c r="F1418" s="2" t="s">
        <v>1977</v>
      </c>
      <c r="G1418" s="2" t="s">
        <v>13</v>
      </c>
      <c r="H1418" s="2">
        <v>1</v>
      </c>
      <c r="I1418" s="2" t="s">
        <v>39</v>
      </c>
      <c r="J1418" s="2" t="str">
        <f>VLOOKUP(E1418,[1]LL_Hub!$A$1:$B$13,2,FALSE)</f>
        <v>Denver</v>
      </c>
      <c r="K1418" t="str">
        <f>VLOOKUP(D1418,'[2]product Table data'!$A$2:$B$12,2,FALSE)</f>
        <v>Female</v>
      </c>
      <c r="L1418" t="str">
        <f>VLOOKUP($D1418,'[2]product Table data'!$A$2:$G$12,L$1,FALSE)</f>
        <v>Casual n Light</v>
      </c>
      <c r="M1418" t="str">
        <f>VLOOKUP($D1418,'[2]product Table data'!$A$2:$G$12,M$1,FALSE)</f>
        <v>Guatemala</v>
      </c>
      <c r="N1418" t="str">
        <f>VLOOKUP($D1418,'[2]product Table data'!$A$2:$G$12,N$1,FALSE)</f>
        <v>Central America</v>
      </c>
      <c r="O1418">
        <f>VLOOKUP($D1418,'[2]product Table data'!$A$2:$G$12,O$1,FALSE)</f>
        <v>25</v>
      </c>
      <c r="P1418">
        <f>VLOOKUP($D1418,'[2]product Table data'!$A$2:$G$12,P$1,FALSE)</f>
        <v>30</v>
      </c>
      <c r="Q1418">
        <f t="shared" si="110"/>
        <v>5</v>
      </c>
      <c r="R1418" t="str">
        <f t="shared" si="111"/>
        <v>Hub Risk</v>
      </c>
      <c r="S1418" t="str">
        <f t="shared" si="112"/>
        <v>Style Risk</v>
      </c>
      <c r="T1418" t="str">
        <f t="shared" si="113"/>
        <v>Risk</v>
      </c>
      <c r="U1418" t="str">
        <f t="shared" si="114"/>
        <v>Low Value</v>
      </c>
    </row>
    <row r="1419" spans="1:21" hidden="1" x14ac:dyDescent="0.2">
      <c r="A1419" s="2">
        <v>1417</v>
      </c>
      <c r="B1419" s="2" t="s">
        <v>9</v>
      </c>
      <c r="C1419" s="2" t="s">
        <v>1978</v>
      </c>
      <c r="D1419" s="2" t="s">
        <v>566</v>
      </c>
      <c r="E1419" s="2">
        <v>80014</v>
      </c>
      <c r="F1419" s="2" t="s">
        <v>1979</v>
      </c>
      <c r="G1419" s="2" t="s">
        <v>13</v>
      </c>
      <c r="H1419" s="2">
        <v>1</v>
      </c>
      <c r="I1419" s="2" t="s">
        <v>39</v>
      </c>
      <c r="J1419" s="2" t="str">
        <f>VLOOKUP(E1419,[1]LL_Hub!$A$1:$B$13,2,FALSE)</f>
        <v>Denver</v>
      </c>
      <c r="K1419" t="str">
        <f>VLOOKUP(D1419,'[2]product Table data'!$A$2:$B$12,2,FALSE)</f>
        <v>Female</v>
      </c>
      <c r="L1419" t="str">
        <f>VLOOKUP($D1419,'[2]product Table data'!$A$2:$G$12,L$1,FALSE)</f>
        <v>Casual n Light</v>
      </c>
      <c r="M1419" t="str">
        <f>VLOOKUP($D1419,'[2]product Table data'!$A$2:$G$12,M$1,FALSE)</f>
        <v>Guatemala</v>
      </c>
      <c r="N1419" t="str">
        <f>VLOOKUP($D1419,'[2]product Table data'!$A$2:$G$12,N$1,FALSE)</f>
        <v>Central America</v>
      </c>
      <c r="O1419">
        <f>VLOOKUP($D1419,'[2]product Table data'!$A$2:$G$12,O$1,FALSE)</f>
        <v>25</v>
      </c>
      <c r="P1419">
        <f>VLOOKUP($D1419,'[2]product Table data'!$A$2:$G$12,P$1,FALSE)</f>
        <v>30</v>
      </c>
      <c r="Q1419">
        <f t="shared" si="110"/>
        <v>5</v>
      </c>
      <c r="R1419" t="str">
        <f t="shared" si="111"/>
        <v>Hub Risk</v>
      </c>
      <c r="S1419" t="str">
        <f t="shared" si="112"/>
        <v>Style Risk</v>
      </c>
      <c r="T1419" t="str">
        <f t="shared" si="113"/>
        <v>Risk</v>
      </c>
      <c r="U1419" t="str">
        <f t="shared" si="114"/>
        <v>Low Value</v>
      </c>
    </row>
    <row r="1420" spans="1:21" hidden="1" x14ac:dyDescent="0.2">
      <c r="A1420" s="2">
        <v>1418</v>
      </c>
      <c r="B1420" s="2" t="s">
        <v>9</v>
      </c>
      <c r="C1420" s="2" t="s">
        <v>1980</v>
      </c>
      <c r="D1420" s="2" t="s">
        <v>566</v>
      </c>
      <c r="E1420" s="2">
        <v>80014</v>
      </c>
      <c r="F1420" s="2" t="s">
        <v>1981</v>
      </c>
      <c r="G1420" s="2" t="s">
        <v>13</v>
      </c>
      <c r="H1420" s="2">
        <v>1</v>
      </c>
      <c r="I1420" s="2" t="s">
        <v>39</v>
      </c>
      <c r="J1420" s="2" t="str">
        <f>VLOOKUP(E1420,[1]LL_Hub!$A$1:$B$13,2,FALSE)</f>
        <v>Denver</v>
      </c>
      <c r="K1420" t="str">
        <f>VLOOKUP(D1420,'[2]product Table data'!$A$2:$B$12,2,FALSE)</f>
        <v>Female</v>
      </c>
      <c r="L1420" t="str">
        <f>VLOOKUP($D1420,'[2]product Table data'!$A$2:$G$12,L$1,FALSE)</f>
        <v>Casual n Light</v>
      </c>
      <c r="M1420" t="str">
        <f>VLOOKUP($D1420,'[2]product Table data'!$A$2:$G$12,M$1,FALSE)</f>
        <v>Guatemala</v>
      </c>
      <c r="N1420" t="str">
        <f>VLOOKUP($D1420,'[2]product Table data'!$A$2:$G$12,N$1,FALSE)</f>
        <v>Central America</v>
      </c>
      <c r="O1420">
        <f>VLOOKUP($D1420,'[2]product Table data'!$A$2:$G$12,O$1,FALSE)</f>
        <v>25</v>
      </c>
      <c r="P1420">
        <f>VLOOKUP($D1420,'[2]product Table data'!$A$2:$G$12,P$1,FALSE)</f>
        <v>30</v>
      </c>
      <c r="Q1420">
        <f t="shared" si="110"/>
        <v>5</v>
      </c>
      <c r="R1420" t="str">
        <f t="shared" si="111"/>
        <v>Hub Risk</v>
      </c>
      <c r="S1420" t="str">
        <f t="shared" si="112"/>
        <v>Style Risk</v>
      </c>
      <c r="T1420" t="str">
        <f t="shared" si="113"/>
        <v>Risk</v>
      </c>
      <c r="U1420" t="str">
        <f t="shared" si="114"/>
        <v>Low Value</v>
      </c>
    </row>
    <row r="1421" spans="1:21" hidden="1" x14ac:dyDescent="0.2">
      <c r="A1421" s="2">
        <v>1419</v>
      </c>
      <c r="B1421" s="2" t="s">
        <v>9</v>
      </c>
      <c r="C1421" s="2" t="s">
        <v>1982</v>
      </c>
      <c r="D1421" s="2" t="s">
        <v>566</v>
      </c>
      <c r="E1421" s="2">
        <v>80014</v>
      </c>
      <c r="F1421" s="2" t="s">
        <v>1983</v>
      </c>
      <c r="G1421" s="2" t="s">
        <v>13</v>
      </c>
      <c r="H1421" s="2">
        <v>1</v>
      </c>
      <c r="I1421" s="2" t="s">
        <v>39</v>
      </c>
      <c r="J1421" s="2" t="str">
        <f>VLOOKUP(E1421,[1]LL_Hub!$A$1:$B$13,2,FALSE)</f>
        <v>Denver</v>
      </c>
      <c r="K1421" t="str">
        <f>VLOOKUP(D1421,'[2]product Table data'!$A$2:$B$12,2,FALSE)</f>
        <v>Female</v>
      </c>
      <c r="L1421" t="str">
        <f>VLOOKUP($D1421,'[2]product Table data'!$A$2:$G$12,L$1,FALSE)</f>
        <v>Casual n Light</v>
      </c>
      <c r="M1421" t="str">
        <f>VLOOKUP($D1421,'[2]product Table data'!$A$2:$G$12,M$1,FALSE)</f>
        <v>Guatemala</v>
      </c>
      <c r="N1421" t="str">
        <f>VLOOKUP($D1421,'[2]product Table data'!$A$2:$G$12,N$1,FALSE)</f>
        <v>Central America</v>
      </c>
      <c r="O1421">
        <f>VLOOKUP($D1421,'[2]product Table data'!$A$2:$G$12,O$1,FALSE)</f>
        <v>25</v>
      </c>
      <c r="P1421">
        <f>VLOOKUP($D1421,'[2]product Table data'!$A$2:$G$12,P$1,FALSE)</f>
        <v>30</v>
      </c>
      <c r="Q1421">
        <f t="shared" si="110"/>
        <v>5</v>
      </c>
      <c r="R1421" t="str">
        <f t="shared" si="111"/>
        <v>Hub Risk</v>
      </c>
      <c r="S1421" t="str">
        <f t="shared" si="112"/>
        <v>Style Risk</v>
      </c>
      <c r="T1421" t="str">
        <f t="shared" si="113"/>
        <v>Risk</v>
      </c>
      <c r="U1421" t="str">
        <f t="shared" si="114"/>
        <v>Low Value</v>
      </c>
    </row>
    <row r="1422" spans="1:21" hidden="1" x14ac:dyDescent="0.2">
      <c r="A1422" s="2">
        <v>1420</v>
      </c>
      <c r="B1422" s="2" t="s">
        <v>9</v>
      </c>
      <c r="C1422" s="2" t="s">
        <v>1984</v>
      </c>
      <c r="D1422" s="2" t="s">
        <v>566</v>
      </c>
      <c r="E1422" s="2">
        <v>80014</v>
      </c>
      <c r="F1422" s="2" t="s">
        <v>1985</v>
      </c>
      <c r="G1422" s="2" t="s">
        <v>13</v>
      </c>
      <c r="H1422" s="2">
        <v>1</v>
      </c>
      <c r="I1422" s="2" t="s">
        <v>39</v>
      </c>
      <c r="J1422" s="2" t="str">
        <f>VLOOKUP(E1422,[1]LL_Hub!$A$1:$B$13,2,FALSE)</f>
        <v>Denver</v>
      </c>
      <c r="K1422" t="str">
        <f>VLOOKUP(D1422,'[2]product Table data'!$A$2:$B$12,2,FALSE)</f>
        <v>Female</v>
      </c>
      <c r="L1422" t="str">
        <f>VLOOKUP($D1422,'[2]product Table data'!$A$2:$G$12,L$1,FALSE)</f>
        <v>Casual n Light</v>
      </c>
      <c r="M1422" t="str">
        <f>VLOOKUP($D1422,'[2]product Table data'!$A$2:$G$12,M$1,FALSE)</f>
        <v>Guatemala</v>
      </c>
      <c r="N1422" t="str">
        <f>VLOOKUP($D1422,'[2]product Table data'!$A$2:$G$12,N$1,FALSE)</f>
        <v>Central America</v>
      </c>
      <c r="O1422">
        <f>VLOOKUP($D1422,'[2]product Table data'!$A$2:$G$12,O$1,FALSE)</f>
        <v>25</v>
      </c>
      <c r="P1422">
        <f>VLOOKUP($D1422,'[2]product Table data'!$A$2:$G$12,P$1,FALSE)</f>
        <v>30</v>
      </c>
      <c r="Q1422">
        <f t="shared" si="110"/>
        <v>5</v>
      </c>
      <c r="R1422" t="str">
        <f t="shared" si="111"/>
        <v>Hub Risk</v>
      </c>
      <c r="S1422" t="str">
        <f t="shared" si="112"/>
        <v>Style Risk</v>
      </c>
      <c r="T1422" t="str">
        <f t="shared" si="113"/>
        <v>Risk</v>
      </c>
      <c r="U1422" t="str">
        <f t="shared" si="114"/>
        <v>Low Value</v>
      </c>
    </row>
    <row r="1423" spans="1:21" hidden="1" x14ac:dyDescent="0.2">
      <c r="A1423" s="2">
        <v>1421</v>
      </c>
      <c r="B1423" s="2" t="s">
        <v>9</v>
      </c>
      <c r="C1423" s="2" t="s">
        <v>1986</v>
      </c>
      <c r="D1423" s="2" t="s">
        <v>566</v>
      </c>
      <c r="E1423" s="2">
        <v>80014</v>
      </c>
      <c r="F1423" s="2" t="s">
        <v>1987</v>
      </c>
      <c r="G1423" s="2" t="s">
        <v>13</v>
      </c>
      <c r="H1423" s="2">
        <v>1</v>
      </c>
      <c r="I1423" s="2" t="s">
        <v>39</v>
      </c>
      <c r="J1423" s="2" t="str">
        <f>VLOOKUP(E1423,[1]LL_Hub!$A$1:$B$13,2,FALSE)</f>
        <v>Denver</v>
      </c>
      <c r="K1423" t="str">
        <f>VLOOKUP(D1423,'[2]product Table data'!$A$2:$B$12,2,FALSE)</f>
        <v>Female</v>
      </c>
      <c r="L1423" t="str">
        <f>VLOOKUP($D1423,'[2]product Table data'!$A$2:$G$12,L$1,FALSE)</f>
        <v>Casual n Light</v>
      </c>
      <c r="M1423" t="str">
        <f>VLOOKUP($D1423,'[2]product Table data'!$A$2:$G$12,M$1,FALSE)</f>
        <v>Guatemala</v>
      </c>
      <c r="N1423" t="str">
        <f>VLOOKUP($D1423,'[2]product Table data'!$A$2:$G$12,N$1,FALSE)</f>
        <v>Central America</v>
      </c>
      <c r="O1423">
        <f>VLOOKUP($D1423,'[2]product Table data'!$A$2:$G$12,O$1,FALSE)</f>
        <v>25</v>
      </c>
      <c r="P1423">
        <f>VLOOKUP($D1423,'[2]product Table data'!$A$2:$G$12,P$1,FALSE)</f>
        <v>30</v>
      </c>
      <c r="Q1423">
        <f t="shared" si="110"/>
        <v>5</v>
      </c>
      <c r="R1423" t="str">
        <f t="shared" si="111"/>
        <v>Hub Risk</v>
      </c>
      <c r="S1423" t="str">
        <f t="shared" si="112"/>
        <v>Style Risk</v>
      </c>
      <c r="T1423" t="str">
        <f t="shared" si="113"/>
        <v>Risk</v>
      </c>
      <c r="U1423" t="str">
        <f t="shared" si="114"/>
        <v>Low Value</v>
      </c>
    </row>
    <row r="1424" spans="1:21" hidden="1" x14ac:dyDescent="0.2">
      <c r="A1424" s="2">
        <v>1422</v>
      </c>
      <c r="B1424" s="2" t="s">
        <v>9</v>
      </c>
      <c r="C1424" s="2" t="s">
        <v>1988</v>
      </c>
      <c r="D1424" s="2" t="s">
        <v>566</v>
      </c>
      <c r="E1424" s="2">
        <v>80014</v>
      </c>
      <c r="F1424" s="2" t="s">
        <v>1989</v>
      </c>
      <c r="G1424" s="2" t="s">
        <v>13</v>
      </c>
      <c r="H1424" s="2">
        <v>1</v>
      </c>
      <c r="I1424" s="2" t="s">
        <v>39</v>
      </c>
      <c r="J1424" s="2" t="str">
        <f>VLOOKUP(E1424,[1]LL_Hub!$A$1:$B$13,2,FALSE)</f>
        <v>Denver</v>
      </c>
      <c r="K1424" t="str">
        <f>VLOOKUP(D1424,'[2]product Table data'!$A$2:$B$12,2,FALSE)</f>
        <v>Female</v>
      </c>
      <c r="L1424" t="str">
        <f>VLOOKUP($D1424,'[2]product Table data'!$A$2:$G$12,L$1,FALSE)</f>
        <v>Casual n Light</v>
      </c>
      <c r="M1424" t="str">
        <f>VLOOKUP($D1424,'[2]product Table data'!$A$2:$G$12,M$1,FALSE)</f>
        <v>Guatemala</v>
      </c>
      <c r="N1424" t="str">
        <f>VLOOKUP($D1424,'[2]product Table data'!$A$2:$G$12,N$1,FALSE)</f>
        <v>Central America</v>
      </c>
      <c r="O1424">
        <f>VLOOKUP($D1424,'[2]product Table data'!$A$2:$G$12,O$1,FALSE)</f>
        <v>25</v>
      </c>
      <c r="P1424">
        <f>VLOOKUP($D1424,'[2]product Table data'!$A$2:$G$12,P$1,FALSE)</f>
        <v>30</v>
      </c>
      <c r="Q1424">
        <f t="shared" si="110"/>
        <v>5</v>
      </c>
      <c r="R1424" t="str">
        <f t="shared" si="111"/>
        <v>Hub Risk</v>
      </c>
      <c r="S1424" t="str">
        <f t="shared" si="112"/>
        <v>Style Risk</v>
      </c>
      <c r="T1424" t="str">
        <f t="shared" si="113"/>
        <v>Risk</v>
      </c>
      <c r="U1424" t="str">
        <f t="shared" si="114"/>
        <v>Low Value</v>
      </c>
    </row>
    <row r="1425" spans="1:21" hidden="1" x14ac:dyDescent="0.2">
      <c r="A1425" s="2">
        <v>1423</v>
      </c>
      <c r="B1425" s="2" t="s">
        <v>9</v>
      </c>
      <c r="C1425" s="2" t="s">
        <v>1990</v>
      </c>
      <c r="D1425" s="2" t="s">
        <v>566</v>
      </c>
      <c r="E1425" s="2">
        <v>80014</v>
      </c>
      <c r="F1425" s="2" t="s">
        <v>1991</v>
      </c>
      <c r="G1425" s="2" t="s">
        <v>13</v>
      </c>
      <c r="H1425" s="2">
        <v>1</v>
      </c>
      <c r="I1425" s="2" t="s">
        <v>39</v>
      </c>
      <c r="J1425" s="2" t="str">
        <f>VLOOKUP(E1425,[1]LL_Hub!$A$1:$B$13,2,FALSE)</f>
        <v>Denver</v>
      </c>
      <c r="K1425" t="str">
        <f>VLOOKUP(D1425,'[2]product Table data'!$A$2:$B$12,2,FALSE)</f>
        <v>Female</v>
      </c>
      <c r="L1425" t="str">
        <f>VLOOKUP($D1425,'[2]product Table data'!$A$2:$G$12,L$1,FALSE)</f>
        <v>Casual n Light</v>
      </c>
      <c r="M1425" t="str">
        <f>VLOOKUP($D1425,'[2]product Table data'!$A$2:$G$12,M$1,FALSE)</f>
        <v>Guatemala</v>
      </c>
      <c r="N1425" t="str">
        <f>VLOOKUP($D1425,'[2]product Table data'!$A$2:$G$12,N$1,FALSE)</f>
        <v>Central America</v>
      </c>
      <c r="O1425">
        <f>VLOOKUP($D1425,'[2]product Table data'!$A$2:$G$12,O$1,FALSE)</f>
        <v>25</v>
      </c>
      <c r="P1425">
        <f>VLOOKUP($D1425,'[2]product Table data'!$A$2:$G$12,P$1,FALSE)</f>
        <v>30</v>
      </c>
      <c r="Q1425">
        <f t="shared" si="110"/>
        <v>5</v>
      </c>
      <c r="R1425" t="str">
        <f t="shared" si="111"/>
        <v>Hub Risk</v>
      </c>
      <c r="S1425" t="str">
        <f t="shared" si="112"/>
        <v>Style Risk</v>
      </c>
      <c r="T1425" t="str">
        <f t="shared" si="113"/>
        <v>Risk</v>
      </c>
      <c r="U1425" t="str">
        <f t="shared" si="114"/>
        <v>Low Value</v>
      </c>
    </row>
    <row r="1426" spans="1:21" hidden="1" x14ac:dyDescent="0.2">
      <c r="A1426" s="2">
        <v>1424</v>
      </c>
      <c r="B1426" s="2" t="s">
        <v>9</v>
      </c>
      <c r="C1426" s="2" t="s">
        <v>1992</v>
      </c>
      <c r="D1426" s="2" t="s">
        <v>566</v>
      </c>
      <c r="E1426" s="2">
        <v>80014</v>
      </c>
      <c r="F1426" s="2" t="s">
        <v>1993</v>
      </c>
      <c r="G1426" s="2" t="s">
        <v>13</v>
      </c>
      <c r="H1426" s="2">
        <v>1</v>
      </c>
      <c r="I1426" s="2" t="s">
        <v>39</v>
      </c>
      <c r="J1426" s="2" t="str">
        <f>VLOOKUP(E1426,[1]LL_Hub!$A$1:$B$13,2,FALSE)</f>
        <v>Denver</v>
      </c>
      <c r="K1426" t="str">
        <f>VLOOKUP(D1426,'[2]product Table data'!$A$2:$B$12,2,FALSE)</f>
        <v>Female</v>
      </c>
      <c r="L1426" t="str">
        <f>VLOOKUP($D1426,'[2]product Table data'!$A$2:$G$12,L$1,FALSE)</f>
        <v>Casual n Light</v>
      </c>
      <c r="M1426" t="str">
        <f>VLOOKUP($D1426,'[2]product Table data'!$A$2:$G$12,M$1,FALSE)</f>
        <v>Guatemala</v>
      </c>
      <c r="N1426" t="str">
        <f>VLOOKUP($D1426,'[2]product Table data'!$A$2:$G$12,N$1,FALSE)</f>
        <v>Central America</v>
      </c>
      <c r="O1426">
        <f>VLOOKUP($D1426,'[2]product Table data'!$A$2:$G$12,O$1,FALSE)</f>
        <v>25</v>
      </c>
      <c r="P1426">
        <f>VLOOKUP($D1426,'[2]product Table data'!$A$2:$G$12,P$1,FALSE)</f>
        <v>30</v>
      </c>
      <c r="Q1426">
        <f t="shared" si="110"/>
        <v>5</v>
      </c>
      <c r="R1426" t="str">
        <f t="shared" si="111"/>
        <v>Hub Risk</v>
      </c>
      <c r="S1426" t="str">
        <f t="shared" si="112"/>
        <v>Style Risk</v>
      </c>
      <c r="T1426" t="str">
        <f t="shared" si="113"/>
        <v>Risk</v>
      </c>
      <c r="U1426" t="str">
        <f t="shared" si="114"/>
        <v>Low Value</v>
      </c>
    </row>
    <row r="1427" spans="1:21" hidden="1" x14ac:dyDescent="0.2">
      <c r="A1427" s="2">
        <v>1425</v>
      </c>
      <c r="B1427" s="2" t="s">
        <v>9</v>
      </c>
      <c r="C1427" s="2" t="s">
        <v>1994</v>
      </c>
      <c r="D1427" s="2" t="s">
        <v>566</v>
      </c>
      <c r="E1427" s="2">
        <v>80014</v>
      </c>
      <c r="F1427" s="2" t="s">
        <v>1995</v>
      </c>
      <c r="G1427" s="2" t="s">
        <v>13</v>
      </c>
      <c r="H1427" s="2">
        <v>1</v>
      </c>
      <c r="I1427" s="2" t="s">
        <v>39</v>
      </c>
      <c r="J1427" s="2" t="str">
        <f>VLOOKUP(E1427,[1]LL_Hub!$A$1:$B$13,2,FALSE)</f>
        <v>Denver</v>
      </c>
      <c r="K1427" t="str">
        <f>VLOOKUP(D1427,'[2]product Table data'!$A$2:$B$12,2,FALSE)</f>
        <v>Female</v>
      </c>
      <c r="L1427" t="str">
        <f>VLOOKUP($D1427,'[2]product Table data'!$A$2:$G$12,L$1,FALSE)</f>
        <v>Casual n Light</v>
      </c>
      <c r="M1427" t="str">
        <f>VLOOKUP($D1427,'[2]product Table data'!$A$2:$G$12,M$1,FALSE)</f>
        <v>Guatemala</v>
      </c>
      <c r="N1427" t="str">
        <f>VLOOKUP($D1427,'[2]product Table data'!$A$2:$G$12,N$1,FALSE)</f>
        <v>Central America</v>
      </c>
      <c r="O1427">
        <f>VLOOKUP($D1427,'[2]product Table data'!$A$2:$G$12,O$1,FALSE)</f>
        <v>25</v>
      </c>
      <c r="P1427">
        <f>VLOOKUP($D1427,'[2]product Table data'!$A$2:$G$12,P$1,FALSE)</f>
        <v>30</v>
      </c>
      <c r="Q1427">
        <f t="shared" si="110"/>
        <v>5</v>
      </c>
      <c r="R1427" t="str">
        <f t="shared" si="111"/>
        <v>Hub Risk</v>
      </c>
      <c r="S1427" t="str">
        <f t="shared" si="112"/>
        <v>Style Risk</v>
      </c>
      <c r="T1427" t="str">
        <f t="shared" si="113"/>
        <v>Risk</v>
      </c>
      <c r="U1427" t="str">
        <f t="shared" si="114"/>
        <v>Low Value</v>
      </c>
    </row>
    <row r="1428" spans="1:21" hidden="1" x14ac:dyDescent="0.2">
      <c r="A1428" s="2">
        <v>1426</v>
      </c>
      <c r="B1428" s="2" t="s">
        <v>9</v>
      </c>
      <c r="C1428" s="2" t="s">
        <v>1996</v>
      </c>
      <c r="D1428" s="2" t="s">
        <v>566</v>
      </c>
      <c r="E1428" s="2">
        <v>80014</v>
      </c>
      <c r="F1428" s="2" t="s">
        <v>1997</v>
      </c>
      <c r="G1428" s="2" t="s">
        <v>13</v>
      </c>
      <c r="H1428" s="2">
        <v>1</v>
      </c>
      <c r="I1428" s="2" t="s">
        <v>39</v>
      </c>
      <c r="J1428" s="2" t="str">
        <f>VLOOKUP(E1428,[1]LL_Hub!$A$1:$B$13,2,FALSE)</f>
        <v>Denver</v>
      </c>
      <c r="K1428" t="str">
        <f>VLOOKUP(D1428,'[2]product Table data'!$A$2:$B$12,2,FALSE)</f>
        <v>Female</v>
      </c>
      <c r="L1428" t="str">
        <f>VLOOKUP($D1428,'[2]product Table data'!$A$2:$G$12,L$1,FALSE)</f>
        <v>Casual n Light</v>
      </c>
      <c r="M1428" t="str">
        <f>VLOOKUP($D1428,'[2]product Table data'!$A$2:$G$12,M$1,FALSE)</f>
        <v>Guatemala</v>
      </c>
      <c r="N1428" t="str">
        <f>VLOOKUP($D1428,'[2]product Table data'!$A$2:$G$12,N$1,FALSE)</f>
        <v>Central America</v>
      </c>
      <c r="O1428">
        <f>VLOOKUP($D1428,'[2]product Table data'!$A$2:$G$12,O$1,FALSE)</f>
        <v>25</v>
      </c>
      <c r="P1428">
        <f>VLOOKUP($D1428,'[2]product Table data'!$A$2:$G$12,P$1,FALSE)</f>
        <v>30</v>
      </c>
      <c r="Q1428">
        <f t="shared" si="110"/>
        <v>5</v>
      </c>
      <c r="R1428" t="str">
        <f t="shared" si="111"/>
        <v>Hub Risk</v>
      </c>
      <c r="S1428" t="str">
        <f t="shared" si="112"/>
        <v>Style Risk</v>
      </c>
      <c r="T1428" t="str">
        <f t="shared" si="113"/>
        <v>Risk</v>
      </c>
      <c r="U1428" t="str">
        <f t="shared" si="114"/>
        <v>Low Value</v>
      </c>
    </row>
    <row r="1429" spans="1:21" hidden="1" x14ac:dyDescent="0.2">
      <c r="A1429" s="2">
        <v>1427</v>
      </c>
      <c r="B1429" s="2" t="s">
        <v>9</v>
      </c>
      <c r="C1429" s="2" t="s">
        <v>1998</v>
      </c>
      <c r="D1429" s="2" t="s">
        <v>566</v>
      </c>
      <c r="E1429" s="2">
        <v>80014</v>
      </c>
      <c r="F1429" s="2" t="s">
        <v>1999</v>
      </c>
      <c r="G1429" s="2" t="s">
        <v>13</v>
      </c>
      <c r="H1429" s="2">
        <v>1</v>
      </c>
      <c r="I1429" s="2" t="s">
        <v>39</v>
      </c>
      <c r="J1429" s="2" t="str">
        <f>VLOOKUP(E1429,[1]LL_Hub!$A$1:$B$13,2,FALSE)</f>
        <v>Denver</v>
      </c>
      <c r="K1429" t="str">
        <f>VLOOKUP(D1429,'[2]product Table data'!$A$2:$B$12,2,FALSE)</f>
        <v>Female</v>
      </c>
      <c r="L1429" t="str">
        <f>VLOOKUP($D1429,'[2]product Table data'!$A$2:$G$12,L$1,FALSE)</f>
        <v>Casual n Light</v>
      </c>
      <c r="M1429" t="str">
        <f>VLOOKUP($D1429,'[2]product Table data'!$A$2:$G$12,M$1,FALSE)</f>
        <v>Guatemala</v>
      </c>
      <c r="N1429" t="str">
        <f>VLOOKUP($D1429,'[2]product Table data'!$A$2:$G$12,N$1,FALSE)</f>
        <v>Central America</v>
      </c>
      <c r="O1429">
        <f>VLOOKUP($D1429,'[2]product Table data'!$A$2:$G$12,O$1,FALSE)</f>
        <v>25</v>
      </c>
      <c r="P1429">
        <f>VLOOKUP($D1429,'[2]product Table data'!$A$2:$G$12,P$1,FALSE)</f>
        <v>30</v>
      </c>
      <c r="Q1429">
        <f t="shared" si="110"/>
        <v>5</v>
      </c>
      <c r="R1429" t="str">
        <f t="shared" si="111"/>
        <v>Hub Risk</v>
      </c>
      <c r="S1429" t="str">
        <f t="shared" si="112"/>
        <v>Style Risk</v>
      </c>
      <c r="T1429" t="str">
        <f t="shared" si="113"/>
        <v>Risk</v>
      </c>
      <c r="U1429" t="str">
        <f t="shared" si="114"/>
        <v>Low Value</v>
      </c>
    </row>
    <row r="1430" spans="1:21" hidden="1" x14ac:dyDescent="0.2">
      <c r="A1430" s="2">
        <v>1428</v>
      </c>
      <c r="B1430" s="2" t="s">
        <v>9</v>
      </c>
      <c r="C1430" s="2" t="s">
        <v>2000</v>
      </c>
      <c r="D1430" s="2" t="s">
        <v>566</v>
      </c>
      <c r="E1430" s="2">
        <v>80014</v>
      </c>
      <c r="F1430" s="2" t="s">
        <v>2001</v>
      </c>
      <c r="G1430" s="2" t="s">
        <v>13</v>
      </c>
      <c r="H1430" s="2">
        <v>1</v>
      </c>
      <c r="I1430" s="2" t="s">
        <v>39</v>
      </c>
      <c r="J1430" s="2" t="str">
        <f>VLOOKUP(E1430,[1]LL_Hub!$A$1:$B$13,2,FALSE)</f>
        <v>Denver</v>
      </c>
      <c r="K1430" t="str">
        <f>VLOOKUP(D1430,'[2]product Table data'!$A$2:$B$12,2,FALSE)</f>
        <v>Female</v>
      </c>
      <c r="L1430" t="str">
        <f>VLOOKUP($D1430,'[2]product Table data'!$A$2:$G$12,L$1,FALSE)</f>
        <v>Casual n Light</v>
      </c>
      <c r="M1430" t="str">
        <f>VLOOKUP($D1430,'[2]product Table data'!$A$2:$G$12,M$1,FALSE)</f>
        <v>Guatemala</v>
      </c>
      <c r="N1430" t="str">
        <f>VLOOKUP($D1430,'[2]product Table data'!$A$2:$G$12,N$1,FALSE)</f>
        <v>Central America</v>
      </c>
      <c r="O1430">
        <f>VLOOKUP($D1430,'[2]product Table data'!$A$2:$G$12,O$1,FALSE)</f>
        <v>25</v>
      </c>
      <c r="P1430">
        <f>VLOOKUP($D1430,'[2]product Table data'!$A$2:$G$12,P$1,FALSE)</f>
        <v>30</v>
      </c>
      <c r="Q1430">
        <f t="shared" si="110"/>
        <v>5</v>
      </c>
      <c r="R1430" t="str">
        <f t="shared" si="111"/>
        <v>Hub Risk</v>
      </c>
      <c r="S1430" t="str">
        <f t="shared" si="112"/>
        <v>Style Risk</v>
      </c>
      <c r="T1430" t="str">
        <f t="shared" si="113"/>
        <v>Risk</v>
      </c>
      <c r="U1430" t="str">
        <f t="shared" si="114"/>
        <v>Low Value</v>
      </c>
    </row>
    <row r="1431" spans="1:21" hidden="1" x14ac:dyDescent="0.2">
      <c r="A1431" s="2">
        <v>1429</v>
      </c>
      <c r="B1431" s="2" t="s">
        <v>9</v>
      </c>
      <c r="C1431" s="2" t="s">
        <v>2002</v>
      </c>
      <c r="D1431" s="2" t="s">
        <v>566</v>
      </c>
      <c r="E1431" s="2">
        <v>80014</v>
      </c>
      <c r="F1431" s="2" t="s">
        <v>2003</v>
      </c>
      <c r="G1431" s="2" t="s">
        <v>13</v>
      </c>
      <c r="H1431" s="2">
        <v>1</v>
      </c>
      <c r="I1431" s="2" t="s">
        <v>39</v>
      </c>
      <c r="J1431" s="2" t="str">
        <f>VLOOKUP(E1431,[1]LL_Hub!$A$1:$B$13,2,FALSE)</f>
        <v>Denver</v>
      </c>
      <c r="K1431" t="str">
        <f>VLOOKUP(D1431,'[2]product Table data'!$A$2:$B$12,2,FALSE)</f>
        <v>Female</v>
      </c>
      <c r="L1431" t="str">
        <f>VLOOKUP($D1431,'[2]product Table data'!$A$2:$G$12,L$1,FALSE)</f>
        <v>Casual n Light</v>
      </c>
      <c r="M1431" t="str">
        <f>VLOOKUP($D1431,'[2]product Table data'!$A$2:$G$12,M$1,FALSE)</f>
        <v>Guatemala</v>
      </c>
      <c r="N1431" t="str">
        <f>VLOOKUP($D1431,'[2]product Table data'!$A$2:$G$12,N$1,FALSE)</f>
        <v>Central America</v>
      </c>
      <c r="O1431">
        <f>VLOOKUP($D1431,'[2]product Table data'!$A$2:$G$12,O$1,FALSE)</f>
        <v>25</v>
      </c>
      <c r="P1431">
        <f>VLOOKUP($D1431,'[2]product Table data'!$A$2:$G$12,P$1,FALSE)</f>
        <v>30</v>
      </c>
      <c r="Q1431">
        <f t="shared" si="110"/>
        <v>5</v>
      </c>
      <c r="R1431" t="str">
        <f t="shared" si="111"/>
        <v>Hub Risk</v>
      </c>
      <c r="S1431" t="str">
        <f t="shared" si="112"/>
        <v>Style Risk</v>
      </c>
      <c r="T1431" t="str">
        <f t="shared" si="113"/>
        <v>Risk</v>
      </c>
      <c r="U1431" t="str">
        <f t="shared" si="114"/>
        <v>Low Value</v>
      </c>
    </row>
    <row r="1432" spans="1:21" hidden="1" x14ac:dyDescent="0.2">
      <c r="A1432" s="2">
        <v>1430</v>
      </c>
      <c r="B1432" s="2" t="s">
        <v>9</v>
      </c>
      <c r="C1432" s="2" t="s">
        <v>2004</v>
      </c>
      <c r="D1432" s="2" t="s">
        <v>566</v>
      </c>
      <c r="E1432" s="2">
        <v>80014</v>
      </c>
      <c r="F1432" s="2" t="s">
        <v>2005</v>
      </c>
      <c r="G1432" s="2" t="s">
        <v>13</v>
      </c>
      <c r="H1432" s="2">
        <v>1</v>
      </c>
      <c r="I1432" s="2" t="s">
        <v>39</v>
      </c>
      <c r="J1432" s="2" t="str">
        <f>VLOOKUP(E1432,[1]LL_Hub!$A$1:$B$13,2,FALSE)</f>
        <v>Denver</v>
      </c>
      <c r="K1432" t="str">
        <f>VLOOKUP(D1432,'[2]product Table data'!$A$2:$B$12,2,FALSE)</f>
        <v>Female</v>
      </c>
      <c r="L1432" t="str">
        <f>VLOOKUP($D1432,'[2]product Table data'!$A$2:$G$12,L$1,FALSE)</f>
        <v>Casual n Light</v>
      </c>
      <c r="M1432" t="str">
        <f>VLOOKUP($D1432,'[2]product Table data'!$A$2:$G$12,M$1,FALSE)</f>
        <v>Guatemala</v>
      </c>
      <c r="N1432" t="str">
        <f>VLOOKUP($D1432,'[2]product Table data'!$A$2:$G$12,N$1,FALSE)</f>
        <v>Central America</v>
      </c>
      <c r="O1432">
        <f>VLOOKUP($D1432,'[2]product Table data'!$A$2:$G$12,O$1,FALSE)</f>
        <v>25</v>
      </c>
      <c r="P1432">
        <f>VLOOKUP($D1432,'[2]product Table data'!$A$2:$G$12,P$1,FALSE)</f>
        <v>30</v>
      </c>
      <c r="Q1432">
        <f t="shared" si="110"/>
        <v>5</v>
      </c>
      <c r="R1432" t="str">
        <f t="shared" si="111"/>
        <v>Hub Risk</v>
      </c>
      <c r="S1432" t="str">
        <f t="shared" si="112"/>
        <v>Style Risk</v>
      </c>
      <c r="T1432" t="str">
        <f t="shared" si="113"/>
        <v>Risk</v>
      </c>
      <c r="U1432" t="str">
        <f t="shared" si="114"/>
        <v>Low Value</v>
      </c>
    </row>
    <row r="1433" spans="1:21" hidden="1" x14ac:dyDescent="0.2">
      <c r="A1433" s="2">
        <v>1431</v>
      </c>
      <c r="B1433" s="2" t="s">
        <v>9</v>
      </c>
      <c r="C1433" s="2" t="s">
        <v>2006</v>
      </c>
      <c r="D1433" s="2" t="s">
        <v>566</v>
      </c>
      <c r="E1433" s="2">
        <v>80014</v>
      </c>
      <c r="F1433" s="2" t="s">
        <v>2007</v>
      </c>
      <c r="G1433" s="2" t="s">
        <v>13</v>
      </c>
      <c r="H1433" s="2">
        <v>1</v>
      </c>
      <c r="I1433" s="2" t="s">
        <v>39</v>
      </c>
      <c r="J1433" s="2" t="str">
        <f>VLOOKUP(E1433,[1]LL_Hub!$A$1:$B$13,2,FALSE)</f>
        <v>Denver</v>
      </c>
      <c r="K1433" t="str">
        <f>VLOOKUP(D1433,'[2]product Table data'!$A$2:$B$12,2,FALSE)</f>
        <v>Female</v>
      </c>
      <c r="L1433" t="str">
        <f>VLOOKUP($D1433,'[2]product Table data'!$A$2:$G$12,L$1,FALSE)</f>
        <v>Casual n Light</v>
      </c>
      <c r="M1433" t="str">
        <f>VLOOKUP($D1433,'[2]product Table data'!$A$2:$G$12,M$1,FALSE)</f>
        <v>Guatemala</v>
      </c>
      <c r="N1433" t="str">
        <f>VLOOKUP($D1433,'[2]product Table data'!$A$2:$G$12,N$1,FALSE)</f>
        <v>Central America</v>
      </c>
      <c r="O1433">
        <f>VLOOKUP($D1433,'[2]product Table data'!$A$2:$G$12,O$1,FALSE)</f>
        <v>25</v>
      </c>
      <c r="P1433">
        <f>VLOOKUP($D1433,'[2]product Table data'!$A$2:$G$12,P$1,FALSE)</f>
        <v>30</v>
      </c>
      <c r="Q1433">
        <f t="shared" si="110"/>
        <v>5</v>
      </c>
      <c r="R1433" t="str">
        <f t="shared" si="111"/>
        <v>Hub Risk</v>
      </c>
      <c r="S1433" t="str">
        <f t="shared" si="112"/>
        <v>Style Risk</v>
      </c>
      <c r="T1433" t="str">
        <f t="shared" si="113"/>
        <v>Risk</v>
      </c>
      <c r="U1433" t="str">
        <f t="shared" si="114"/>
        <v>Low Value</v>
      </c>
    </row>
    <row r="1434" spans="1:21" hidden="1" x14ac:dyDescent="0.2">
      <c r="A1434" s="2">
        <v>1432</v>
      </c>
      <c r="B1434" s="2" t="s">
        <v>9</v>
      </c>
      <c r="C1434" s="2" t="s">
        <v>2008</v>
      </c>
      <c r="D1434" s="2" t="s">
        <v>566</v>
      </c>
      <c r="E1434" s="2">
        <v>80014</v>
      </c>
      <c r="F1434" s="2" t="s">
        <v>2009</v>
      </c>
      <c r="G1434" s="2" t="s">
        <v>13</v>
      </c>
      <c r="H1434" s="2">
        <v>1</v>
      </c>
      <c r="I1434" s="2" t="s">
        <v>39</v>
      </c>
      <c r="J1434" s="2" t="str">
        <f>VLOOKUP(E1434,[1]LL_Hub!$A$1:$B$13,2,FALSE)</f>
        <v>Denver</v>
      </c>
      <c r="K1434" t="str">
        <f>VLOOKUP(D1434,'[2]product Table data'!$A$2:$B$12,2,FALSE)</f>
        <v>Female</v>
      </c>
      <c r="L1434" t="str">
        <f>VLOOKUP($D1434,'[2]product Table data'!$A$2:$G$12,L$1,FALSE)</f>
        <v>Casual n Light</v>
      </c>
      <c r="M1434" t="str">
        <f>VLOOKUP($D1434,'[2]product Table data'!$A$2:$G$12,M$1,FALSE)</f>
        <v>Guatemala</v>
      </c>
      <c r="N1434" t="str">
        <f>VLOOKUP($D1434,'[2]product Table data'!$A$2:$G$12,N$1,FALSE)</f>
        <v>Central America</v>
      </c>
      <c r="O1434">
        <f>VLOOKUP($D1434,'[2]product Table data'!$A$2:$G$12,O$1,FALSE)</f>
        <v>25</v>
      </c>
      <c r="P1434">
        <f>VLOOKUP($D1434,'[2]product Table data'!$A$2:$G$12,P$1,FALSE)</f>
        <v>30</v>
      </c>
      <c r="Q1434">
        <f t="shared" si="110"/>
        <v>5</v>
      </c>
      <c r="R1434" t="str">
        <f t="shared" si="111"/>
        <v>Hub Risk</v>
      </c>
      <c r="S1434" t="str">
        <f t="shared" si="112"/>
        <v>Style Risk</v>
      </c>
      <c r="T1434" t="str">
        <f t="shared" si="113"/>
        <v>Risk</v>
      </c>
      <c r="U1434" t="str">
        <f t="shared" si="114"/>
        <v>Low Value</v>
      </c>
    </row>
    <row r="1435" spans="1:21" hidden="1" x14ac:dyDescent="0.2">
      <c r="A1435" s="2">
        <v>1433</v>
      </c>
      <c r="B1435" s="2" t="s">
        <v>9</v>
      </c>
      <c r="C1435" s="2" t="s">
        <v>2010</v>
      </c>
      <c r="D1435" s="2" t="s">
        <v>566</v>
      </c>
      <c r="E1435" s="2">
        <v>80014</v>
      </c>
      <c r="F1435" s="2" t="s">
        <v>2011</v>
      </c>
      <c r="G1435" s="2" t="s">
        <v>13</v>
      </c>
      <c r="H1435" s="2">
        <v>1</v>
      </c>
      <c r="I1435" s="2" t="s">
        <v>39</v>
      </c>
      <c r="J1435" s="2" t="str">
        <f>VLOOKUP(E1435,[1]LL_Hub!$A$1:$B$13,2,FALSE)</f>
        <v>Denver</v>
      </c>
      <c r="K1435" t="str">
        <f>VLOOKUP(D1435,'[2]product Table data'!$A$2:$B$12,2,FALSE)</f>
        <v>Female</v>
      </c>
      <c r="L1435" t="str">
        <f>VLOOKUP($D1435,'[2]product Table data'!$A$2:$G$12,L$1,FALSE)</f>
        <v>Casual n Light</v>
      </c>
      <c r="M1435" t="str">
        <f>VLOOKUP($D1435,'[2]product Table data'!$A$2:$G$12,M$1,FALSE)</f>
        <v>Guatemala</v>
      </c>
      <c r="N1435" t="str">
        <f>VLOOKUP($D1435,'[2]product Table data'!$A$2:$G$12,N$1,FALSE)</f>
        <v>Central America</v>
      </c>
      <c r="O1435">
        <f>VLOOKUP($D1435,'[2]product Table data'!$A$2:$G$12,O$1,FALSE)</f>
        <v>25</v>
      </c>
      <c r="P1435">
        <f>VLOOKUP($D1435,'[2]product Table data'!$A$2:$G$12,P$1,FALSE)</f>
        <v>30</v>
      </c>
      <c r="Q1435">
        <f t="shared" si="110"/>
        <v>5</v>
      </c>
      <c r="R1435" t="str">
        <f t="shared" si="111"/>
        <v>Hub Risk</v>
      </c>
      <c r="S1435" t="str">
        <f t="shared" si="112"/>
        <v>Style Risk</v>
      </c>
      <c r="T1435" t="str">
        <f t="shared" si="113"/>
        <v>Risk</v>
      </c>
      <c r="U1435" t="str">
        <f t="shared" si="114"/>
        <v>Low Value</v>
      </c>
    </row>
    <row r="1436" spans="1:21" hidden="1" x14ac:dyDescent="0.2">
      <c r="A1436" s="2">
        <v>1434</v>
      </c>
      <c r="B1436" s="2" t="s">
        <v>9</v>
      </c>
      <c r="C1436" s="2" t="s">
        <v>2012</v>
      </c>
      <c r="D1436" s="2" t="s">
        <v>566</v>
      </c>
      <c r="E1436" s="2">
        <v>80014</v>
      </c>
      <c r="F1436" s="2" t="s">
        <v>2013</v>
      </c>
      <c r="G1436" s="2" t="s">
        <v>13</v>
      </c>
      <c r="H1436" s="2">
        <v>1</v>
      </c>
      <c r="I1436" s="2" t="s">
        <v>39</v>
      </c>
      <c r="J1436" s="2" t="str">
        <f>VLOOKUP(E1436,[1]LL_Hub!$A$1:$B$13,2,FALSE)</f>
        <v>Denver</v>
      </c>
      <c r="K1436" t="str">
        <f>VLOOKUP(D1436,'[2]product Table data'!$A$2:$B$12,2,FALSE)</f>
        <v>Female</v>
      </c>
      <c r="L1436" t="str">
        <f>VLOOKUP($D1436,'[2]product Table data'!$A$2:$G$12,L$1,FALSE)</f>
        <v>Casual n Light</v>
      </c>
      <c r="M1436" t="str">
        <f>VLOOKUP($D1436,'[2]product Table data'!$A$2:$G$12,M$1,FALSE)</f>
        <v>Guatemala</v>
      </c>
      <c r="N1436" t="str">
        <f>VLOOKUP($D1436,'[2]product Table data'!$A$2:$G$12,N$1,FALSE)</f>
        <v>Central America</v>
      </c>
      <c r="O1436">
        <f>VLOOKUP($D1436,'[2]product Table data'!$A$2:$G$12,O$1,FALSE)</f>
        <v>25</v>
      </c>
      <c r="P1436">
        <f>VLOOKUP($D1436,'[2]product Table data'!$A$2:$G$12,P$1,FALSE)</f>
        <v>30</v>
      </c>
      <c r="Q1436">
        <f t="shared" si="110"/>
        <v>5</v>
      </c>
      <c r="R1436" t="str">
        <f t="shared" si="111"/>
        <v>Hub Risk</v>
      </c>
      <c r="S1436" t="str">
        <f t="shared" si="112"/>
        <v>Style Risk</v>
      </c>
      <c r="T1436" t="str">
        <f t="shared" si="113"/>
        <v>Risk</v>
      </c>
      <c r="U1436" t="str">
        <f t="shared" si="114"/>
        <v>Low Value</v>
      </c>
    </row>
    <row r="1437" spans="1:21" hidden="1" x14ac:dyDescent="0.2">
      <c r="A1437" s="2">
        <v>1435</v>
      </c>
      <c r="B1437" s="2" t="s">
        <v>9</v>
      </c>
      <c r="C1437" s="2" t="s">
        <v>2014</v>
      </c>
      <c r="D1437" s="2" t="s">
        <v>566</v>
      </c>
      <c r="E1437" s="2">
        <v>80014</v>
      </c>
      <c r="F1437" s="2" t="s">
        <v>2015</v>
      </c>
      <c r="G1437" s="2" t="s">
        <v>13</v>
      </c>
      <c r="H1437" s="2">
        <v>1</v>
      </c>
      <c r="I1437" s="2" t="s">
        <v>39</v>
      </c>
      <c r="J1437" s="2" t="str">
        <f>VLOOKUP(E1437,[1]LL_Hub!$A$1:$B$13,2,FALSE)</f>
        <v>Denver</v>
      </c>
      <c r="K1437" t="str">
        <f>VLOOKUP(D1437,'[2]product Table data'!$A$2:$B$12,2,FALSE)</f>
        <v>Female</v>
      </c>
      <c r="L1437" t="str">
        <f>VLOOKUP($D1437,'[2]product Table data'!$A$2:$G$12,L$1,FALSE)</f>
        <v>Casual n Light</v>
      </c>
      <c r="M1437" t="str">
        <f>VLOOKUP($D1437,'[2]product Table data'!$A$2:$G$12,M$1,FALSE)</f>
        <v>Guatemala</v>
      </c>
      <c r="N1437" t="str">
        <f>VLOOKUP($D1437,'[2]product Table data'!$A$2:$G$12,N$1,FALSE)</f>
        <v>Central America</v>
      </c>
      <c r="O1437">
        <f>VLOOKUP($D1437,'[2]product Table data'!$A$2:$G$12,O$1,FALSE)</f>
        <v>25</v>
      </c>
      <c r="P1437">
        <f>VLOOKUP($D1437,'[2]product Table data'!$A$2:$G$12,P$1,FALSE)</f>
        <v>30</v>
      </c>
      <c r="Q1437">
        <f t="shared" si="110"/>
        <v>5</v>
      </c>
      <c r="R1437" t="str">
        <f t="shared" si="111"/>
        <v>Hub Risk</v>
      </c>
      <c r="S1437" t="str">
        <f t="shared" si="112"/>
        <v>Style Risk</v>
      </c>
      <c r="T1437" t="str">
        <f t="shared" si="113"/>
        <v>Risk</v>
      </c>
      <c r="U1437" t="str">
        <f t="shared" si="114"/>
        <v>Low Value</v>
      </c>
    </row>
    <row r="1438" spans="1:21" hidden="1" x14ac:dyDescent="0.2">
      <c r="A1438" s="2">
        <v>1436</v>
      </c>
      <c r="B1438" s="2" t="s">
        <v>9</v>
      </c>
      <c r="C1438" s="2" t="s">
        <v>2016</v>
      </c>
      <c r="D1438" s="2" t="s">
        <v>566</v>
      </c>
      <c r="E1438" s="2">
        <v>80014</v>
      </c>
      <c r="F1438" s="2" t="s">
        <v>2017</v>
      </c>
      <c r="G1438" s="2" t="s">
        <v>13</v>
      </c>
      <c r="H1438" s="2">
        <v>1</v>
      </c>
      <c r="I1438" s="2" t="s">
        <v>39</v>
      </c>
      <c r="J1438" s="2" t="str">
        <f>VLOOKUP(E1438,[1]LL_Hub!$A$1:$B$13,2,FALSE)</f>
        <v>Denver</v>
      </c>
      <c r="K1438" t="str">
        <f>VLOOKUP(D1438,'[2]product Table data'!$A$2:$B$12,2,FALSE)</f>
        <v>Female</v>
      </c>
      <c r="L1438" t="str">
        <f>VLOOKUP($D1438,'[2]product Table data'!$A$2:$G$12,L$1,FALSE)</f>
        <v>Casual n Light</v>
      </c>
      <c r="M1438" t="str">
        <f>VLOOKUP($D1438,'[2]product Table data'!$A$2:$G$12,M$1,FALSE)</f>
        <v>Guatemala</v>
      </c>
      <c r="N1438" t="str">
        <f>VLOOKUP($D1438,'[2]product Table data'!$A$2:$G$12,N$1,FALSE)</f>
        <v>Central America</v>
      </c>
      <c r="O1438">
        <f>VLOOKUP($D1438,'[2]product Table data'!$A$2:$G$12,O$1,FALSE)</f>
        <v>25</v>
      </c>
      <c r="P1438">
        <f>VLOOKUP($D1438,'[2]product Table data'!$A$2:$G$12,P$1,FALSE)</f>
        <v>30</v>
      </c>
      <c r="Q1438">
        <f t="shared" si="110"/>
        <v>5</v>
      </c>
      <c r="R1438" t="str">
        <f t="shared" si="111"/>
        <v>Hub Risk</v>
      </c>
      <c r="S1438" t="str">
        <f t="shared" si="112"/>
        <v>Style Risk</v>
      </c>
      <c r="T1438" t="str">
        <f t="shared" si="113"/>
        <v>Risk</v>
      </c>
      <c r="U1438" t="str">
        <f t="shared" si="114"/>
        <v>Low Value</v>
      </c>
    </row>
    <row r="1439" spans="1:21" hidden="1" x14ac:dyDescent="0.2">
      <c r="A1439" s="2">
        <v>1437</v>
      </c>
      <c r="B1439" s="2" t="s">
        <v>9</v>
      </c>
      <c r="C1439" s="2" t="s">
        <v>2018</v>
      </c>
      <c r="D1439" s="2" t="s">
        <v>566</v>
      </c>
      <c r="E1439" s="2">
        <v>80014</v>
      </c>
      <c r="F1439" s="2" t="s">
        <v>2019</v>
      </c>
      <c r="G1439" s="2" t="s">
        <v>13</v>
      </c>
      <c r="H1439" s="2">
        <v>1</v>
      </c>
      <c r="I1439" s="2" t="s">
        <v>39</v>
      </c>
      <c r="J1439" s="2" t="str">
        <f>VLOOKUP(E1439,[1]LL_Hub!$A$1:$B$13,2,FALSE)</f>
        <v>Denver</v>
      </c>
      <c r="K1439" t="str">
        <f>VLOOKUP(D1439,'[2]product Table data'!$A$2:$B$12,2,FALSE)</f>
        <v>Female</v>
      </c>
      <c r="L1439" t="str">
        <f>VLOOKUP($D1439,'[2]product Table data'!$A$2:$G$12,L$1,FALSE)</f>
        <v>Casual n Light</v>
      </c>
      <c r="M1439" t="str">
        <f>VLOOKUP($D1439,'[2]product Table data'!$A$2:$G$12,M$1,FALSE)</f>
        <v>Guatemala</v>
      </c>
      <c r="N1439" t="str">
        <f>VLOOKUP($D1439,'[2]product Table data'!$A$2:$G$12,N$1,FALSE)</f>
        <v>Central America</v>
      </c>
      <c r="O1439">
        <f>VLOOKUP($D1439,'[2]product Table data'!$A$2:$G$12,O$1,FALSE)</f>
        <v>25</v>
      </c>
      <c r="P1439">
        <f>VLOOKUP($D1439,'[2]product Table data'!$A$2:$G$12,P$1,FALSE)</f>
        <v>30</v>
      </c>
      <c r="Q1439">
        <f t="shared" si="110"/>
        <v>5</v>
      </c>
      <c r="R1439" t="str">
        <f t="shared" si="111"/>
        <v>Hub Risk</v>
      </c>
      <c r="S1439" t="str">
        <f t="shared" si="112"/>
        <v>Style Risk</v>
      </c>
      <c r="T1439" t="str">
        <f t="shared" si="113"/>
        <v>Risk</v>
      </c>
      <c r="U1439" t="str">
        <f t="shared" si="114"/>
        <v>Low Value</v>
      </c>
    </row>
    <row r="1440" spans="1:21" hidden="1" x14ac:dyDescent="0.2">
      <c r="A1440" s="2">
        <v>1438</v>
      </c>
      <c r="B1440" s="2" t="s">
        <v>9</v>
      </c>
      <c r="C1440" s="2" t="s">
        <v>2020</v>
      </c>
      <c r="D1440" s="2" t="s">
        <v>566</v>
      </c>
      <c r="E1440" s="2">
        <v>80014</v>
      </c>
      <c r="F1440" s="2" t="s">
        <v>2021</v>
      </c>
      <c r="G1440" s="2" t="s">
        <v>13</v>
      </c>
      <c r="H1440" s="2">
        <v>1</v>
      </c>
      <c r="I1440" s="2" t="s">
        <v>39</v>
      </c>
      <c r="J1440" s="2" t="str">
        <f>VLOOKUP(E1440,[1]LL_Hub!$A$1:$B$13,2,FALSE)</f>
        <v>Denver</v>
      </c>
      <c r="K1440" t="str">
        <f>VLOOKUP(D1440,'[2]product Table data'!$A$2:$B$12,2,FALSE)</f>
        <v>Female</v>
      </c>
      <c r="L1440" t="str">
        <f>VLOOKUP($D1440,'[2]product Table data'!$A$2:$G$12,L$1,FALSE)</f>
        <v>Casual n Light</v>
      </c>
      <c r="M1440" t="str">
        <f>VLOOKUP($D1440,'[2]product Table data'!$A$2:$G$12,M$1,FALSE)</f>
        <v>Guatemala</v>
      </c>
      <c r="N1440" t="str">
        <f>VLOOKUP($D1440,'[2]product Table data'!$A$2:$G$12,N$1,FALSE)</f>
        <v>Central America</v>
      </c>
      <c r="O1440">
        <f>VLOOKUP($D1440,'[2]product Table data'!$A$2:$G$12,O$1,FALSE)</f>
        <v>25</v>
      </c>
      <c r="P1440">
        <f>VLOOKUP($D1440,'[2]product Table data'!$A$2:$G$12,P$1,FALSE)</f>
        <v>30</v>
      </c>
      <c r="Q1440">
        <f t="shared" si="110"/>
        <v>5</v>
      </c>
      <c r="R1440" t="str">
        <f t="shared" si="111"/>
        <v>Hub Risk</v>
      </c>
      <c r="S1440" t="str">
        <f t="shared" si="112"/>
        <v>Style Risk</v>
      </c>
      <c r="T1440" t="str">
        <f t="shared" si="113"/>
        <v>Risk</v>
      </c>
      <c r="U1440" t="str">
        <f t="shared" si="114"/>
        <v>Low Value</v>
      </c>
    </row>
    <row r="1441" spans="1:21" hidden="1" x14ac:dyDescent="0.2">
      <c r="A1441" s="2">
        <v>1439</v>
      </c>
      <c r="B1441" s="2" t="s">
        <v>9</v>
      </c>
      <c r="C1441" s="2" t="s">
        <v>2022</v>
      </c>
      <c r="D1441" s="2" t="s">
        <v>566</v>
      </c>
      <c r="E1441" s="2">
        <v>80014</v>
      </c>
      <c r="F1441" s="2" t="s">
        <v>2023</v>
      </c>
      <c r="G1441" s="2" t="s">
        <v>13</v>
      </c>
      <c r="H1441" s="2">
        <v>1</v>
      </c>
      <c r="I1441" s="2" t="s">
        <v>39</v>
      </c>
      <c r="J1441" s="2" t="str">
        <f>VLOOKUP(E1441,[1]LL_Hub!$A$1:$B$13,2,FALSE)</f>
        <v>Denver</v>
      </c>
      <c r="K1441" t="str">
        <f>VLOOKUP(D1441,'[2]product Table data'!$A$2:$B$12,2,FALSE)</f>
        <v>Female</v>
      </c>
      <c r="L1441" t="str">
        <f>VLOOKUP($D1441,'[2]product Table data'!$A$2:$G$12,L$1,FALSE)</f>
        <v>Casual n Light</v>
      </c>
      <c r="M1441" t="str">
        <f>VLOOKUP($D1441,'[2]product Table data'!$A$2:$G$12,M$1,FALSE)</f>
        <v>Guatemala</v>
      </c>
      <c r="N1441" t="str">
        <f>VLOOKUP($D1441,'[2]product Table data'!$A$2:$G$12,N$1,FALSE)</f>
        <v>Central America</v>
      </c>
      <c r="O1441">
        <f>VLOOKUP($D1441,'[2]product Table data'!$A$2:$G$12,O$1,FALSE)</f>
        <v>25</v>
      </c>
      <c r="P1441">
        <f>VLOOKUP($D1441,'[2]product Table data'!$A$2:$G$12,P$1,FALSE)</f>
        <v>30</v>
      </c>
      <c r="Q1441">
        <f t="shared" si="110"/>
        <v>5</v>
      </c>
      <c r="R1441" t="str">
        <f t="shared" si="111"/>
        <v>Hub Risk</v>
      </c>
      <c r="S1441" t="str">
        <f t="shared" si="112"/>
        <v>Style Risk</v>
      </c>
      <c r="T1441" t="str">
        <f t="shared" si="113"/>
        <v>Risk</v>
      </c>
      <c r="U1441" t="str">
        <f t="shared" si="114"/>
        <v>Low Value</v>
      </c>
    </row>
    <row r="1442" spans="1:21" hidden="1" x14ac:dyDescent="0.2">
      <c r="A1442" s="2">
        <v>1440</v>
      </c>
      <c r="B1442" s="2" t="s">
        <v>9</v>
      </c>
      <c r="C1442" s="2" t="s">
        <v>2024</v>
      </c>
      <c r="D1442" s="2" t="s">
        <v>566</v>
      </c>
      <c r="E1442" s="2">
        <v>80014</v>
      </c>
      <c r="F1442" s="2" t="s">
        <v>2025</v>
      </c>
      <c r="G1442" s="2" t="s">
        <v>13</v>
      </c>
      <c r="H1442" s="2">
        <v>1</v>
      </c>
      <c r="I1442" s="2" t="s">
        <v>39</v>
      </c>
      <c r="J1442" s="2" t="str">
        <f>VLOOKUP(E1442,[1]LL_Hub!$A$1:$B$13,2,FALSE)</f>
        <v>Denver</v>
      </c>
      <c r="K1442" t="str">
        <f>VLOOKUP(D1442,'[2]product Table data'!$A$2:$B$12,2,FALSE)</f>
        <v>Female</v>
      </c>
      <c r="L1442" t="str">
        <f>VLOOKUP($D1442,'[2]product Table data'!$A$2:$G$12,L$1,FALSE)</f>
        <v>Casual n Light</v>
      </c>
      <c r="M1442" t="str">
        <f>VLOOKUP($D1442,'[2]product Table data'!$A$2:$G$12,M$1,FALSE)</f>
        <v>Guatemala</v>
      </c>
      <c r="N1442" t="str">
        <f>VLOOKUP($D1442,'[2]product Table data'!$A$2:$G$12,N$1,FALSE)</f>
        <v>Central America</v>
      </c>
      <c r="O1442">
        <f>VLOOKUP($D1442,'[2]product Table data'!$A$2:$G$12,O$1,FALSE)</f>
        <v>25</v>
      </c>
      <c r="P1442">
        <f>VLOOKUP($D1442,'[2]product Table data'!$A$2:$G$12,P$1,FALSE)</f>
        <v>30</v>
      </c>
      <c r="Q1442">
        <f t="shared" si="110"/>
        <v>5</v>
      </c>
      <c r="R1442" t="str">
        <f t="shared" si="111"/>
        <v>Hub Risk</v>
      </c>
      <c r="S1442" t="str">
        <f t="shared" si="112"/>
        <v>Style Risk</v>
      </c>
      <c r="T1442" t="str">
        <f t="shared" si="113"/>
        <v>Risk</v>
      </c>
      <c r="U1442" t="str">
        <f t="shared" si="114"/>
        <v>Low Value</v>
      </c>
    </row>
    <row r="1443" spans="1:21" hidden="1" x14ac:dyDescent="0.2">
      <c r="A1443" s="2">
        <v>1441</v>
      </c>
      <c r="B1443" s="2" t="s">
        <v>9</v>
      </c>
      <c r="C1443" s="2" t="s">
        <v>2026</v>
      </c>
      <c r="D1443" s="2" t="s">
        <v>566</v>
      </c>
      <c r="E1443" s="2">
        <v>80014</v>
      </c>
      <c r="F1443" s="2" t="s">
        <v>2027</v>
      </c>
      <c r="G1443" s="2" t="s">
        <v>13</v>
      </c>
      <c r="H1443" s="2">
        <v>1</v>
      </c>
      <c r="I1443" s="2" t="s">
        <v>39</v>
      </c>
      <c r="J1443" s="2" t="str">
        <f>VLOOKUP(E1443,[1]LL_Hub!$A$1:$B$13,2,FALSE)</f>
        <v>Denver</v>
      </c>
      <c r="K1443" t="str">
        <f>VLOOKUP(D1443,'[2]product Table data'!$A$2:$B$12,2,FALSE)</f>
        <v>Female</v>
      </c>
      <c r="L1443" t="str">
        <f>VLOOKUP($D1443,'[2]product Table data'!$A$2:$G$12,L$1,FALSE)</f>
        <v>Casual n Light</v>
      </c>
      <c r="M1443" t="str">
        <f>VLOOKUP($D1443,'[2]product Table data'!$A$2:$G$12,M$1,FALSE)</f>
        <v>Guatemala</v>
      </c>
      <c r="N1443" t="str">
        <f>VLOOKUP($D1443,'[2]product Table data'!$A$2:$G$12,N$1,FALSE)</f>
        <v>Central America</v>
      </c>
      <c r="O1443">
        <f>VLOOKUP($D1443,'[2]product Table data'!$A$2:$G$12,O$1,FALSE)</f>
        <v>25</v>
      </c>
      <c r="P1443">
        <f>VLOOKUP($D1443,'[2]product Table data'!$A$2:$G$12,P$1,FALSE)</f>
        <v>30</v>
      </c>
      <c r="Q1443">
        <f t="shared" si="110"/>
        <v>5</v>
      </c>
      <c r="R1443" t="str">
        <f t="shared" si="111"/>
        <v>Hub Risk</v>
      </c>
      <c r="S1443" t="str">
        <f t="shared" si="112"/>
        <v>Style Risk</v>
      </c>
      <c r="T1443" t="str">
        <f t="shared" si="113"/>
        <v>Risk</v>
      </c>
      <c r="U1443" t="str">
        <f t="shared" si="114"/>
        <v>Low Value</v>
      </c>
    </row>
    <row r="1444" spans="1:21" hidden="1" x14ac:dyDescent="0.2">
      <c r="A1444" s="2">
        <v>1442</v>
      </c>
      <c r="B1444" s="2" t="s">
        <v>9</v>
      </c>
      <c r="C1444" s="2" t="s">
        <v>2028</v>
      </c>
      <c r="D1444" s="2" t="s">
        <v>566</v>
      </c>
      <c r="E1444" s="2">
        <v>80014</v>
      </c>
      <c r="F1444" s="2" t="s">
        <v>2029</v>
      </c>
      <c r="G1444" s="2" t="s">
        <v>13</v>
      </c>
      <c r="H1444" s="2">
        <v>1</v>
      </c>
      <c r="I1444" s="2" t="s">
        <v>39</v>
      </c>
      <c r="J1444" s="2" t="str">
        <f>VLOOKUP(E1444,[1]LL_Hub!$A$1:$B$13,2,FALSE)</f>
        <v>Denver</v>
      </c>
      <c r="K1444" t="str">
        <f>VLOOKUP(D1444,'[2]product Table data'!$A$2:$B$12,2,FALSE)</f>
        <v>Female</v>
      </c>
      <c r="L1444" t="str">
        <f>VLOOKUP($D1444,'[2]product Table data'!$A$2:$G$12,L$1,FALSE)</f>
        <v>Casual n Light</v>
      </c>
      <c r="M1444" t="str">
        <f>VLOOKUP($D1444,'[2]product Table data'!$A$2:$G$12,M$1,FALSE)</f>
        <v>Guatemala</v>
      </c>
      <c r="N1444" t="str">
        <f>VLOOKUP($D1444,'[2]product Table data'!$A$2:$G$12,N$1,FALSE)</f>
        <v>Central America</v>
      </c>
      <c r="O1444">
        <f>VLOOKUP($D1444,'[2]product Table data'!$A$2:$G$12,O$1,FALSE)</f>
        <v>25</v>
      </c>
      <c r="P1444">
        <f>VLOOKUP($D1444,'[2]product Table data'!$A$2:$G$12,P$1,FALSE)</f>
        <v>30</v>
      </c>
      <c r="Q1444">
        <f t="shared" si="110"/>
        <v>5</v>
      </c>
      <c r="R1444" t="str">
        <f t="shared" si="111"/>
        <v>Hub Risk</v>
      </c>
      <c r="S1444" t="str">
        <f t="shared" si="112"/>
        <v>Style Risk</v>
      </c>
      <c r="T1444" t="str">
        <f t="shared" si="113"/>
        <v>Risk</v>
      </c>
      <c r="U1444" t="str">
        <f t="shared" si="114"/>
        <v>Low Value</v>
      </c>
    </row>
    <row r="1445" spans="1:21" hidden="1" x14ac:dyDescent="0.2">
      <c r="A1445" s="2">
        <v>1443</v>
      </c>
      <c r="B1445" s="2" t="s">
        <v>9</v>
      </c>
      <c r="C1445" s="2" t="s">
        <v>2030</v>
      </c>
      <c r="D1445" s="2" t="s">
        <v>566</v>
      </c>
      <c r="E1445" s="2">
        <v>80014</v>
      </c>
      <c r="F1445" s="2" t="s">
        <v>2031</v>
      </c>
      <c r="G1445" s="2" t="s">
        <v>13</v>
      </c>
      <c r="H1445" s="2">
        <v>1</v>
      </c>
      <c r="I1445" s="2" t="s">
        <v>39</v>
      </c>
      <c r="J1445" s="2" t="str">
        <f>VLOOKUP(E1445,[1]LL_Hub!$A$1:$B$13,2,FALSE)</f>
        <v>Denver</v>
      </c>
      <c r="K1445" t="str">
        <f>VLOOKUP(D1445,'[2]product Table data'!$A$2:$B$12,2,FALSE)</f>
        <v>Female</v>
      </c>
      <c r="L1445" t="str">
        <f>VLOOKUP($D1445,'[2]product Table data'!$A$2:$G$12,L$1,FALSE)</f>
        <v>Casual n Light</v>
      </c>
      <c r="M1445" t="str">
        <f>VLOOKUP($D1445,'[2]product Table data'!$A$2:$G$12,M$1,FALSE)</f>
        <v>Guatemala</v>
      </c>
      <c r="N1445" t="str">
        <f>VLOOKUP($D1445,'[2]product Table data'!$A$2:$G$12,N$1,FALSE)</f>
        <v>Central America</v>
      </c>
      <c r="O1445">
        <f>VLOOKUP($D1445,'[2]product Table data'!$A$2:$G$12,O$1,FALSE)</f>
        <v>25</v>
      </c>
      <c r="P1445">
        <f>VLOOKUP($D1445,'[2]product Table data'!$A$2:$G$12,P$1,FALSE)</f>
        <v>30</v>
      </c>
      <c r="Q1445">
        <f t="shared" si="110"/>
        <v>5</v>
      </c>
      <c r="R1445" t="str">
        <f t="shared" si="111"/>
        <v>Hub Risk</v>
      </c>
      <c r="S1445" t="str">
        <f t="shared" si="112"/>
        <v>Style Risk</v>
      </c>
      <c r="T1445" t="str">
        <f t="shared" si="113"/>
        <v>Risk</v>
      </c>
      <c r="U1445" t="str">
        <f t="shared" si="114"/>
        <v>Low Value</v>
      </c>
    </row>
    <row r="1446" spans="1:21" hidden="1" x14ac:dyDescent="0.2">
      <c r="A1446" s="2">
        <v>1444</v>
      </c>
      <c r="B1446" s="2" t="s">
        <v>9</v>
      </c>
      <c r="C1446" s="2" t="s">
        <v>2032</v>
      </c>
      <c r="D1446" s="2" t="s">
        <v>566</v>
      </c>
      <c r="E1446" s="2">
        <v>80014</v>
      </c>
      <c r="F1446" s="2" t="s">
        <v>2033</v>
      </c>
      <c r="G1446" s="2" t="s">
        <v>13</v>
      </c>
      <c r="H1446" s="2">
        <v>1</v>
      </c>
      <c r="I1446" s="2" t="s">
        <v>39</v>
      </c>
      <c r="J1446" s="2" t="str">
        <f>VLOOKUP(E1446,[1]LL_Hub!$A$1:$B$13,2,FALSE)</f>
        <v>Denver</v>
      </c>
      <c r="K1446" t="str">
        <f>VLOOKUP(D1446,'[2]product Table data'!$A$2:$B$12,2,FALSE)</f>
        <v>Female</v>
      </c>
      <c r="L1446" t="str">
        <f>VLOOKUP($D1446,'[2]product Table data'!$A$2:$G$12,L$1,FALSE)</f>
        <v>Casual n Light</v>
      </c>
      <c r="M1446" t="str">
        <f>VLOOKUP($D1446,'[2]product Table data'!$A$2:$G$12,M$1,FALSE)</f>
        <v>Guatemala</v>
      </c>
      <c r="N1446" t="str">
        <f>VLOOKUP($D1446,'[2]product Table data'!$A$2:$G$12,N$1,FALSE)</f>
        <v>Central America</v>
      </c>
      <c r="O1446">
        <f>VLOOKUP($D1446,'[2]product Table data'!$A$2:$G$12,O$1,FALSE)</f>
        <v>25</v>
      </c>
      <c r="P1446">
        <f>VLOOKUP($D1446,'[2]product Table data'!$A$2:$G$12,P$1,FALSE)</f>
        <v>30</v>
      </c>
      <c r="Q1446">
        <f t="shared" si="110"/>
        <v>5</v>
      </c>
      <c r="R1446" t="str">
        <f t="shared" si="111"/>
        <v>Hub Risk</v>
      </c>
      <c r="S1446" t="str">
        <f t="shared" si="112"/>
        <v>Style Risk</v>
      </c>
      <c r="T1446" t="str">
        <f t="shared" si="113"/>
        <v>Risk</v>
      </c>
      <c r="U1446" t="str">
        <f t="shared" si="114"/>
        <v>Low Value</v>
      </c>
    </row>
    <row r="1447" spans="1:21" hidden="1" x14ac:dyDescent="0.2">
      <c r="A1447" s="2">
        <v>1445</v>
      </c>
      <c r="B1447" s="2" t="s">
        <v>9</v>
      </c>
      <c r="C1447" s="2" t="s">
        <v>2034</v>
      </c>
      <c r="D1447" s="2" t="s">
        <v>566</v>
      </c>
      <c r="E1447" s="2">
        <v>80014</v>
      </c>
      <c r="F1447" s="2" t="s">
        <v>2035</v>
      </c>
      <c r="G1447" s="2" t="s">
        <v>13</v>
      </c>
      <c r="H1447" s="2">
        <v>1</v>
      </c>
      <c r="I1447" s="2" t="s">
        <v>39</v>
      </c>
      <c r="J1447" s="2" t="str">
        <f>VLOOKUP(E1447,[1]LL_Hub!$A$1:$B$13,2,FALSE)</f>
        <v>Denver</v>
      </c>
      <c r="K1447" t="str">
        <f>VLOOKUP(D1447,'[2]product Table data'!$A$2:$B$12,2,FALSE)</f>
        <v>Female</v>
      </c>
      <c r="L1447" t="str">
        <f>VLOOKUP($D1447,'[2]product Table data'!$A$2:$G$12,L$1,FALSE)</f>
        <v>Casual n Light</v>
      </c>
      <c r="M1447" t="str">
        <f>VLOOKUP($D1447,'[2]product Table data'!$A$2:$G$12,M$1,FALSE)</f>
        <v>Guatemala</v>
      </c>
      <c r="N1447" t="str">
        <f>VLOOKUP($D1447,'[2]product Table data'!$A$2:$G$12,N$1,FALSE)</f>
        <v>Central America</v>
      </c>
      <c r="O1447">
        <f>VLOOKUP($D1447,'[2]product Table data'!$A$2:$G$12,O$1,FALSE)</f>
        <v>25</v>
      </c>
      <c r="P1447">
        <f>VLOOKUP($D1447,'[2]product Table data'!$A$2:$G$12,P$1,FALSE)</f>
        <v>30</v>
      </c>
      <c r="Q1447">
        <f t="shared" si="110"/>
        <v>5</v>
      </c>
      <c r="R1447" t="str">
        <f t="shared" si="111"/>
        <v>Hub Risk</v>
      </c>
      <c r="S1447" t="str">
        <f t="shared" si="112"/>
        <v>Style Risk</v>
      </c>
      <c r="T1447" t="str">
        <f t="shared" si="113"/>
        <v>Risk</v>
      </c>
      <c r="U1447" t="str">
        <f t="shared" si="114"/>
        <v>Low Value</v>
      </c>
    </row>
    <row r="1448" spans="1:21" hidden="1" x14ac:dyDescent="0.2">
      <c r="A1448" s="2">
        <v>1446</v>
      </c>
      <c r="B1448" s="2" t="s">
        <v>9</v>
      </c>
      <c r="C1448" s="2" t="s">
        <v>2036</v>
      </c>
      <c r="D1448" s="2" t="s">
        <v>566</v>
      </c>
      <c r="E1448" s="2">
        <v>80014</v>
      </c>
      <c r="F1448" s="2" t="s">
        <v>2037</v>
      </c>
      <c r="G1448" s="2" t="s">
        <v>13</v>
      </c>
      <c r="H1448" s="2">
        <v>1</v>
      </c>
      <c r="I1448" s="2" t="s">
        <v>39</v>
      </c>
      <c r="J1448" s="2" t="str">
        <f>VLOOKUP(E1448,[1]LL_Hub!$A$1:$B$13,2,FALSE)</f>
        <v>Denver</v>
      </c>
      <c r="K1448" t="str">
        <f>VLOOKUP(D1448,'[2]product Table data'!$A$2:$B$12,2,FALSE)</f>
        <v>Female</v>
      </c>
      <c r="L1448" t="str">
        <f>VLOOKUP($D1448,'[2]product Table data'!$A$2:$G$12,L$1,FALSE)</f>
        <v>Casual n Light</v>
      </c>
      <c r="M1448" t="str">
        <f>VLOOKUP($D1448,'[2]product Table data'!$A$2:$G$12,M$1,FALSE)</f>
        <v>Guatemala</v>
      </c>
      <c r="N1448" t="str">
        <f>VLOOKUP($D1448,'[2]product Table data'!$A$2:$G$12,N$1,FALSE)</f>
        <v>Central America</v>
      </c>
      <c r="O1448">
        <f>VLOOKUP($D1448,'[2]product Table data'!$A$2:$G$12,O$1,FALSE)</f>
        <v>25</v>
      </c>
      <c r="P1448">
        <f>VLOOKUP($D1448,'[2]product Table data'!$A$2:$G$12,P$1,FALSE)</f>
        <v>30</v>
      </c>
      <c r="Q1448">
        <f t="shared" si="110"/>
        <v>5</v>
      </c>
      <c r="R1448" t="str">
        <f t="shared" si="111"/>
        <v>Hub Risk</v>
      </c>
      <c r="S1448" t="str">
        <f t="shared" si="112"/>
        <v>Style Risk</v>
      </c>
      <c r="T1448" t="str">
        <f t="shared" si="113"/>
        <v>Risk</v>
      </c>
      <c r="U1448" t="str">
        <f t="shared" si="114"/>
        <v>Low Value</v>
      </c>
    </row>
    <row r="1449" spans="1:21" x14ac:dyDescent="0.2">
      <c r="A1449" s="2">
        <v>127</v>
      </c>
      <c r="B1449" s="2" t="s">
        <v>9</v>
      </c>
      <c r="C1449" s="2" t="s">
        <v>65</v>
      </c>
      <c r="D1449" s="2" t="s">
        <v>41</v>
      </c>
      <c r="E1449" s="2">
        <v>10022</v>
      </c>
      <c r="F1449" s="2" t="s">
        <v>35</v>
      </c>
      <c r="G1449" s="2" t="s">
        <v>36</v>
      </c>
      <c r="H1449" s="2">
        <v>1</v>
      </c>
      <c r="I1449" s="2" t="s">
        <v>14</v>
      </c>
      <c r="J1449" s="2" t="str">
        <f>VLOOKUP(E1449,[1]LL_Hub!$A$1:$B$13,2,FALSE)</f>
        <v>New York</v>
      </c>
      <c r="K1449" t="str">
        <f>VLOOKUP(D1449,'[2]product Table data'!$A$2:$B$12,2,FALSE)</f>
        <v>Male</v>
      </c>
      <c r="L1449" t="str">
        <f>VLOOKUP($D1449,'[2]product Table data'!$A$2:$G$12,L$1,FALSE)</f>
        <v>Winter Warmth</v>
      </c>
      <c r="M1449" t="str">
        <f>VLOOKUP($D1449,'[2]product Table data'!$A$2:$G$12,M$1,FALSE)</f>
        <v>Moldova</v>
      </c>
      <c r="N1449" t="str">
        <f>VLOOKUP($D1449,'[2]product Table data'!$A$2:$G$12,N$1,FALSE)</f>
        <v>Eastern Europe</v>
      </c>
      <c r="O1449">
        <f>VLOOKUP($D1449,'[2]product Table data'!$A$2:$G$12,O$1,FALSE)</f>
        <v>475</v>
      </c>
      <c r="P1449">
        <f>VLOOKUP($D1449,'[2]product Table data'!$A$2:$G$12,P$1,FALSE)</f>
        <v>600</v>
      </c>
      <c r="Q1449">
        <f t="shared" si="110"/>
        <v>125</v>
      </c>
      <c r="R1449" t="str">
        <f t="shared" si="111"/>
        <v>-</v>
      </c>
      <c r="S1449" t="str">
        <f t="shared" si="112"/>
        <v>-</v>
      </c>
      <c r="T1449" t="str">
        <f t="shared" si="113"/>
        <v>-</v>
      </c>
      <c r="U1449" t="str">
        <f t="shared" si="114"/>
        <v>High Value</v>
      </c>
    </row>
    <row r="1450" spans="1:21" x14ac:dyDescent="0.2">
      <c r="A1450" s="2">
        <v>129</v>
      </c>
      <c r="B1450" s="2" t="s">
        <v>9</v>
      </c>
      <c r="C1450" s="2" t="s">
        <v>68</v>
      </c>
      <c r="D1450" s="2" t="s">
        <v>41</v>
      </c>
      <c r="E1450" s="2">
        <v>10022</v>
      </c>
      <c r="F1450" s="2" t="s">
        <v>69</v>
      </c>
      <c r="G1450" s="2" t="s">
        <v>13</v>
      </c>
      <c r="H1450" s="2">
        <v>1</v>
      </c>
      <c r="I1450" s="2" t="s">
        <v>14</v>
      </c>
      <c r="J1450" s="2" t="str">
        <f>VLOOKUP(E1450,[1]LL_Hub!$A$1:$B$13,2,FALSE)</f>
        <v>New York</v>
      </c>
      <c r="K1450" t="str">
        <f>VLOOKUP(D1450,'[2]product Table data'!$A$2:$B$12,2,FALSE)</f>
        <v>Male</v>
      </c>
      <c r="L1450" t="str">
        <f>VLOOKUP($D1450,'[2]product Table data'!$A$2:$G$12,L$1,FALSE)</f>
        <v>Winter Warmth</v>
      </c>
      <c r="M1450" t="str">
        <f>VLOOKUP($D1450,'[2]product Table data'!$A$2:$G$12,M$1,FALSE)</f>
        <v>Moldova</v>
      </c>
      <c r="N1450" t="str">
        <f>VLOOKUP($D1450,'[2]product Table data'!$A$2:$G$12,N$1,FALSE)</f>
        <v>Eastern Europe</v>
      </c>
      <c r="O1450">
        <f>VLOOKUP($D1450,'[2]product Table data'!$A$2:$G$12,O$1,FALSE)</f>
        <v>475</v>
      </c>
      <c r="P1450">
        <f>VLOOKUP($D1450,'[2]product Table data'!$A$2:$G$12,P$1,FALSE)</f>
        <v>600</v>
      </c>
      <c r="Q1450">
        <f t="shared" si="110"/>
        <v>125</v>
      </c>
      <c r="R1450" t="str">
        <f t="shared" si="111"/>
        <v>-</v>
      </c>
      <c r="S1450" t="str">
        <f t="shared" si="112"/>
        <v>-</v>
      </c>
      <c r="T1450" t="str">
        <f t="shared" si="113"/>
        <v>-</v>
      </c>
      <c r="U1450" t="str">
        <f t="shared" si="114"/>
        <v>High Value</v>
      </c>
    </row>
    <row r="1451" spans="1:21" x14ac:dyDescent="0.2">
      <c r="A1451" s="2">
        <v>203</v>
      </c>
      <c r="B1451" s="2" t="s">
        <v>9</v>
      </c>
      <c r="C1451" s="2" t="s">
        <v>85</v>
      </c>
      <c r="D1451" s="2" t="s">
        <v>41</v>
      </c>
      <c r="E1451" s="2">
        <v>10022</v>
      </c>
      <c r="F1451" s="2" t="s">
        <v>86</v>
      </c>
      <c r="G1451" s="2" t="s">
        <v>13</v>
      </c>
      <c r="H1451" s="2">
        <v>1</v>
      </c>
      <c r="I1451" s="2" t="s">
        <v>14</v>
      </c>
      <c r="J1451" s="2" t="str">
        <f>VLOOKUP(E1451,[1]LL_Hub!$A$1:$B$13,2,FALSE)</f>
        <v>New York</v>
      </c>
      <c r="K1451" t="str">
        <f>VLOOKUP(D1451,'[2]product Table data'!$A$2:$B$12,2,FALSE)</f>
        <v>Male</v>
      </c>
      <c r="L1451" t="str">
        <f>VLOOKUP($D1451,'[2]product Table data'!$A$2:$G$12,L$1,FALSE)</f>
        <v>Winter Warmth</v>
      </c>
      <c r="M1451" t="str">
        <f>VLOOKUP($D1451,'[2]product Table data'!$A$2:$G$12,M$1,FALSE)</f>
        <v>Moldova</v>
      </c>
      <c r="N1451" t="str">
        <f>VLOOKUP($D1451,'[2]product Table data'!$A$2:$G$12,N$1,FALSE)</f>
        <v>Eastern Europe</v>
      </c>
      <c r="O1451">
        <f>VLOOKUP($D1451,'[2]product Table data'!$A$2:$G$12,O$1,FALSE)</f>
        <v>475</v>
      </c>
      <c r="P1451">
        <f>VLOOKUP($D1451,'[2]product Table data'!$A$2:$G$12,P$1,FALSE)</f>
        <v>600</v>
      </c>
      <c r="Q1451">
        <f t="shared" si="110"/>
        <v>125</v>
      </c>
      <c r="R1451" t="str">
        <f t="shared" si="111"/>
        <v>-</v>
      </c>
      <c r="S1451" t="str">
        <f t="shared" si="112"/>
        <v>-</v>
      </c>
      <c r="T1451" t="str">
        <f t="shared" si="113"/>
        <v>-</v>
      </c>
      <c r="U1451" t="str">
        <f t="shared" si="114"/>
        <v>High Value</v>
      </c>
    </row>
    <row r="1452" spans="1:21" x14ac:dyDescent="0.2">
      <c r="A1452" s="2">
        <v>204</v>
      </c>
      <c r="B1452" s="2" t="s">
        <v>9</v>
      </c>
      <c r="C1452" s="2" t="s">
        <v>87</v>
      </c>
      <c r="D1452" s="2" t="s">
        <v>41</v>
      </c>
      <c r="E1452" s="2">
        <v>10022</v>
      </c>
      <c r="F1452" s="2" t="s">
        <v>88</v>
      </c>
      <c r="G1452" s="2" t="s">
        <v>13</v>
      </c>
      <c r="H1452" s="2">
        <v>1</v>
      </c>
      <c r="I1452" s="2" t="s">
        <v>14</v>
      </c>
      <c r="J1452" s="2" t="str">
        <f>VLOOKUP(E1452,[1]LL_Hub!$A$1:$B$13,2,FALSE)</f>
        <v>New York</v>
      </c>
      <c r="K1452" t="str">
        <f>VLOOKUP(D1452,'[2]product Table data'!$A$2:$B$12,2,FALSE)</f>
        <v>Male</v>
      </c>
      <c r="L1452" t="str">
        <f>VLOOKUP($D1452,'[2]product Table data'!$A$2:$G$12,L$1,FALSE)</f>
        <v>Winter Warmth</v>
      </c>
      <c r="M1452" t="str">
        <f>VLOOKUP($D1452,'[2]product Table data'!$A$2:$G$12,M$1,FALSE)</f>
        <v>Moldova</v>
      </c>
      <c r="N1452" t="str">
        <f>VLOOKUP($D1452,'[2]product Table data'!$A$2:$G$12,N$1,FALSE)</f>
        <v>Eastern Europe</v>
      </c>
      <c r="O1452">
        <f>VLOOKUP($D1452,'[2]product Table data'!$A$2:$G$12,O$1,FALSE)</f>
        <v>475</v>
      </c>
      <c r="P1452">
        <f>VLOOKUP($D1452,'[2]product Table data'!$A$2:$G$12,P$1,FALSE)</f>
        <v>600</v>
      </c>
      <c r="Q1452">
        <f t="shared" si="110"/>
        <v>125</v>
      </c>
      <c r="R1452" t="str">
        <f t="shared" si="111"/>
        <v>-</v>
      </c>
      <c r="S1452" t="str">
        <f t="shared" si="112"/>
        <v>-</v>
      </c>
      <c r="T1452" t="str">
        <f t="shared" si="113"/>
        <v>-</v>
      </c>
      <c r="U1452" t="str">
        <f t="shared" si="114"/>
        <v>High Value</v>
      </c>
    </row>
    <row r="1453" spans="1:21" x14ac:dyDescent="0.2">
      <c r="A1453" s="2">
        <v>580</v>
      </c>
      <c r="B1453" s="2" t="s">
        <v>9</v>
      </c>
      <c r="C1453" s="2" t="s">
        <v>133</v>
      </c>
      <c r="D1453" s="2" t="s">
        <v>41</v>
      </c>
      <c r="E1453" s="2">
        <v>10001</v>
      </c>
      <c r="F1453" s="2" t="s">
        <v>134</v>
      </c>
      <c r="G1453" s="2" t="s">
        <v>13</v>
      </c>
      <c r="H1453" s="2">
        <v>1</v>
      </c>
      <c r="I1453" s="2" t="s">
        <v>14</v>
      </c>
      <c r="J1453" s="2" t="str">
        <f>VLOOKUP(E1453,[1]LL_Hub!$A$1:$B$13,2,FALSE)</f>
        <v>New York</v>
      </c>
      <c r="K1453" t="str">
        <f>VLOOKUP(D1453,'[2]product Table data'!$A$2:$B$12,2,FALSE)</f>
        <v>Male</v>
      </c>
      <c r="L1453" t="str">
        <f>VLOOKUP($D1453,'[2]product Table data'!$A$2:$G$12,L$1,FALSE)</f>
        <v>Winter Warmth</v>
      </c>
      <c r="M1453" t="str">
        <f>VLOOKUP($D1453,'[2]product Table data'!$A$2:$G$12,M$1,FALSE)</f>
        <v>Moldova</v>
      </c>
      <c r="N1453" t="str">
        <f>VLOOKUP($D1453,'[2]product Table data'!$A$2:$G$12,N$1,FALSE)</f>
        <v>Eastern Europe</v>
      </c>
      <c r="O1453">
        <f>VLOOKUP($D1453,'[2]product Table data'!$A$2:$G$12,O$1,FALSE)</f>
        <v>475</v>
      </c>
      <c r="P1453">
        <f>VLOOKUP($D1453,'[2]product Table data'!$A$2:$G$12,P$1,FALSE)</f>
        <v>600</v>
      </c>
      <c r="Q1453">
        <f t="shared" si="110"/>
        <v>125</v>
      </c>
      <c r="R1453" t="str">
        <f t="shared" si="111"/>
        <v>-</v>
      </c>
      <c r="S1453" t="str">
        <f t="shared" si="112"/>
        <v>-</v>
      </c>
      <c r="T1453" t="str">
        <f t="shared" si="113"/>
        <v>-</v>
      </c>
      <c r="U1453" t="str">
        <f t="shared" si="114"/>
        <v>High Value</v>
      </c>
    </row>
    <row r="1454" spans="1:21" hidden="1" x14ac:dyDescent="0.2">
      <c r="A1454" s="2">
        <v>1452</v>
      </c>
      <c r="B1454" s="2" t="s">
        <v>9</v>
      </c>
      <c r="C1454" s="2" t="s">
        <v>2048</v>
      </c>
      <c r="D1454" s="2" t="s">
        <v>566</v>
      </c>
      <c r="E1454" s="2">
        <v>80014</v>
      </c>
      <c r="F1454" s="2" t="s">
        <v>2049</v>
      </c>
      <c r="G1454" s="2" t="s">
        <v>13</v>
      </c>
      <c r="H1454" s="2">
        <v>1</v>
      </c>
      <c r="I1454" s="2" t="s">
        <v>39</v>
      </c>
      <c r="J1454" s="2" t="str">
        <f>VLOOKUP(E1454,[1]LL_Hub!$A$1:$B$13,2,FALSE)</f>
        <v>Denver</v>
      </c>
      <c r="K1454" t="str">
        <f>VLOOKUP(D1454,'[2]product Table data'!$A$2:$B$12,2,FALSE)</f>
        <v>Female</v>
      </c>
      <c r="L1454" t="str">
        <f>VLOOKUP($D1454,'[2]product Table data'!$A$2:$G$12,L$1,FALSE)</f>
        <v>Casual n Light</v>
      </c>
      <c r="M1454" t="str">
        <f>VLOOKUP($D1454,'[2]product Table data'!$A$2:$G$12,M$1,FALSE)</f>
        <v>Guatemala</v>
      </c>
      <c r="N1454" t="str">
        <f>VLOOKUP($D1454,'[2]product Table data'!$A$2:$G$12,N$1,FALSE)</f>
        <v>Central America</v>
      </c>
      <c r="O1454">
        <f>VLOOKUP($D1454,'[2]product Table data'!$A$2:$G$12,O$1,FALSE)</f>
        <v>25</v>
      </c>
      <c r="P1454">
        <f>VLOOKUP($D1454,'[2]product Table data'!$A$2:$G$12,P$1,FALSE)</f>
        <v>30</v>
      </c>
      <c r="Q1454">
        <f t="shared" si="110"/>
        <v>5</v>
      </c>
      <c r="R1454" t="str">
        <f t="shared" si="111"/>
        <v>Hub Risk</v>
      </c>
      <c r="S1454" t="str">
        <f t="shared" si="112"/>
        <v>Style Risk</v>
      </c>
      <c r="T1454" t="str">
        <f t="shared" si="113"/>
        <v>Risk</v>
      </c>
      <c r="U1454" t="str">
        <f t="shared" si="114"/>
        <v>Low Value</v>
      </c>
    </row>
    <row r="1455" spans="1:21" hidden="1" x14ac:dyDescent="0.2">
      <c r="A1455" s="2">
        <v>1453</v>
      </c>
      <c r="B1455" s="2" t="s">
        <v>9</v>
      </c>
      <c r="C1455" s="2" t="s">
        <v>2050</v>
      </c>
      <c r="D1455" s="2" t="s">
        <v>566</v>
      </c>
      <c r="E1455" s="2">
        <v>80014</v>
      </c>
      <c r="F1455" s="2" t="s">
        <v>2051</v>
      </c>
      <c r="G1455" s="2" t="s">
        <v>13</v>
      </c>
      <c r="H1455" s="2">
        <v>1</v>
      </c>
      <c r="I1455" s="2" t="s">
        <v>39</v>
      </c>
      <c r="J1455" s="2" t="str">
        <f>VLOOKUP(E1455,[1]LL_Hub!$A$1:$B$13,2,FALSE)</f>
        <v>Denver</v>
      </c>
      <c r="K1455" t="str">
        <f>VLOOKUP(D1455,'[2]product Table data'!$A$2:$B$12,2,FALSE)</f>
        <v>Female</v>
      </c>
      <c r="L1455" t="str">
        <f>VLOOKUP($D1455,'[2]product Table data'!$A$2:$G$12,L$1,FALSE)</f>
        <v>Casual n Light</v>
      </c>
      <c r="M1455" t="str">
        <f>VLOOKUP($D1455,'[2]product Table data'!$A$2:$G$12,M$1,FALSE)</f>
        <v>Guatemala</v>
      </c>
      <c r="N1455" t="str">
        <f>VLOOKUP($D1455,'[2]product Table data'!$A$2:$G$12,N$1,FALSE)</f>
        <v>Central America</v>
      </c>
      <c r="O1455">
        <f>VLOOKUP($D1455,'[2]product Table data'!$A$2:$G$12,O$1,FALSE)</f>
        <v>25</v>
      </c>
      <c r="P1455">
        <f>VLOOKUP($D1455,'[2]product Table data'!$A$2:$G$12,P$1,FALSE)</f>
        <v>30</v>
      </c>
      <c r="Q1455">
        <f t="shared" si="110"/>
        <v>5</v>
      </c>
      <c r="R1455" t="str">
        <f t="shared" si="111"/>
        <v>Hub Risk</v>
      </c>
      <c r="S1455" t="str">
        <f t="shared" si="112"/>
        <v>Style Risk</v>
      </c>
      <c r="T1455" t="str">
        <f t="shared" si="113"/>
        <v>Risk</v>
      </c>
      <c r="U1455" t="str">
        <f t="shared" si="114"/>
        <v>Low Value</v>
      </c>
    </row>
    <row r="1456" spans="1:21" hidden="1" x14ac:dyDescent="0.2">
      <c r="A1456" s="2">
        <v>1454</v>
      </c>
      <c r="B1456" s="2" t="s">
        <v>9</v>
      </c>
      <c r="C1456" s="2" t="s">
        <v>2052</v>
      </c>
      <c r="D1456" s="2" t="s">
        <v>566</v>
      </c>
      <c r="E1456" s="2">
        <v>80014</v>
      </c>
      <c r="F1456" s="2" t="s">
        <v>2053</v>
      </c>
      <c r="G1456" s="2" t="s">
        <v>13</v>
      </c>
      <c r="H1456" s="2">
        <v>1</v>
      </c>
      <c r="I1456" s="2" t="s">
        <v>39</v>
      </c>
      <c r="J1456" s="2" t="str">
        <f>VLOOKUP(E1456,[1]LL_Hub!$A$1:$B$13,2,FALSE)</f>
        <v>Denver</v>
      </c>
      <c r="K1456" t="str">
        <f>VLOOKUP(D1456,'[2]product Table data'!$A$2:$B$12,2,FALSE)</f>
        <v>Female</v>
      </c>
      <c r="L1456" t="str">
        <f>VLOOKUP($D1456,'[2]product Table data'!$A$2:$G$12,L$1,FALSE)</f>
        <v>Casual n Light</v>
      </c>
      <c r="M1456" t="str">
        <f>VLOOKUP($D1456,'[2]product Table data'!$A$2:$G$12,M$1,FALSE)</f>
        <v>Guatemala</v>
      </c>
      <c r="N1456" t="str">
        <f>VLOOKUP($D1456,'[2]product Table data'!$A$2:$G$12,N$1,FALSE)</f>
        <v>Central America</v>
      </c>
      <c r="O1456">
        <f>VLOOKUP($D1456,'[2]product Table data'!$A$2:$G$12,O$1,FALSE)</f>
        <v>25</v>
      </c>
      <c r="P1456">
        <f>VLOOKUP($D1456,'[2]product Table data'!$A$2:$G$12,P$1,FALSE)</f>
        <v>30</v>
      </c>
      <c r="Q1456">
        <f t="shared" si="110"/>
        <v>5</v>
      </c>
      <c r="R1456" t="str">
        <f t="shared" si="111"/>
        <v>Hub Risk</v>
      </c>
      <c r="S1456" t="str">
        <f t="shared" si="112"/>
        <v>Style Risk</v>
      </c>
      <c r="T1456" t="str">
        <f t="shared" si="113"/>
        <v>Risk</v>
      </c>
      <c r="U1456" t="str">
        <f t="shared" si="114"/>
        <v>Low Value</v>
      </c>
    </row>
    <row r="1457" spans="1:21" hidden="1" x14ac:dyDescent="0.2">
      <c r="A1457" s="2">
        <v>1455</v>
      </c>
      <c r="B1457" s="2" t="s">
        <v>9</v>
      </c>
      <c r="C1457" s="2" t="s">
        <v>2054</v>
      </c>
      <c r="D1457" s="2" t="s">
        <v>566</v>
      </c>
      <c r="E1457" s="2">
        <v>80014</v>
      </c>
      <c r="F1457" s="2" t="s">
        <v>2055</v>
      </c>
      <c r="G1457" s="2" t="s">
        <v>13</v>
      </c>
      <c r="H1457" s="2">
        <v>1</v>
      </c>
      <c r="I1457" s="2" t="s">
        <v>39</v>
      </c>
      <c r="J1457" s="2" t="str">
        <f>VLOOKUP(E1457,[1]LL_Hub!$A$1:$B$13,2,FALSE)</f>
        <v>Denver</v>
      </c>
      <c r="K1457" t="str">
        <f>VLOOKUP(D1457,'[2]product Table data'!$A$2:$B$12,2,FALSE)</f>
        <v>Female</v>
      </c>
      <c r="L1457" t="str">
        <f>VLOOKUP($D1457,'[2]product Table data'!$A$2:$G$12,L$1,FALSE)</f>
        <v>Casual n Light</v>
      </c>
      <c r="M1457" t="str">
        <f>VLOOKUP($D1457,'[2]product Table data'!$A$2:$G$12,M$1,FALSE)</f>
        <v>Guatemala</v>
      </c>
      <c r="N1457" t="str">
        <f>VLOOKUP($D1457,'[2]product Table data'!$A$2:$G$12,N$1,FALSE)</f>
        <v>Central America</v>
      </c>
      <c r="O1457">
        <f>VLOOKUP($D1457,'[2]product Table data'!$A$2:$G$12,O$1,FALSE)</f>
        <v>25</v>
      </c>
      <c r="P1457">
        <f>VLOOKUP($D1457,'[2]product Table data'!$A$2:$G$12,P$1,FALSE)</f>
        <v>30</v>
      </c>
      <c r="Q1457">
        <f t="shared" si="110"/>
        <v>5</v>
      </c>
      <c r="R1457" t="str">
        <f t="shared" si="111"/>
        <v>Hub Risk</v>
      </c>
      <c r="S1457" t="str">
        <f t="shared" si="112"/>
        <v>Style Risk</v>
      </c>
      <c r="T1457" t="str">
        <f t="shared" si="113"/>
        <v>Risk</v>
      </c>
      <c r="U1457" t="str">
        <f t="shared" si="114"/>
        <v>Low Value</v>
      </c>
    </row>
    <row r="1458" spans="1:21" hidden="1" x14ac:dyDescent="0.2">
      <c r="A1458" s="2">
        <v>1456</v>
      </c>
      <c r="B1458" s="2" t="s">
        <v>9</v>
      </c>
      <c r="C1458" s="2" t="s">
        <v>2056</v>
      </c>
      <c r="D1458" s="2" t="s">
        <v>566</v>
      </c>
      <c r="E1458" s="2">
        <v>80014</v>
      </c>
      <c r="F1458" s="2" t="s">
        <v>2057</v>
      </c>
      <c r="G1458" s="2" t="s">
        <v>13</v>
      </c>
      <c r="H1458" s="2">
        <v>1</v>
      </c>
      <c r="I1458" s="2" t="s">
        <v>39</v>
      </c>
      <c r="J1458" s="2" t="str">
        <f>VLOOKUP(E1458,[1]LL_Hub!$A$1:$B$13,2,FALSE)</f>
        <v>Denver</v>
      </c>
      <c r="K1458" t="str">
        <f>VLOOKUP(D1458,'[2]product Table data'!$A$2:$B$12,2,FALSE)</f>
        <v>Female</v>
      </c>
      <c r="L1458" t="str">
        <f>VLOOKUP($D1458,'[2]product Table data'!$A$2:$G$12,L$1,FALSE)</f>
        <v>Casual n Light</v>
      </c>
      <c r="M1458" t="str">
        <f>VLOOKUP($D1458,'[2]product Table data'!$A$2:$G$12,M$1,FALSE)</f>
        <v>Guatemala</v>
      </c>
      <c r="N1458" t="str">
        <f>VLOOKUP($D1458,'[2]product Table data'!$A$2:$G$12,N$1,FALSE)</f>
        <v>Central America</v>
      </c>
      <c r="O1458">
        <f>VLOOKUP($D1458,'[2]product Table data'!$A$2:$G$12,O$1,FALSE)</f>
        <v>25</v>
      </c>
      <c r="P1458">
        <f>VLOOKUP($D1458,'[2]product Table data'!$A$2:$G$12,P$1,FALSE)</f>
        <v>30</v>
      </c>
      <c r="Q1458">
        <f t="shared" si="110"/>
        <v>5</v>
      </c>
      <c r="R1458" t="str">
        <f t="shared" si="111"/>
        <v>Hub Risk</v>
      </c>
      <c r="S1458" t="str">
        <f t="shared" si="112"/>
        <v>Style Risk</v>
      </c>
      <c r="T1458" t="str">
        <f t="shared" si="113"/>
        <v>Risk</v>
      </c>
      <c r="U1458" t="str">
        <f t="shared" si="114"/>
        <v>Low Value</v>
      </c>
    </row>
    <row r="1459" spans="1:21" hidden="1" x14ac:dyDescent="0.2">
      <c r="A1459" s="2">
        <v>1457</v>
      </c>
      <c r="B1459" s="2" t="s">
        <v>9</v>
      </c>
      <c r="C1459" s="2" t="s">
        <v>2058</v>
      </c>
      <c r="D1459" s="2" t="s">
        <v>566</v>
      </c>
      <c r="E1459" s="2">
        <v>80014</v>
      </c>
      <c r="F1459" s="2" t="s">
        <v>2059</v>
      </c>
      <c r="G1459" s="2" t="s">
        <v>13</v>
      </c>
      <c r="H1459" s="2">
        <v>1</v>
      </c>
      <c r="I1459" s="2" t="s">
        <v>39</v>
      </c>
      <c r="J1459" s="2" t="str">
        <f>VLOOKUP(E1459,[1]LL_Hub!$A$1:$B$13,2,FALSE)</f>
        <v>Denver</v>
      </c>
      <c r="K1459" t="str">
        <f>VLOOKUP(D1459,'[2]product Table data'!$A$2:$B$12,2,FALSE)</f>
        <v>Female</v>
      </c>
      <c r="L1459" t="str">
        <f>VLOOKUP($D1459,'[2]product Table data'!$A$2:$G$12,L$1,FALSE)</f>
        <v>Casual n Light</v>
      </c>
      <c r="M1459" t="str">
        <f>VLOOKUP($D1459,'[2]product Table data'!$A$2:$G$12,M$1,FALSE)</f>
        <v>Guatemala</v>
      </c>
      <c r="N1459" t="str">
        <f>VLOOKUP($D1459,'[2]product Table data'!$A$2:$G$12,N$1,FALSE)</f>
        <v>Central America</v>
      </c>
      <c r="O1459">
        <f>VLOOKUP($D1459,'[2]product Table data'!$A$2:$G$12,O$1,FALSE)</f>
        <v>25</v>
      </c>
      <c r="P1459">
        <f>VLOOKUP($D1459,'[2]product Table data'!$A$2:$G$12,P$1,FALSE)</f>
        <v>30</v>
      </c>
      <c r="Q1459">
        <f t="shared" si="110"/>
        <v>5</v>
      </c>
      <c r="R1459" t="str">
        <f t="shared" si="111"/>
        <v>Hub Risk</v>
      </c>
      <c r="S1459" t="str">
        <f t="shared" si="112"/>
        <v>Style Risk</v>
      </c>
      <c r="T1459" t="str">
        <f t="shared" si="113"/>
        <v>Risk</v>
      </c>
      <c r="U1459" t="str">
        <f t="shared" si="114"/>
        <v>Low Value</v>
      </c>
    </row>
    <row r="1460" spans="1:21" hidden="1" x14ac:dyDescent="0.2">
      <c r="A1460" s="2">
        <v>1458</v>
      </c>
      <c r="B1460" s="2" t="s">
        <v>9</v>
      </c>
      <c r="C1460" s="2" t="s">
        <v>2060</v>
      </c>
      <c r="D1460" s="2" t="s">
        <v>566</v>
      </c>
      <c r="E1460" s="2">
        <v>80014</v>
      </c>
      <c r="F1460" s="2" t="s">
        <v>2061</v>
      </c>
      <c r="G1460" s="2" t="s">
        <v>13</v>
      </c>
      <c r="H1460" s="2">
        <v>1</v>
      </c>
      <c r="I1460" s="2" t="s">
        <v>39</v>
      </c>
      <c r="J1460" s="2" t="str">
        <f>VLOOKUP(E1460,[1]LL_Hub!$A$1:$B$13,2,FALSE)</f>
        <v>Denver</v>
      </c>
      <c r="K1460" t="str">
        <f>VLOOKUP(D1460,'[2]product Table data'!$A$2:$B$12,2,FALSE)</f>
        <v>Female</v>
      </c>
      <c r="L1460" t="str">
        <f>VLOOKUP($D1460,'[2]product Table data'!$A$2:$G$12,L$1,FALSE)</f>
        <v>Casual n Light</v>
      </c>
      <c r="M1460" t="str">
        <f>VLOOKUP($D1460,'[2]product Table data'!$A$2:$G$12,M$1,FALSE)</f>
        <v>Guatemala</v>
      </c>
      <c r="N1460" t="str">
        <f>VLOOKUP($D1460,'[2]product Table data'!$A$2:$G$12,N$1,FALSE)</f>
        <v>Central America</v>
      </c>
      <c r="O1460">
        <f>VLOOKUP($D1460,'[2]product Table data'!$A$2:$G$12,O$1,FALSE)</f>
        <v>25</v>
      </c>
      <c r="P1460">
        <f>VLOOKUP($D1460,'[2]product Table data'!$A$2:$G$12,P$1,FALSE)</f>
        <v>30</v>
      </c>
      <c r="Q1460">
        <f t="shared" si="110"/>
        <v>5</v>
      </c>
      <c r="R1460" t="str">
        <f t="shared" si="111"/>
        <v>Hub Risk</v>
      </c>
      <c r="S1460" t="str">
        <f t="shared" si="112"/>
        <v>Style Risk</v>
      </c>
      <c r="T1460" t="str">
        <f t="shared" si="113"/>
        <v>Risk</v>
      </c>
      <c r="U1460" t="str">
        <f t="shared" si="114"/>
        <v>Low Value</v>
      </c>
    </row>
    <row r="1461" spans="1:21" hidden="1" x14ac:dyDescent="0.2">
      <c r="A1461" s="2">
        <v>1459</v>
      </c>
      <c r="B1461" s="2" t="s">
        <v>9</v>
      </c>
      <c r="C1461" s="2" t="s">
        <v>2062</v>
      </c>
      <c r="D1461" s="2" t="s">
        <v>566</v>
      </c>
      <c r="E1461" s="2">
        <v>80014</v>
      </c>
      <c r="F1461" s="2" t="s">
        <v>2063</v>
      </c>
      <c r="G1461" s="2" t="s">
        <v>13</v>
      </c>
      <c r="H1461" s="2">
        <v>1</v>
      </c>
      <c r="I1461" s="2" t="s">
        <v>39</v>
      </c>
      <c r="J1461" s="2" t="str">
        <f>VLOOKUP(E1461,[1]LL_Hub!$A$1:$B$13,2,FALSE)</f>
        <v>Denver</v>
      </c>
      <c r="K1461" t="str">
        <f>VLOOKUP(D1461,'[2]product Table data'!$A$2:$B$12,2,FALSE)</f>
        <v>Female</v>
      </c>
      <c r="L1461" t="str">
        <f>VLOOKUP($D1461,'[2]product Table data'!$A$2:$G$12,L$1,FALSE)</f>
        <v>Casual n Light</v>
      </c>
      <c r="M1461" t="str">
        <f>VLOOKUP($D1461,'[2]product Table data'!$A$2:$G$12,M$1,FALSE)</f>
        <v>Guatemala</v>
      </c>
      <c r="N1461" t="str">
        <f>VLOOKUP($D1461,'[2]product Table data'!$A$2:$G$12,N$1,FALSE)</f>
        <v>Central America</v>
      </c>
      <c r="O1461">
        <f>VLOOKUP($D1461,'[2]product Table data'!$A$2:$G$12,O$1,FALSE)</f>
        <v>25</v>
      </c>
      <c r="P1461">
        <f>VLOOKUP($D1461,'[2]product Table data'!$A$2:$G$12,P$1,FALSE)</f>
        <v>30</v>
      </c>
      <c r="Q1461">
        <f t="shared" si="110"/>
        <v>5</v>
      </c>
      <c r="R1461" t="str">
        <f t="shared" si="111"/>
        <v>Hub Risk</v>
      </c>
      <c r="S1461" t="str">
        <f t="shared" si="112"/>
        <v>Style Risk</v>
      </c>
      <c r="T1461" t="str">
        <f t="shared" si="113"/>
        <v>Risk</v>
      </c>
      <c r="U1461" t="str">
        <f t="shared" si="114"/>
        <v>Low Value</v>
      </c>
    </row>
    <row r="1462" spans="1:21" hidden="1" x14ac:dyDescent="0.2">
      <c r="A1462" s="2">
        <v>1460</v>
      </c>
      <c r="B1462" s="2" t="s">
        <v>9</v>
      </c>
      <c r="C1462" s="2" t="s">
        <v>2064</v>
      </c>
      <c r="D1462" s="2" t="s">
        <v>566</v>
      </c>
      <c r="E1462" s="2">
        <v>80014</v>
      </c>
      <c r="F1462" s="2" t="s">
        <v>2065</v>
      </c>
      <c r="G1462" s="2" t="s">
        <v>13</v>
      </c>
      <c r="H1462" s="2">
        <v>1</v>
      </c>
      <c r="I1462" s="2" t="s">
        <v>39</v>
      </c>
      <c r="J1462" s="2" t="str">
        <f>VLOOKUP(E1462,[1]LL_Hub!$A$1:$B$13,2,FALSE)</f>
        <v>Denver</v>
      </c>
      <c r="K1462" t="str">
        <f>VLOOKUP(D1462,'[2]product Table data'!$A$2:$B$12,2,FALSE)</f>
        <v>Female</v>
      </c>
      <c r="L1462" t="str">
        <f>VLOOKUP($D1462,'[2]product Table data'!$A$2:$G$12,L$1,FALSE)</f>
        <v>Casual n Light</v>
      </c>
      <c r="M1462" t="str">
        <f>VLOOKUP($D1462,'[2]product Table data'!$A$2:$G$12,M$1,FALSE)</f>
        <v>Guatemala</v>
      </c>
      <c r="N1462" t="str">
        <f>VLOOKUP($D1462,'[2]product Table data'!$A$2:$G$12,N$1,FALSE)</f>
        <v>Central America</v>
      </c>
      <c r="O1462">
        <f>VLOOKUP($D1462,'[2]product Table data'!$A$2:$G$12,O$1,FALSE)</f>
        <v>25</v>
      </c>
      <c r="P1462">
        <f>VLOOKUP($D1462,'[2]product Table data'!$A$2:$G$12,P$1,FALSE)</f>
        <v>30</v>
      </c>
      <c r="Q1462">
        <f t="shared" si="110"/>
        <v>5</v>
      </c>
      <c r="R1462" t="str">
        <f t="shared" si="111"/>
        <v>Hub Risk</v>
      </c>
      <c r="S1462" t="str">
        <f t="shared" si="112"/>
        <v>Style Risk</v>
      </c>
      <c r="T1462" t="str">
        <f t="shared" si="113"/>
        <v>Risk</v>
      </c>
      <c r="U1462" t="str">
        <f t="shared" si="114"/>
        <v>Low Value</v>
      </c>
    </row>
    <row r="1463" spans="1:21" hidden="1" x14ac:dyDescent="0.2">
      <c r="A1463" s="2">
        <v>1461</v>
      </c>
      <c r="B1463" s="2" t="s">
        <v>9</v>
      </c>
      <c r="C1463" s="2" t="s">
        <v>2066</v>
      </c>
      <c r="D1463" s="2" t="s">
        <v>566</v>
      </c>
      <c r="E1463" s="2">
        <v>80014</v>
      </c>
      <c r="F1463" s="2" t="s">
        <v>2067</v>
      </c>
      <c r="G1463" s="2" t="s">
        <v>13</v>
      </c>
      <c r="H1463" s="2">
        <v>1</v>
      </c>
      <c r="I1463" s="2" t="s">
        <v>39</v>
      </c>
      <c r="J1463" s="2" t="str">
        <f>VLOOKUP(E1463,[1]LL_Hub!$A$1:$B$13,2,FALSE)</f>
        <v>Denver</v>
      </c>
      <c r="K1463" t="str">
        <f>VLOOKUP(D1463,'[2]product Table data'!$A$2:$B$12,2,FALSE)</f>
        <v>Female</v>
      </c>
      <c r="L1463" t="str">
        <f>VLOOKUP($D1463,'[2]product Table data'!$A$2:$G$12,L$1,FALSE)</f>
        <v>Casual n Light</v>
      </c>
      <c r="M1463" t="str">
        <f>VLOOKUP($D1463,'[2]product Table data'!$A$2:$G$12,M$1,FALSE)</f>
        <v>Guatemala</v>
      </c>
      <c r="N1463" t="str">
        <f>VLOOKUP($D1463,'[2]product Table data'!$A$2:$G$12,N$1,FALSE)</f>
        <v>Central America</v>
      </c>
      <c r="O1463">
        <f>VLOOKUP($D1463,'[2]product Table data'!$A$2:$G$12,O$1,FALSE)</f>
        <v>25</v>
      </c>
      <c r="P1463">
        <f>VLOOKUP($D1463,'[2]product Table data'!$A$2:$G$12,P$1,FALSE)</f>
        <v>30</v>
      </c>
      <c r="Q1463">
        <f t="shared" si="110"/>
        <v>5</v>
      </c>
      <c r="R1463" t="str">
        <f t="shared" si="111"/>
        <v>Hub Risk</v>
      </c>
      <c r="S1463" t="str">
        <f t="shared" si="112"/>
        <v>Style Risk</v>
      </c>
      <c r="T1463" t="str">
        <f t="shared" si="113"/>
        <v>Risk</v>
      </c>
      <c r="U1463" t="str">
        <f t="shared" si="114"/>
        <v>Low Value</v>
      </c>
    </row>
    <row r="1464" spans="1:21" hidden="1" x14ac:dyDescent="0.2">
      <c r="A1464" s="2">
        <v>1462</v>
      </c>
      <c r="B1464" s="2" t="s">
        <v>9</v>
      </c>
      <c r="C1464" s="2" t="s">
        <v>2068</v>
      </c>
      <c r="D1464" s="2" t="s">
        <v>566</v>
      </c>
      <c r="E1464" s="2">
        <v>80014</v>
      </c>
      <c r="F1464" s="2" t="s">
        <v>2069</v>
      </c>
      <c r="G1464" s="2" t="s">
        <v>13</v>
      </c>
      <c r="H1464" s="2">
        <v>1</v>
      </c>
      <c r="I1464" s="2" t="s">
        <v>39</v>
      </c>
      <c r="J1464" s="2" t="str">
        <f>VLOOKUP(E1464,[1]LL_Hub!$A$1:$B$13,2,FALSE)</f>
        <v>Denver</v>
      </c>
      <c r="K1464" t="str">
        <f>VLOOKUP(D1464,'[2]product Table data'!$A$2:$B$12,2,FALSE)</f>
        <v>Female</v>
      </c>
      <c r="L1464" t="str">
        <f>VLOOKUP($D1464,'[2]product Table data'!$A$2:$G$12,L$1,FALSE)</f>
        <v>Casual n Light</v>
      </c>
      <c r="M1464" t="str">
        <f>VLOOKUP($D1464,'[2]product Table data'!$A$2:$G$12,M$1,FALSE)</f>
        <v>Guatemala</v>
      </c>
      <c r="N1464" t="str">
        <f>VLOOKUP($D1464,'[2]product Table data'!$A$2:$G$12,N$1,FALSE)</f>
        <v>Central America</v>
      </c>
      <c r="O1464">
        <f>VLOOKUP($D1464,'[2]product Table data'!$A$2:$G$12,O$1,FALSE)</f>
        <v>25</v>
      </c>
      <c r="P1464">
        <f>VLOOKUP($D1464,'[2]product Table data'!$A$2:$G$12,P$1,FALSE)</f>
        <v>30</v>
      </c>
      <c r="Q1464">
        <f t="shared" si="110"/>
        <v>5</v>
      </c>
      <c r="R1464" t="str">
        <f t="shared" si="111"/>
        <v>Hub Risk</v>
      </c>
      <c r="S1464" t="str">
        <f t="shared" si="112"/>
        <v>Style Risk</v>
      </c>
      <c r="T1464" t="str">
        <f t="shared" si="113"/>
        <v>Risk</v>
      </c>
      <c r="U1464" t="str">
        <f t="shared" si="114"/>
        <v>Low Value</v>
      </c>
    </row>
    <row r="1465" spans="1:21" hidden="1" x14ac:dyDescent="0.2">
      <c r="A1465" s="2">
        <v>1463</v>
      </c>
      <c r="B1465" s="2" t="s">
        <v>9</v>
      </c>
      <c r="C1465" s="2" t="s">
        <v>2070</v>
      </c>
      <c r="D1465" s="2" t="s">
        <v>566</v>
      </c>
      <c r="E1465" s="2">
        <v>80014</v>
      </c>
      <c r="F1465" s="2" t="s">
        <v>2071</v>
      </c>
      <c r="G1465" s="2" t="s">
        <v>13</v>
      </c>
      <c r="H1465" s="2">
        <v>1</v>
      </c>
      <c r="I1465" s="2" t="s">
        <v>39</v>
      </c>
      <c r="J1465" s="2" t="str">
        <f>VLOOKUP(E1465,[1]LL_Hub!$A$1:$B$13,2,FALSE)</f>
        <v>Denver</v>
      </c>
      <c r="K1465" t="str">
        <f>VLOOKUP(D1465,'[2]product Table data'!$A$2:$B$12,2,FALSE)</f>
        <v>Female</v>
      </c>
      <c r="L1465" t="str">
        <f>VLOOKUP($D1465,'[2]product Table data'!$A$2:$G$12,L$1,FALSE)</f>
        <v>Casual n Light</v>
      </c>
      <c r="M1465" t="str">
        <f>VLOOKUP($D1465,'[2]product Table data'!$A$2:$G$12,M$1,FALSE)</f>
        <v>Guatemala</v>
      </c>
      <c r="N1465" t="str">
        <f>VLOOKUP($D1465,'[2]product Table data'!$A$2:$G$12,N$1,FALSE)</f>
        <v>Central America</v>
      </c>
      <c r="O1465">
        <f>VLOOKUP($D1465,'[2]product Table data'!$A$2:$G$12,O$1,FALSE)</f>
        <v>25</v>
      </c>
      <c r="P1465">
        <f>VLOOKUP($D1465,'[2]product Table data'!$A$2:$G$12,P$1,FALSE)</f>
        <v>30</v>
      </c>
      <c r="Q1465">
        <f t="shared" si="110"/>
        <v>5</v>
      </c>
      <c r="R1465" t="str">
        <f t="shared" si="111"/>
        <v>Hub Risk</v>
      </c>
      <c r="S1465" t="str">
        <f t="shared" si="112"/>
        <v>Style Risk</v>
      </c>
      <c r="T1465" t="str">
        <f t="shared" si="113"/>
        <v>Risk</v>
      </c>
      <c r="U1465" t="str">
        <f t="shared" si="114"/>
        <v>Low Value</v>
      </c>
    </row>
    <row r="1466" spans="1:21" hidden="1" x14ac:dyDescent="0.2">
      <c r="A1466" s="2">
        <v>1464</v>
      </c>
      <c r="B1466" s="2" t="s">
        <v>9</v>
      </c>
      <c r="C1466" s="2" t="s">
        <v>2072</v>
      </c>
      <c r="D1466" s="2" t="s">
        <v>566</v>
      </c>
      <c r="E1466" s="2">
        <v>80014</v>
      </c>
      <c r="F1466" s="2" t="s">
        <v>2073</v>
      </c>
      <c r="G1466" s="2" t="s">
        <v>13</v>
      </c>
      <c r="H1466" s="2">
        <v>1</v>
      </c>
      <c r="I1466" s="2" t="s">
        <v>39</v>
      </c>
      <c r="J1466" s="2" t="str">
        <f>VLOOKUP(E1466,[1]LL_Hub!$A$1:$B$13,2,FALSE)</f>
        <v>Denver</v>
      </c>
      <c r="K1466" t="str">
        <f>VLOOKUP(D1466,'[2]product Table data'!$A$2:$B$12,2,FALSE)</f>
        <v>Female</v>
      </c>
      <c r="L1466" t="str">
        <f>VLOOKUP($D1466,'[2]product Table data'!$A$2:$G$12,L$1,FALSE)</f>
        <v>Casual n Light</v>
      </c>
      <c r="M1466" t="str">
        <f>VLOOKUP($D1466,'[2]product Table data'!$A$2:$G$12,M$1,FALSE)</f>
        <v>Guatemala</v>
      </c>
      <c r="N1466" t="str">
        <f>VLOOKUP($D1466,'[2]product Table data'!$A$2:$G$12,N$1,FALSE)</f>
        <v>Central America</v>
      </c>
      <c r="O1466">
        <f>VLOOKUP($D1466,'[2]product Table data'!$A$2:$G$12,O$1,FALSE)</f>
        <v>25</v>
      </c>
      <c r="P1466">
        <f>VLOOKUP($D1466,'[2]product Table data'!$A$2:$G$12,P$1,FALSE)</f>
        <v>30</v>
      </c>
      <c r="Q1466">
        <f t="shared" si="110"/>
        <v>5</v>
      </c>
      <c r="R1466" t="str">
        <f t="shared" si="111"/>
        <v>Hub Risk</v>
      </c>
      <c r="S1466" t="str">
        <f t="shared" si="112"/>
        <v>Style Risk</v>
      </c>
      <c r="T1466" t="str">
        <f t="shared" si="113"/>
        <v>Risk</v>
      </c>
      <c r="U1466" t="str">
        <f t="shared" si="114"/>
        <v>Low Value</v>
      </c>
    </row>
    <row r="1467" spans="1:21" hidden="1" x14ac:dyDescent="0.2">
      <c r="A1467" s="2">
        <v>1465</v>
      </c>
      <c r="B1467" s="2" t="s">
        <v>9</v>
      </c>
      <c r="C1467" s="2" t="s">
        <v>2074</v>
      </c>
      <c r="D1467" s="2" t="s">
        <v>566</v>
      </c>
      <c r="E1467" s="2">
        <v>80014</v>
      </c>
      <c r="F1467" s="2" t="s">
        <v>2075</v>
      </c>
      <c r="G1467" s="2" t="s">
        <v>13</v>
      </c>
      <c r="H1467" s="2">
        <v>1</v>
      </c>
      <c r="I1467" s="2" t="s">
        <v>39</v>
      </c>
      <c r="J1467" s="2" t="str">
        <f>VLOOKUP(E1467,[1]LL_Hub!$A$1:$B$13,2,FALSE)</f>
        <v>Denver</v>
      </c>
      <c r="K1467" t="str">
        <f>VLOOKUP(D1467,'[2]product Table data'!$A$2:$B$12,2,FALSE)</f>
        <v>Female</v>
      </c>
      <c r="L1467" t="str">
        <f>VLOOKUP($D1467,'[2]product Table data'!$A$2:$G$12,L$1,FALSE)</f>
        <v>Casual n Light</v>
      </c>
      <c r="M1467" t="str">
        <f>VLOOKUP($D1467,'[2]product Table data'!$A$2:$G$12,M$1,FALSE)</f>
        <v>Guatemala</v>
      </c>
      <c r="N1467" t="str">
        <f>VLOOKUP($D1467,'[2]product Table data'!$A$2:$G$12,N$1,FALSE)</f>
        <v>Central America</v>
      </c>
      <c r="O1467">
        <f>VLOOKUP($D1467,'[2]product Table data'!$A$2:$G$12,O$1,FALSE)</f>
        <v>25</v>
      </c>
      <c r="P1467">
        <f>VLOOKUP($D1467,'[2]product Table data'!$A$2:$G$12,P$1,FALSE)</f>
        <v>30</v>
      </c>
      <c r="Q1467">
        <f t="shared" si="110"/>
        <v>5</v>
      </c>
      <c r="R1467" t="str">
        <f t="shared" si="111"/>
        <v>Hub Risk</v>
      </c>
      <c r="S1467" t="str">
        <f t="shared" si="112"/>
        <v>Style Risk</v>
      </c>
      <c r="T1467" t="str">
        <f t="shared" si="113"/>
        <v>Risk</v>
      </c>
      <c r="U1467" t="str">
        <f t="shared" si="114"/>
        <v>Low Value</v>
      </c>
    </row>
    <row r="1468" spans="1:21" hidden="1" x14ac:dyDescent="0.2">
      <c r="A1468" s="2">
        <v>1466</v>
      </c>
      <c r="B1468" s="2" t="s">
        <v>9</v>
      </c>
      <c r="C1468" s="2" t="s">
        <v>2076</v>
      </c>
      <c r="D1468" s="2" t="s">
        <v>566</v>
      </c>
      <c r="E1468" s="2">
        <v>80014</v>
      </c>
      <c r="F1468" s="2" t="s">
        <v>2077</v>
      </c>
      <c r="G1468" s="2" t="s">
        <v>13</v>
      </c>
      <c r="H1468" s="2">
        <v>1</v>
      </c>
      <c r="I1468" s="2" t="s">
        <v>39</v>
      </c>
      <c r="J1468" s="2" t="str">
        <f>VLOOKUP(E1468,[1]LL_Hub!$A$1:$B$13,2,FALSE)</f>
        <v>Denver</v>
      </c>
      <c r="K1468" t="str">
        <f>VLOOKUP(D1468,'[2]product Table data'!$A$2:$B$12,2,FALSE)</f>
        <v>Female</v>
      </c>
      <c r="L1468" t="str">
        <f>VLOOKUP($D1468,'[2]product Table data'!$A$2:$G$12,L$1,FALSE)</f>
        <v>Casual n Light</v>
      </c>
      <c r="M1468" t="str">
        <f>VLOOKUP($D1468,'[2]product Table data'!$A$2:$G$12,M$1,FALSE)</f>
        <v>Guatemala</v>
      </c>
      <c r="N1468" t="str">
        <f>VLOOKUP($D1468,'[2]product Table data'!$A$2:$G$12,N$1,FALSE)</f>
        <v>Central America</v>
      </c>
      <c r="O1468">
        <f>VLOOKUP($D1468,'[2]product Table data'!$A$2:$G$12,O$1,FALSE)</f>
        <v>25</v>
      </c>
      <c r="P1468">
        <f>VLOOKUP($D1468,'[2]product Table data'!$A$2:$G$12,P$1,FALSE)</f>
        <v>30</v>
      </c>
      <c r="Q1468">
        <f t="shared" si="110"/>
        <v>5</v>
      </c>
      <c r="R1468" t="str">
        <f t="shared" si="111"/>
        <v>Hub Risk</v>
      </c>
      <c r="S1468" t="str">
        <f t="shared" si="112"/>
        <v>Style Risk</v>
      </c>
      <c r="T1468" t="str">
        <f t="shared" si="113"/>
        <v>Risk</v>
      </c>
      <c r="U1468" t="str">
        <f t="shared" si="114"/>
        <v>Low Value</v>
      </c>
    </row>
    <row r="1469" spans="1:21" hidden="1" x14ac:dyDescent="0.2">
      <c r="A1469" s="2">
        <v>1467</v>
      </c>
      <c r="B1469" s="2" t="s">
        <v>9</v>
      </c>
      <c r="C1469" s="2" t="s">
        <v>2078</v>
      </c>
      <c r="D1469" s="2" t="s">
        <v>566</v>
      </c>
      <c r="E1469" s="2">
        <v>80014</v>
      </c>
      <c r="F1469" s="2" t="s">
        <v>2079</v>
      </c>
      <c r="G1469" s="2" t="s">
        <v>13</v>
      </c>
      <c r="H1469" s="2">
        <v>1</v>
      </c>
      <c r="I1469" s="2" t="s">
        <v>39</v>
      </c>
      <c r="J1469" s="2" t="str">
        <f>VLOOKUP(E1469,[1]LL_Hub!$A$1:$B$13,2,FALSE)</f>
        <v>Denver</v>
      </c>
      <c r="K1469" t="str">
        <f>VLOOKUP(D1469,'[2]product Table data'!$A$2:$B$12,2,FALSE)</f>
        <v>Female</v>
      </c>
      <c r="L1469" t="str">
        <f>VLOOKUP($D1469,'[2]product Table data'!$A$2:$G$12,L$1,FALSE)</f>
        <v>Casual n Light</v>
      </c>
      <c r="M1469" t="str">
        <f>VLOOKUP($D1469,'[2]product Table data'!$A$2:$G$12,M$1,FALSE)</f>
        <v>Guatemala</v>
      </c>
      <c r="N1469" t="str">
        <f>VLOOKUP($D1469,'[2]product Table data'!$A$2:$G$12,N$1,FALSE)</f>
        <v>Central America</v>
      </c>
      <c r="O1469">
        <f>VLOOKUP($D1469,'[2]product Table data'!$A$2:$G$12,O$1,FALSE)</f>
        <v>25</v>
      </c>
      <c r="P1469">
        <f>VLOOKUP($D1469,'[2]product Table data'!$A$2:$G$12,P$1,FALSE)</f>
        <v>30</v>
      </c>
      <c r="Q1469">
        <f t="shared" si="110"/>
        <v>5</v>
      </c>
      <c r="R1469" t="str">
        <f t="shared" si="111"/>
        <v>Hub Risk</v>
      </c>
      <c r="S1469" t="str">
        <f t="shared" si="112"/>
        <v>Style Risk</v>
      </c>
      <c r="T1469" t="str">
        <f t="shared" si="113"/>
        <v>Risk</v>
      </c>
      <c r="U1469" t="str">
        <f t="shared" si="114"/>
        <v>Low Value</v>
      </c>
    </row>
    <row r="1470" spans="1:21" hidden="1" x14ac:dyDescent="0.2">
      <c r="A1470" s="2">
        <v>1468</v>
      </c>
      <c r="B1470" s="2" t="s">
        <v>9</v>
      </c>
      <c r="C1470" s="2" t="s">
        <v>2080</v>
      </c>
      <c r="D1470" s="2" t="s">
        <v>566</v>
      </c>
      <c r="E1470" s="2">
        <v>80014</v>
      </c>
      <c r="F1470" s="2" t="s">
        <v>2081</v>
      </c>
      <c r="G1470" s="2" t="s">
        <v>13</v>
      </c>
      <c r="H1470" s="2">
        <v>1</v>
      </c>
      <c r="I1470" s="2" t="s">
        <v>39</v>
      </c>
      <c r="J1470" s="2" t="str">
        <f>VLOOKUP(E1470,[1]LL_Hub!$A$1:$B$13,2,FALSE)</f>
        <v>Denver</v>
      </c>
      <c r="K1470" t="str">
        <f>VLOOKUP(D1470,'[2]product Table data'!$A$2:$B$12,2,FALSE)</f>
        <v>Female</v>
      </c>
      <c r="L1470" t="str">
        <f>VLOOKUP($D1470,'[2]product Table data'!$A$2:$G$12,L$1,FALSE)</f>
        <v>Casual n Light</v>
      </c>
      <c r="M1470" t="str">
        <f>VLOOKUP($D1470,'[2]product Table data'!$A$2:$G$12,M$1,FALSE)</f>
        <v>Guatemala</v>
      </c>
      <c r="N1470" t="str">
        <f>VLOOKUP($D1470,'[2]product Table data'!$A$2:$G$12,N$1,FALSE)</f>
        <v>Central America</v>
      </c>
      <c r="O1470">
        <f>VLOOKUP($D1470,'[2]product Table data'!$A$2:$G$12,O$1,FALSE)</f>
        <v>25</v>
      </c>
      <c r="P1470">
        <f>VLOOKUP($D1470,'[2]product Table data'!$A$2:$G$12,P$1,FALSE)</f>
        <v>30</v>
      </c>
      <c r="Q1470">
        <f t="shared" si="110"/>
        <v>5</v>
      </c>
      <c r="R1470" t="str">
        <f t="shared" si="111"/>
        <v>Hub Risk</v>
      </c>
      <c r="S1470" t="str">
        <f t="shared" si="112"/>
        <v>Style Risk</v>
      </c>
      <c r="T1470" t="str">
        <f t="shared" si="113"/>
        <v>Risk</v>
      </c>
      <c r="U1470" t="str">
        <f t="shared" si="114"/>
        <v>Low Value</v>
      </c>
    </row>
    <row r="1471" spans="1:21" hidden="1" x14ac:dyDescent="0.2">
      <c r="A1471" s="2">
        <v>1469</v>
      </c>
      <c r="B1471" s="2" t="s">
        <v>9</v>
      </c>
      <c r="C1471" s="2" t="s">
        <v>2082</v>
      </c>
      <c r="D1471" s="2" t="s">
        <v>566</v>
      </c>
      <c r="E1471" s="2">
        <v>80014</v>
      </c>
      <c r="F1471" s="2" t="s">
        <v>2083</v>
      </c>
      <c r="G1471" s="2" t="s">
        <v>13</v>
      </c>
      <c r="H1471" s="2">
        <v>1</v>
      </c>
      <c r="I1471" s="2" t="s">
        <v>39</v>
      </c>
      <c r="J1471" s="2" t="str">
        <f>VLOOKUP(E1471,[1]LL_Hub!$A$1:$B$13,2,FALSE)</f>
        <v>Denver</v>
      </c>
      <c r="K1471" t="str">
        <f>VLOOKUP(D1471,'[2]product Table data'!$A$2:$B$12,2,FALSE)</f>
        <v>Female</v>
      </c>
      <c r="L1471" t="str">
        <f>VLOOKUP($D1471,'[2]product Table data'!$A$2:$G$12,L$1,FALSE)</f>
        <v>Casual n Light</v>
      </c>
      <c r="M1471" t="str">
        <f>VLOOKUP($D1471,'[2]product Table data'!$A$2:$G$12,M$1,FALSE)</f>
        <v>Guatemala</v>
      </c>
      <c r="N1471" t="str">
        <f>VLOOKUP($D1471,'[2]product Table data'!$A$2:$G$12,N$1,FALSE)</f>
        <v>Central America</v>
      </c>
      <c r="O1471">
        <f>VLOOKUP($D1471,'[2]product Table data'!$A$2:$G$12,O$1,FALSE)</f>
        <v>25</v>
      </c>
      <c r="P1471">
        <f>VLOOKUP($D1471,'[2]product Table data'!$A$2:$G$12,P$1,FALSE)</f>
        <v>30</v>
      </c>
      <c r="Q1471">
        <f t="shared" si="110"/>
        <v>5</v>
      </c>
      <c r="R1471" t="str">
        <f t="shared" si="111"/>
        <v>Hub Risk</v>
      </c>
      <c r="S1471" t="str">
        <f t="shared" si="112"/>
        <v>Style Risk</v>
      </c>
      <c r="T1471" t="str">
        <f t="shared" si="113"/>
        <v>Risk</v>
      </c>
      <c r="U1471" t="str">
        <f t="shared" si="114"/>
        <v>Low Value</v>
      </c>
    </row>
    <row r="1472" spans="1:21" hidden="1" x14ac:dyDescent="0.2">
      <c r="A1472" s="2">
        <v>1470</v>
      </c>
      <c r="B1472" s="2" t="s">
        <v>9</v>
      </c>
      <c r="C1472" s="2" t="s">
        <v>2084</v>
      </c>
      <c r="D1472" s="2" t="s">
        <v>566</v>
      </c>
      <c r="E1472" s="2">
        <v>80014</v>
      </c>
      <c r="F1472" s="2" t="s">
        <v>2085</v>
      </c>
      <c r="G1472" s="2" t="s">
        <v>13</v>
      </c>
      <c r="H1472" s="2">
        <v>1</v>
      </c>
      <c r="I1472" s="2" t="s">
        <v>39</v>
      </c>
      <c r="J1472" s="2" t="str">
        <f>VLOOKUP(E1472,[1]LL_Hub!$A$1:$B$13,2,FALSE)</f>
        <v>Denver</v>
      </c>
      <c r="K1472" t="str">
        <f>VLOOKUP(D1472,'[2]product Table data'!$A$2:$B$12,2,FALSE)</f>
        <v>Female</v>
      </c>
      <c r="L1472" t="str">
        <f>VLOOKUP($D1472,'[2]product Table data'!$A$2:$G$12,L$1,FALSE)</f>
        <v>Casual n Light</v>
      </c>
      <c r="M1472" t="str">
        <f>VLOOKUP($D1472,'[2]product Table data'!$A$2:$G$12,M$1,FALSE)</f>
        <v>Guatemala</v>
      </c>
      <c r="N1472" t="str">
        <f>VLOOKUP($D1472,'[2]product Table data'!$A$2:$G$12,N$1,FALSE)</f>
        <v>Central America</v>
      </c>
      <c r="O1472">
        <f>VLOOKUP($D1472,'[2]product Table data'!$A$2:$G$12,O$1,FALSE)</f>
        <v>25</v>
      </c>
      <c r="P1472">
        <f>VLOOKUP($D1472,'[2]product Table data'!$A$2:$G$12,P$1,FALSE)</f>
        <v>30</v>
      </c>
      <c r="Q1472">
        <f t="shared" si="110"/>
        <v>5</v>
      </c>
      <c r="R1472" t="str">
        <f t="shared" si="111"/>
        <v>Hub Risk</v>
      </c>
      <c r="S1472" t="str">
        <f t="shared" si="112"/>
        <v>Style Risk</v>
      </c>
      <c r="T1472" t="str">
        <f t="shared" si="113"/>
        <v>Risk</v>
      </c>
      <c r="U1472" t="str">
        <f t="shared" si="114"/>
        <v>Low Value</v>
      </c>
    </row>
    <row r="1473" spans="1:21" hidden="1" x14ac:dyDescent="0.2">
      <c r="A1473" s="2">
        <v>1471</v>
      </c>
      <c r="B1473" s="2" t="s">
        <v>9</v>
      </c>
      <c r="C1473" s="2" t="s">
        <v>2086</v>
      </c>
      <c r="D1473" s="2" t="s">
        <v>566</v>
      </c>
      <c r="E1473" s="2">
        <v>80014</v>
      </c>
      <c r="F1473" s="2" t="s">
        <v>2087</v>
      </c>
      <c r="G1473" s="2" t="s">
        <v>13</v>
      </c>
      <c r="H1473" s="2">
        <v>1</v>
      </c>
      <c r="I1473" s="2" t="s">
        <v>39</v>
      </c>
      <c r="J1473" s="2" t="str">
        <f>VLOOKUP(E1473,[1]LL_Hub!$A$1:$B$13,2,FALSE)</f>
        <v>Denver</v>
      </c>
      <c r="K1473" t="str">
        <f>VLOOKUP(D1473,'[2]product Table data'!$A$2:$B$12,2,FALSE)</f>
        <v>Female</v>
      </c>
      <c r="L1473" t="str">
        <f>VLOOKUP($D1473,'[2]product Table data'!$A$2:$G$12,L$1,FALSE)</f>
        <v>Casual n Light</v>
      </c>
      <c r="M1473" t="str">
        <f>VLOOKUP($D1473,'[2]product Table data'!$A$2:$G$12,M$1,FALSE)</f>
        <v>Guatemala</v>
      </c>
      <c r="N1473" t="str">
        <f>VLOOKUP($D1473,'[2]product Table data'!$A$2:$G$12,N$1,FALSE)</f>
        <v>Central America</v>
      </c>
      <c r="O1473">
        <f>VLOOKUP($D1473,'[2]product Table data'!$A$2:$G$12,O$1,FALSE)</f>
        <v>25</v>
      </c>
      <c r="P1473">
        <f>VLOOKUP($D1473,'[2]product Table data'!$A$2:$G$12,P$1,FALSE)</f>
        <v>30</v>
      </c>
      <c r="Q1473">
        <f t="shared" si="110"/>
        <v>5</v>
      </c>
      <c r="R1473" t="str">
        <f t="shared" si="111"/>
        <v>Hub Risk</v>
      </c>
      <c r="S1473" t="str">
        <f t="shared" si="112"/>
        <v>Style Risk</v>
      </c>
      <c r="T1473" t="str">
        <f t="shared" si="113"/>
        <v>Risk</v>
      </c>
      <c r="U1473" t="str">
        <f t="shared" si="114"/>
        <v>Low Value</v>
      </c>
    </row>
    <row r="1474" spans="1:21" hidden="1" x14ac:dyDescent="0.2">
      <c r="A1474" s="2">
        <v>1472</v>
      </c>
      <c r="B1474" s="2" t="s">
        <v>9</v>
      </c>
      <c r="C1474" s="2" t="s">
        <v>2088</v>
      </c>
      <c r="D1474" s="2" t="s">
        <v>566</v>
      </c>
      <c r="E1474" s="2">
        <v>80014</v>
      </c>
      <c r="F1474" s="2" t="s">
        <v>2089</v>
      </c>
      <c r="G1474" s="2" t="s">
        <v>13</v>
      </c>
      <c r="H1474" s="2">
        <v>1</v>
      </c>
      <c r="I1474" s="2" t="s">
        <v>39</v>
      </c>
      <c r="J1474" s="2" t="str">
        <f>VLOOKUP(E1474,[1]LL_Hub!$A$1:$B$13,2,FALSE)</f>
        <v>Denver</v>
      </c>
      <c r="K1474" t="str">
        <f>VLOOKUP(D1474,'[2]product Table data'!$A$2:$B$12,2,FALSE)</f>
        <v>Female</v>
      </c>
      <c r="L1474" t="str">
        <f>VLOOKUP($D1474,'[2]product Table data'!$A$2:$G$12,L$1,FALSE)</f>
        <v>Casual n Light</v>
      </c>
      <c r="M1474" t="str">
        <f>VLOOKUP($D1474,'[2]product Table data'!$A$2:$G$12,M$1,FALSE)</f>
        <v>Guatemala</v>
      </c>
      <c r="N1474" t="str">
        <f>VLOOKUP($D1474,'[2]product Table data'!$A$2:$G$12,N$1,FALSE)</f>
        <v>Central America</v>
      </c>
      <c r="O1474">
        <f>VLOOKUP($D1474,'[2]product Table data'!$A$2:$G$12,O$1,FALSE)</f>
        <v>25</v>
      </c>
      <c r="P1474">
        <f>VLOOKUP($D1474,'[2]product Table data'!$A$2:$G$12,P$1,FALSE)</f>
        <v>30</v>
      </c>
      <c r="Q1474">
        <f t="shared" si="110"/>
        <v>5</v>
      </c>
      <c r="R1474" t="str">
        <f t="shared" si="111"/>
        <v>Hub Risk</v>
      </c>
      <c r="S1474" t="str">
        <f t="shared" si="112"/>
        <v>Style Risk</v>
      </c>
      <c r="T1474" t="str">
        <f t="shared" si="113"/>
        <v>Risk</v>
      </c>
      <c r="U1474" t="str">
        <f t="shared" si="114"/>
        <v>Low Value</v>
      </c>
    </row>
    <row r="1475" spans="1:21" hidden="1" x14ac:dyDescent="0.2">
      <c r="A1475" s="2">
        <v>1473</v>
      </c>
      <c r="B1475" s="2" t="s">
        <v>9</v>
      </c>
      <c r="C1475" s="2" t="s">
        <v>2090</v>
      </c>
      <c r="D1475" s="2" t="s">
        <v>566</v>
      </c>
      <c r="E1475" s="2">
        <v>80014</v>
      </c>
      <c r="F1475" s="2" t="s">
        <v>2091</v>
      </c>
      <c r="G1475" s="2" t="s">
        <v>13</v>
      </c>
      <c r="H1475" s="2">
        <v>1</v>
      </c>
      <c r="I1475" s="2" t="s">
        <v>39</v>
      </c>
      <c r="J1475" s="2" t="str">
        <f>VLOOKUP(E1475,[1]LL_Hub!$A$1:$B$13,2,FALSE)</f>
        <v>Denver</v>
      </c>
      <c r="K1475" t="str">
        <f>VLOOKUP(D1475,'[2]product Table data'!$A$2:$B$12,2,FALSE)</f>
        <v>Female</v>
      </c>
      <c r="L1475" t="str">
        <f>VLOOKUP($D1475,'[2]product Table data'!$A$2:$G$12,L$1,FALSE)</f>
        <v>Casual n Light</v>
      </c>
      <c r="M1475" t="str">
        <f>VLOOKUP($D1475,'[2]product Table data'!$A$2:$G$12,M$1,FALSE)</f>
        <v>Guatemala</v>
      </c>
      <c r="N1475" t="str">
        <f>VLOOKUP($D1475,'[2]product Table data'!$A$2:$G$12,N$1,FALSE)</f>
        <v>Central America</v>
      </c>
      <c r="O1475">
        <f>VLOOKUP($D1475,'[2]product Table data'!$A$2:$G$12,O$1,FALSE)</f>
        <v>25</v>
      </c>
      <c r="P1475">
        <f>VLOOKUP($D1475,'[2]product Table data'!$A$2:$G$12,P$1,FALSE)</f>
        <v>30</v>
      </c>
      <c r="Q1475">
        <f t="shared" ref="Q1475:Q1538" si="115">P1475-O1475</f>
        <v>5</v>
      </c>
      <c r="R1475" t="str">
        <f t="shared" ref="R1475:R1522" si="116">IF(OR(J1475="Los Angeles",J1475="Denver"),"Hub Risk","-")</f>
        <v>Hub Risk</v>
      </c>
      <c r="S1475" t="str">
        <f t="shared" ref="S1475:S1522" si="117">IF(OR(L1475="Casual n Light",L1475="Fancy Sheek"),"Style Risk","-")</f>
        <v>Style Risk</v>
      </c>
      <c r="T1475" t="str">
        <f t="shared" ref="T1475:T1538" si="118">IF(AND(R1475="Hub Risk", S1475="Style Risk"), "Risk", "-")</f>
        <v>Risk</v>
      </c>
      <c r="U1475" t="str">
        <f t="shared" ref="U1475:U1522" si="119">IF(Q1475&lt;=5, "Low Value", "High Value")</f>
        <v>Low Value</v>
      </c>
    </row>
    <row r="1476" spans="1:21" hidden="1" x14ac:dyDescent="0.2">
      <c r="A1476" s="2">
        <v>1474</v>
      </c>
      <c r="B1476" s="2" t="s">
        <v>9</v>
      </c>
      <c r="C1476" s="2" t="s">
        <v>2092</v>
      </c>
      <c r="D1476" s="2" t="s">
        <v>566</v>
      </c>
      <c r="E1476" s="2">
        <v>80014</v>
      </c>
      <c r="F1476" s="2" t="s">
        <v>2093</v>
      </c>
      <c r="G1476" s="2" t="s">
        <v>13</v>
      </c>
      <c r="H1476" s="2">
        <v>1</v>
      </c>
      <c r="I1476" s="2" t="s">
        <v>39</v>
      </c>
      <c r="J1476" s="2" t="str">
        <f>VLOOKUP(E1476,[1]LL_Hub!$A$1:$B$13,2,FALSE)</f>
        <v>Denver</v>
      </c>
      <c r="K1476" t="str">
        <f>VLOOKUP(D1476,'[2]product Table data'!$A$2:$B$12,2,FALSE)</f>
        <v>Female</v>
      </c>
      <c r="L1476" t="str">
        <f>VLOOKUP($D1476,'[2]product Table data'!$A$2:$G$12,L$1,FALSE)</f>
        <v>Casual n Light</v>
      </c>
      <c r="M1476" t="str">
        <f>VLOOKUP($D1476,'[2]product Table data'!$A$2:$G$12,M$1,FALSE)</f>
        <v>Guatemala</v>
      </c>
      <c r="N1476" t="str">
        <f>VLOOKUP($D1476,'[2]product Table data'!$A$2:$G$12,N$1,FALSE)</f>
        <v>Central America</v>
      </c>
      <c r="O1476">
        <f>VLOOKUP($D1476,'[2]product Table data'!$A$2:$G$12,O$1,FALSE)</f>
        <v>25</v>
      </c>
      <c r="P1476">
        <f>VLOOKUP($D1476,'[2]product Table data'!$A$2:$G$12,P$1,FALSE)</f>
        <v>30</v>
      </c>
      <c r="Q1476">
        <f t="shared" si="115"/>
        <v>5</v>
      </c>
      <c r="R1476" t="str">
        <f t="shared" si="116"/>
        <v>Hub Risk</v>
      </c>
      <c r="S1476" t="str">
        <f t="shared" si="117"/>
        <v>Style Risk</v>
      </c>
      <c r="T1476" t="str">
        <f t="shared" si="118"/>
        <v>Risk</v>
      </c>
      <c r="U1476" t="str">
        <f t="shared" si="119"/>
        <v>Low Value</v>
      </c>
    </row>
    <row r="1477" spans="1:21" hidden="1" x14ac:dyDescent="0.2">
      <c r="A1477" s="2">
        <v>1475</v>
      </c>
      <c r="B1477" s="2" t="s">
        <v>9</v>
      </c>
      <c r="C1477" s="2" t="s">
        <v>2094</v>
      </c>
      <c r="D1477" s="2" t="s">
        <v>566</v>
      </c>
      <c r="E1477" s="2">
        <v>80014</v>
      </c>
      <c r="F1477" s="2" t="s">
        <v>2095</v>
      </c>
      <c r="G1477" s="2" t="s">
        <v>13</v>
      </c>
      <c r="H1477" s="2">
        <v>1</v>
      </c>
      <c r="I1477" s="2" t="s">
        <v>39</v>
      </c>
      <c r="J1477" s="2" t="str">
        <f>VLOOKUP(E1477,[1]LL_Hub!$A$1:$B$13,2,FALSE)</f>
        <v>Denver</v>
      </c>
      <c r="K1477" t="str">
        <f>VLOOKUP(D1477,'[2]product Table data'!$A$2:$B$12,2,FALSE)</f>
        <v>Female</v>
      </c>
      <c r="L1477" t="str">
        <f>VLOOKUP($D1477,'[2]product Table data'!$A$2:$G$12,L$1,FALSE)</f>
        <v>Casual n Light</v>
      </c>
      <c r="M1477" t="str">
        <f>VLOOKUP($D1477,'[2]product Table data'!$A$2:$G$12,M$1,FALSE)</f>
        <v>Guatemala</v>
      </c>
      <c r="N1477" t="str">
        <f>VLOOKUP($D1477,'[2]product Table data'!$A$2:$G$12,N$1,FALSE)</f>
        <v>Central America</v>
      </c>
      <c r="O1477">
        <f>VLOOKUP($D1477,'[2]product Table data'!$A$2:$G$12,O$1,FALSE)</f>
        <v>25</v>
      </c>
      <c r="P1477">
        <f>VLOOKUP($D1477,'[2]product Table data'!$A$2:$G$12,P$1,FALSE)</f>
        <v>30</v>
      </c>
      <c r="Q1477">
        <f t="shared" si="115"/>
        <v>5</v>
      </c>
      <c r="R1477" t="str">
        <f t="shared" si="116"/>
        <v>Hub Risk</v>
      </c>
      <c r="S1477" t="str">
        <f t="shared" si="117"/>
        <v>Style Risk</v>
      </c>
      <c r="T1477" t="str">
        <f t="shared" si="118"/>
        <v>Risk</v>
      </c>
      <c r="U1477" t="str">
        <f t="shared" si="119"/>
        <v>Low Value</v>
      </c>
    </row>
    <row r="1478" spans="1:21" hidden="1" x14ac:dyDescent="0.2">
      <c r="A1478" s="2">
        <v>1476</v>
      </c>
      <c r="B1478" s="2" t="s">
        <v>9</v>
      </c>
      <c r="C1478" s="2" t="s">
        <v>2096</v>
      </c>
      <c r="D1478" s="2" t="s">
        <v>566</v>
      </c>
      <c r="E1478" s="2">
        <v>80014</v>
      </c>
      <c r="F1478" s="2" t="s">
        <v>2097</v>
      </c>
      <c r="G1478" s="2" t="s">
        <v>13</v>
      </c>
      <c r="H1478" s="2">
        <v>1</v>
      </c>
      <c r="I1478" s="2" t="s">
        <v>39</v>
      </c>
      <c r="J1478" s="2" t="str">
        <f>VLOOKUP(E1478,[1]LL_Hub!$A$1:$B$13,2,FALSE)</f>
        <v>Denver</v>
      </c>
      <c r="K1478" t="str">
        <f>VLOOKUP(D1478,'[2]product Table data'!$A$2:$B$12,2,FALSE)</f>
        <v>Female</v>
      </c>
      <c r="L1478" t="str">
        <f>VLOOKUP($D1478,'[2]product Table data'!$A$2:$G$12,L$1,FALSE)</f>
        <v>Casual n Light</v>
      </c>
      <c r="M1478" t="str">
        <f>VLOOKUP($D1478,'[2]product Table data'!$A$2:$G$12,M$1,FALSE)</f>
        <v>Guatemala</v>
      </c>
      <c r="N1478" t="str">
        <f>VLOOKUP($D1478,'[2]product Table data'!$A$2:$G$12,N$1,FALSE)</f>
        <v>Central America</v>
      </c>
      <c r="O1478">
        <f>VLOOKUP($D1478,'[2]product Table data'!$A$2:$G$12,O$1,FALSE)</f>
        <v>25</v>
      </c>
      <c r="P1478">
        <f>VLOOKUP($D1478,'[2]product Table data'!$A$2:$G$12,P$1,FALSE)</f>
        <v>30</v>
      </c>
      <c r="Q1478">
        <f t="shared" si="115"/>
        <v>5</v>
      </c>
      <c r="R1478" t="str">
        <f t="shared" si="116"/>
        <v>Hub Risk</v>
      </c>
      <c r="S1478" t="str">
        <f t="shared" si="117"/>
        <v>Style Risk</v>
      </c>
      <c r="T1478" t="str">
        <f t="shared" si="118"/>
        <v>Risk</v>
      </c>
      <c r="U1478" t="str">
        <f t="shared" si="119"/>
        <v>Low Value</v>
      </c>
    </row>
    <row r="1479" spans="1:21" hidden="1" x14ac:dyDescent="0.2">
      <c r="A1479" s="2">
        <v>1477</v>
      </c>
      <c r="B1479" s="2" t="s">
        <v>9</v>
      </c>
      <c r="C1479" s="2" t="s">
        <v>2098</v>
      </c>
      <c r="D1479" s="2" t="s">
        <v>566</v>
      </c>
      <c r="E1479" s="2">
        <v>80014</v>
      </c>
      <c r="F1479" s="2" t="s">
        <v>2099</v>
      </c>
      <c r="G1479" s="2" t="s">
        <v>13</v>
      </c>
      <c r="H1479" s="2">
        <v>1</v>
      </c>
      <c r="I1479" s="2" t="s">
        <v>39</v>
      </c>
      <c r="J1479" s="2" t="str">
        <f>VLOOKUP(E1479,[1]LL_Hub!$A$1:$B$13,2,FALSE)</f>
        <v>Denver</v>
      </c>
      <c r="K1479" t="str">
        <f>VLOOKUP(D1479,'[2]product Table data'!$A$2:$B$12,2,FALSE)</f>
        <v>Female</v>
      </c>
      <c r="L1479" t="str">
        <f>VLOOKUP($D1479,'[2]product Table data'!$A$2:$G$12,L$1,FALSE)</f>
        <v>Casual n Light</v>
      </c>
      <c r="M1479" t="str">
        <f>VLOOKUP($D1479,'[2]product Table data'!$A$2:$G$12,M$1,FALSE)</f>
        <v>Guatemala</v>
      </c>
      <c r="N1479" t="str">
        <f>VLOOKUP($D1479,'[2]product Table data'!$A$2:$G$12,N$1,FALSE)</f>
        <v>Central America</v>
      </c>
      <c r="O1479">
        <f>VLOOKUP($D1479,'[2]product Table data'!$A$2:$G$12,O$1,FALSE)</f>
        <v>25</v>
      </c>
      <c r="P1479">
        <f>VLOOKUP($D1479,'[2]product Table data'!$A$2:$G$12,P$1,FALSE)</f>
        <v>30</v>
      </c>
      <c r="Q1479">
        <f t="shared" si="115"/>
        <v>5</v>
      </c>
      <c r="R1479" t="str">
        <f t="shared" si="116"/>
        <v>Hub Risk</v>
      </c>
      <c r="S1479" t="str">
        <f t="shared" si="117"/>
        <v>Style Risk</v>
      </c>
      <c r="T1479" t="str">
        <f t="shared" si="118"/>
        <v>Risk</v>
      </c>
      <c r="U1479" t="str">
        <f t="shared" si="119"/>
        <v>Low Value</v>
      </c>
    </row>
    <row r="1480" spans="1:21" hidden="1" x14ac:dyDescent="0.2">
      <c r="A1480" s="2">
        <v>1478</v>
      </c>
      <c r="B1480" s="2" t="s">
        <v>9</v>
      </c>
      <c r="C1480" s="2" t="s">
        <v>2100</v>
      </c>
      <c r="D1480" s="2" t="s">
        <v>566</v>
      </c>
      <c r="E1480" s="2">
        <v>80014</v>
      </c>
      <c r="F1480" s="2" t="s">
        <v>2101</v>
      </c>
      <c r="G1480" s="2" t="s">
        <v>13</v>
      </c>
      <c r="H1480" s="2">
        <v>1</v>
      </c>
      <c r="I1480" s="2" t="s">
        <v>39</v>
      </c>
      <c r="J1480" s="2" t="str">
        <f>VLOOKUP(E1480,[1]LL_Hub!$A$1:$B$13,2,FALSE)</f>
        <v>Denver</v>
      </c>
      <c r="K1480" t="str">
        <f>VLOOKUP(D1480,'[2]product Table data'!$A$2:$B$12,2,FALSE)</f>
        <v>Female</v>
      </c>
      <c r="L1480" t="str">
        <f>VLOOKUP($D1480,'[2]product Table data'!$A$2:$G$12,L$1,FALSE)</f>
        <v>Casual n Light</v>
      </c>
      <c r="M1480" t="str">
        <f>VLOOKUP($D1480,'[2]product Table data'!$A$2:$G$12,M$1,FALSE)</f>
        <v>Guatemala</v>
      </c>
      <c r="N1480" t="str">
        <f>VLOOKUP($D1480,'[2]product Table data'!$A$2:$G$12,N$1,FALSE)</f>
        <v>Central America</v>
      </c>
      <c r="O1480">
        <f>VLOOKUP($D1480,'[2]product Table data'!$A$2:$G$12,O$1,FALSE)</f>
        <v>25</v>
      </c>
      <c r="P1480">
        <f>VLOOKUP($D1480,'[2]product Table data'!$A$2:$G$12,P$1,FALSE)</f>
        <v>30</v>
      </c>
      <c r="Q1480">
        <f t="shared" si="115"/>
        <v>5</v>
      </c>
      <c r="R1480" t="str">
        <f t="shared" si="116"/>
        <v>Hub Risk</v>
      </c>
      <c r="S1480" t="str">
        <f t="shared" si="117"/>
        <v>Style Risk</v>
      </c>
      <c r="T1480" t="str">
        <f t="shared" si="118"/>
        <v>Risk</v>
      </c>
      <c r="U1480" t="str">
        <f t="shared" si="119"/>
        <v>Low Value</v>
      </c>
    </row>
    <row r="1481" spans="1:21" hidden="1" x14ac:dyDescent="0.2">
      <c r="A1481" s="2">
        <v>1479</v>
      </c>
      <c r="B1481" s="2" t="s">
        <v>9</v>
      </c>
      <c r="C1481" s="2" t="s">
        <v>2102</v>
      </c>
      <c r="D1481" s="2" t="s">
        <v>566</v>
      </c>
      <c r="E1481" s="2">
        <v>80014</v>
      </c>
      <c r="F1481" s="2" t="s">
        <v>2103</v>
      </c>
      <c r="G1481" s="2" t="s">
        <v>13</v>
      </c>
      <c r="H1481" s="2">
        <v>1</v>
      </c>
      <c r="I1481" s="2" t="s">
        <v>39</v>
      </c>
      <c r="J1481" s="2" t="str">
        <f>VLOOKUP(E1481,[1]LL_Hub!$A$1:$B$13,2,FALSE)</f>
        <v>Denver</v>
      </c>
      <c r="K1481" t="str">
        <f>VLOOKUP(D1481,'[2]product Table data'!$A$2:$B$12,2,FALSE)</f>
        <v>Female</v>
      </c>
      <c r="L1481" t="str">
        <f>VLOOKUP($D1481,'[2]product Table data'!$A$2:$G$12,L$1,FALSE)</f>
        <v>Casual n Light</v>
      </c>
      <c r="M1481" t="str">
        <f>VLOOKUP($D1481,'[2]product Table data'!$A$2:$G$12,M$1,FALSE)</f>
        <v>Guatemala</v>
      </c>
      <c r="N1481" t="str">
        <f>VLOOKUP($D1481,'[2]product Table data'!$A$2:$G$12,N$1,FALSE)</f>
        <v>Central America</v>
      </c>
      <c r="O1481">
        <f>VLOOKUP($D1481,'[2]product Table data'!$A$2:$G$12,O$1,FALSE)</f>
        <v>25</v>
      </c>
      <c r="P1481">
        <f>VLOOKUP($D1481,'[2]product Table data'!$A$2:$G$12,P$1,FALSE)</f>
        <v>30</v>
      </c>
      <c r="Q1481">
        <f t="shared" si="115"/>
        <v>5</v>
      </c>
      <c r="R1481" t="str">
        <f t="shared" si="116"/>
        <v>Hub Risk</v>
      </c>
      <c r="S1481" t="str">
        <f t="shared" si="117"/>
        <v>Style Risk</v>
      </c>
      <c r="T1481" t="str">
        <f t="shared" si="118"/>
        <v>Risk</v>
      </c>
      <c r="U1481" t="str">
        <f t="shared" si="119"/>
        <v>Low Value</v>
      </c>
    </row>
    <row r="1482" spans="1:21" hidden="1" x14ac:dyDescent="0.2">
      <c r="A1482" s="2">
        <v>1480</v>
      </c>
      <c r="B1482" s="2" t="s">
        <v>9</v>
      </c>
      <c r="C1482" s="2" t="s">
        <v>2104</v>
      </c>
      <c r="D1482" s="2" t="s">
        <v>566</v>
      </c>
      <c r="E1482" s="2">
        <v>80014</v>
      </c>
      <c r="F1482" s="2" t="s">
        <v>2105</v>
      </c>
      <c r="G1482" s="2" t="s">
        <v>13</v>
      </c>
      <c r="H1482" s="2">
        <v>1</v>
      </c>
      <c r="I1482" s="2" t="s">
        <v>39</v>
      </c>
      <c r="J1482" s="2" t="str">
        <f>VLOOKUP(E1482,[1]LL_Hub!$A$1:$B$13,2,FALSE)</f>
        <v>Denver</v>
      </c>
      <c r="K1482" t="str">
        <f>VLOOKUP(D1482,'[2]product Table data'!$A$2:$B$12,2,FALSE)</f>
        <v>Female</v>
      </c>
      <c r="L1482" t="str">
        <f>VLOOKUP($D1482,'[2]product Table data'!$A$2:$G$12,L$1,FALSE)</f>
        <v>Casual n Light</v>
      </c>
      <c r="M1482" t="str">
        <f>VLOOKUP($D1482,'[2]product Table data'!$A$2:$G$12,M$1,FALSE)</f>
        <v>Guatemala</v>
      </c>
      <c r="N1482" t="str">
        <f>VLOOKUP($D1482,'[2]product Table data'!$A$2:$G$12,N$1,FALSE)</f>
        <v>Central America</v>
      </c>
      <c r="O1482">
        <f>VLOOKUP($D1482,'[2]product Table data'!$A$2:$G$12,O$1,FALSE)</f>
        <v>25</v>
      </c>
      <c r="P1482">
        <f>VLOOKUP($D1482,'[2]product Table data'!$A$2:$G$12,P$1,FALSE)</f>
        <v>30</v>
      </c>
      <c r="Q1482">
        <f t="shared" si="115"/>
        <v>5</v>
      </c>
      <c r="R1482" t="str">
        <f t="shared" si="116"/>
        <v>Hub Risk</v>
      </c>
      <c r="S1482" t="str">
        <f t="shared" si="117"/>
        <v>Style Risk</v>
      </c>
      <c r="T1482" t="str">
        <f t="shared" si="118"/>
        <v>Risk</v>
      </c>
      <c r="U1482" t="str">
        <f t="shared" si="119"/>
        <v>Low Value</v>
      </c>
    </row>
    <row r="1483" spans="1:21" hidden="1" x14ac:dyDescent="0.2">
      <c r="A1483" s="2">
        <v>1481</v>
      </c>
      <c r="B1483" s="2" t="s">
        <v>9</v>
      </c>
      <c r="C1483" s="2" t="s">
        <v>2106</v>
      </c>
      <c r="D1483" s="2" t="s">
        <v>566</v>
      </c>
      <c r="E1483" s="2">
        <v>80014</v>
      </c>
      <c r="F1483" s="2" t="s">
        <v>2107</v>
      </c>
      <c r="G1483" s="2" t="s">
        <v>13</v>
      </c>
      <c r="H1483" s="2">
        <v>1</v>
      </c>
      <c r="I1483" s="2" t="s">
        <v>39</v>
      </c>
      <c r="J1483" s="2" t="str">
        <f>VLOOKUP(E1483,[1]LL_Hub!$A$1:$B$13,2,FALSE)</f>
        <v>Denver</v>
      </c>
      <c r="K1483" t="str">
        <f>VLOOKUP(D1483,'[2]product Table data'!$A$2:$B$12,2,FALSE)</f>
        <v>Female</v>
      </c>
      <c r="L1483" t="str">
        <f>VLOOKUP($D1483,'[2]product Table data'!$A$2:$G$12,L$1,FALSE)</f>
        <v>Casual n Light</v>
      </c>
      <c r="M1483" t="str">
        <f>VLOOKUP($D1483,'[2]product Table data'!$A$2:$G$12,M$1,FALSE)</f>
        <v>Guatemala</v>
      </c>
      <c r="N1483" t="str">
        <f>VLOOKUP($D1483,'[2]product Table data'!$A$2:$G$12,N$1,FALSE)</f>
        <v>Central America</v>
      </c>
      <c r="O1483">
        <f>VLOOKUP($D1483,'[2]product Table data'!$A$2:$G$12,O$1,FALSE)</f>
        <v>25</v>
      </c>
      <c r="P1483">
        <f>VLOOKUP($D1483,'[2]product Table data'!$A$2:$G$12,P$1,FALSE)</f>
        <v>30</v>
      </c>
      <c r="Q1483">
        <f t="shared" si="115"/>
        <v>5</v>
      </c>
      <c r="R1483" t="str">
        <f t="shared" si="116"/>
        <v>Hub Risk</v>
      </c>
      <c r="S1483" t="str">
        <f t="shared" si="117"/>
        <v>Style Risk</v>
      </c>
      <c r="T1483" t="str">
        <f t="shared" si="118"/>
        <v>Risk</v>
      </c>
      <c r="U1483" t="str">
        <f t="shared" si="119"/>
        <v>Low Value</v>
      </c>
    </row>
    <row r="1484" spans="1:21" hidden="1" x14ac:dyDescent="0.2">
      <c r="A1484" s="2">
        <v>1482</v>
      </c>
      <c r="B1484" s="2" t="s">
        <v>9</v>
      </c>
      <c r="C1484" s="2" t="s">
        <v>2108</v>
      </c>
      <c r="D1484" s="2" t="s">
        <v>566</v>
      </c>
      <c r="E1484" s="2">
        <v>80014</v>
      </c>
      <c r="F1484" s="2" t="s">
        <v>2109</v>
      </c>
      <c r="G1484" s="2" t="s">
        <v>13</v>
      </c>
      <c r="H1484" s="2">
        <v>1</v>
      </c>
      <c r="I1484" s="2" t="s">
        <v>39</v>
      </c>
      <c r="J1484" s="2" t="str">
        <f>VLOOKUP(E1484,[1]LL_Hub!$A$1:$B$13,2,FALSE)</f>
        <v>Denver</v>
      </c>
      <c r="K1484" t="str">
        <f>VLOOKUP(D1484,'[2]product Table data'!$A$2:$B$12,2,FALSE)</f>
        <v>Female</v>
      </c>
      <c r="L1484" t="str">
        <f>VLOOKUP($D1484,'[2]product Table data'!$A$2:$G$12,L$1,FALSE)</f>
        <v>Casual n Light</v>
      </c>
      <c r="M1484" t="str">
        <f>VLOOKUP($D1484,'[2]product Table data'!$A$2:$G$12,M$1,FALSE)</f>
        <v>Guatemala</v>
      </c>
      <c r="N1484" t="str">
        <f>VLOOKUP($D1484,'[2]product Table data'!$A$2:$G$12,N$1,FALSE)</f>
        <v>Central America</v>
      </c>
      <c r="O1484">
        <f>VLOOKUP($D1484,'[2]product Table data'!$A$2:$G$12,O$1,FALSE)</f>
        <v>25</v>
      </c>
      <c r="P1484">
        <f>VLOOKUP($D1484,'[2]product Table data'!$A$2:$G$12,P$1,FALSE)</f>
        <v>30</v>
      </c>
      <c r="Q1484">
        <f t="shared" si="115"/>
        <v>5</v>
      </c>
      <c r="R1484" t="str">
        <f t="shared" si="116"/>
        <v>Hub Risk</v>
      </c>
      <c r="S1484" t="str">
        <f t="shared" si="117"/>
        <v>Style Risk</v>
      </c>
      <c r="T1484" t="str">
        <f t="shared" si="118"/>
        <v>Risk</v>
      </c>
      <c r="U1484" t="str">
        <f t="shared" si="119"/>
        <v>Low Value</v>
      </c>
    </row>
    <row r="1485" spans="1:21" hidden="1" x14ac:dyDescent="0.2">
      <c r="A1485" s="2">
        <v>1483</v>
      </c>
      <c r="B1485" s="2" t="s">
        <v>9</v>
      </c>
      <c r="C1485" s="2" t="s">
        <v>2110</v>
      </c>
      <c r="D1485" s="2" t="s">
        <v>566</v>
      </c>
      <c r="E1485" s="2">
        <v>80014</v>
      </c>
      <c r="F1485" s="2" t="s">
        <v>2111</v>
      </c>
      <c r="G1485" s="2" t="s">
        <v>13</v>
      </c>
      <c r="H1485" s="2">
        <v>1</v>
      </c>
      <c r="I1485" s="2" t="s">
        <v>39</v>
      </c>
      <c r="J1485" s="2" t="str">
        <f>VLOOKUP(E1485,[1]LL_Hub!$A$1:$B$13,2,FALSE)</f>
        <v>Denver</v>
      </c>
      <c r="K1485" t="str">
        <f>VLOOKUP(D1485,'[2]product Table data'!$A$2:$B$12,2,FALSE)</f>
        <v>Female</v>
      </c>
      <c r="L1485" t="str">
        <f>VLOOKUP($D1485,'[2]product Table data'!$A$2:$G$12,L$1,FALSE)</f>
        <v>Casual n Light</v>
      </c>
      <c r="M1485" t="str">
        <f>VLOOKUP($D1485,'[2]product Table data'!$A$2:$G$12,M$1,FALSE)</f>
        <v>Guatemala</v>
      </c>
      <c r="N1485" t="str">
        <f>VLOOKUP($D1485,'[2]product Table data'!$A$2:$G$12,N$1,FALSE)</f>
        <v>Central America</v>
      </c>
      <c r="O1485">
        <f>VLOOKUP($D1485,'[2]product Table data'!$A$2:$G$12,O$1,FALSE)</f>
        <v>25</v>
      </c>
      <c r="P1485">
        <f>VLOOKUP($D1485,'[2]product Table data'!$A$2:$G$12,P$1,FALSE)</f>
        <v>30</v>
      </c>
      <c r="Q1485">
        <f t="shared" si="115"/>
        <v>5</v>
      </c>
      <c r="R1485" t="str">
        <f t="shared" si="116"/>
        <v>Hub Risk</v>
      </c>
      <c r="S1485" t="str">
        <f t="shared" si="117"/>
        <v>Style Risk</v>
      </c>
      <c r="T1485" t="str">
        <f t="shared" si="118"/>
        <v>Risk</v>
      </c>
      <c r="U1485" t="str">
        <f t="shared" si="119"/>
        <v>Low Value</v>
      </c>
    </row>
    <row r="1486" spans="1:21" hidden="1" x14ac:dyDescent="0.2">
      <c r="A1486" s="2">
        <v>1484</v>
      </c>
      <c r="B1486" s="2" t="s">
        <v>9</v>
      </c>
      <c r="C1486" s="2" t="s">
        <v>2112</v>
      </c>
      <c r="D1486" s="2" t="s">
        <v>566</v>
      </c>
      <c r="E1486" s="2">
        <v>80014</v>
      </c>
      <c r="F1486" s="2" t="s">
        <v>2113</v>
      </c>
      <c r="G1486" s="2" t="s">
        <v>13</v>
      </c>
      <c r="H1486" s="2">
        <v>1</v>
      </c>
      <c r="I1486" s="2" t="s">
        <v>39</v>
      </c>
      <c r="J1486" s="2" t="str">
        <f>VLOOKUP(E1486,[1]LL_Hub!$A$1:$B$13,2,FALSE)</f>
        <v>Denver</v>
      </c>
      <c r="K1486" t="str">
        <f>VLOOKUP(D1486,'[2]product Table data'!$A$2:$B$12,2,FALSE)</f>
        <v>Female</v>
      </c>
      <c r="L1486" t="str">
        <f>VLOOKUP($D1486,'[2]product Table data'!$A$2:$G$12,L$1,FALSE)</f>
        <v>Casual n Light</v>
      </c>
      <c r="M1486" t="str">
        <f>VLOOKUP($D1486,'[2]product Table data'!$A$2:$G$12,M$1,FALSE)</f>
        <v>Guatemala</v>
      </c>
      <c r="N1486" t="str">
        <f>VLOOKUP($D1486,'[2]product Table data'!$A$2:$G$12,N$1,FALSE)</f>
        <v>Central America</v>
      </c>
      <c r="O1486">
        <f>VLOOKUP($D1486,'[2]product Table data'!$A$2:$G$12,O$1,FALSE)</f>
        <v>25</v>
      </c>
      <c r="P1486">
        <f>VLOOKUP($D1486,'[2]product Table data'!$A$2:$G$12,P$1,FALSE)</f>
        <v>30</v>
      </c>
      <c r="Q1486">
        <f t="shared" si="115"/>
        <v>5</v>
      </c>
      <c r="R1486" t="str">
        <f t="shared" si="116"/>
        <v>Hub Risk</v>
      </c>
      <c r="S1486" t="str">
        <f t="shared" si="117"/>
        <v>Style Risk</v>
      </c>
      <c r="T1486" t="str">
        <f t="shared" si="118"/>
        <v>Risk</v>
      </c>
      <c r="U1486" t="str">
        <f t="shared" si="119"/>
        <v>Low Value</v>
      </c>
    </row>
    <row r="1487" spans="1:21" hidden="1" x14ac:dyDescent="0.2">
      <c r="A1487" s="2">
        <v>1485</v>
      </c>
      <c r="B1487" s="2" t="s">
        <v>9</v>
      </c>
      <c r="C1487" s="2" t="s">
        <v>2114</v>
      </c>
      <c r="D1487" s="2" t="s">
        <v>566</v>
      </c>
      <c r="E1487" s="2">
        <v>80014</v>
      </c>
      <c r="F1487" s="2" t="s">
        <v>2115</v>
      </c>
      <c r="G1487" s="2" t="s">
        <v>13</v>
      </c>
      <c r="H1487" s="2">
        <v>1</v>
      </c>
      <c r="I1487" s="2" t="s">
        <v>39</v>
      </c>
      <c r="J1487" s="2" t="str">
        <f>VLOOKUP(E1487,[1]LL_Hub!$A$1:$B$13,2,FALSE)</f>
        <v>Denver</v>
      </c>
      <c r="K1487" t="str">
        <f>VLOOKUP(D1487,'[2]product Table data'!$A$2:$B$12,2,FALSE)</f>
        <v>Female</v>
      </c>
      <c r="L1487" t="str">
        <f>VLOOKUP($D1487,'[2]product Table data'!$A$2:$G$12,L$1,FALSE)</f>
        <v>Casual n Light</v>
      </c>
      <c r="M1487" t="str">
        <f>VLOOKUP($D1487,'[2]product Table data'!$A$2:$G$12,M$1,FALSE)</f>
        <v>Guatemala</v>
      </c>
      <c r="N1487" t="str">
        <f>VLOOKUP($D1487,'[2]product Table data'!$A$2:$G$12,N$1,FALSE)</f>
        <v>Central America</v>
      </c>
      <c r="O1487">
        <f>VLOOKUP($D1487,'[2]product Table data'!$A$2:$G$12,O$1,FALSE)</f>
        <v>25</v>
      </c>
      <c r="P1487">
        <f>VLOOKUP($D1487,'[2]product Table data'!$A$2:$G$12,P$1,FALSE)</f>
        <v>30</v>
      </c>
      <c r="Q1487">
        <f t="shared" si="115"/>
        <v>5</v>
      </c>
      <c r="R1487" t="str">
        <f t="shared" si="116"/>
        <v>Hub Risk</v>
      </c>
      <c r="S1487" t="str">
        <f t="shared" si="117"/>
        <v>Style Risk</v>
      </c>
      <c r="T1487" t="str">
        <f t="shared" si="118"/>
        <v>Risk</v>
      </c>
      <c r="U1487" t="str">
        <f t="shared" si="119"/>
        <v>Low Value</v>
      </c>
    </row>
    <row r="1488" spans="1:21" hidden="1" x14ac:dyDescent="0.2">
      <c r="A1488" s="2">
        <v>1486</v>
      </c>
      <c r="B1488" s="2" t="s">
        <v>9</v>
      </c>
      <c r="C1488" s="2" t="s">
        <v>2116</v>
      </c>
      <c r="D1488" s="2" t="s">
        <v>566</v>
      </c>
      <c r="E1488" s="2">
        <v>80014</v>
      </c>
      <c r="F1488" s="2" t="s">
        <v>2117</v>
      </c>
      <c r="G1488" s="2" t="s">
        <v>13</v>
      </c>
      <c r="H1488" s="2">
        <v>1</v>
      </c>
      <c r="I1488" s="2" t="s">
        <v>39</v>
      </c>
      <c r="J1488" s="2" t="str">
        <f>VLOOKUP(E1488,[1]LL_Hub!$A$1:$B$13,2,FALSE)</f>
        <v>Denver</v>
      </c>
      <c r="K1488" t="str">
        <f>VLOOKUP(D1488,'[2]product Table data'!$A$2:$B$12,2,FALSE)</f>
        <v>Female</v>
      </c>
      <c r="L1488" t="str">
        <f>VLOOKUP($D1488,'[2]product Table data'!$A$2:$G$12,L$1,FALSE)</f>
        <v>Casual n Light</v>
      </c>
      <c r="M1488" t="str">
        <f>VLOOKUP($D1488,'[2]product Table data'!$A$2:$G$12,M$1,FALSE)</f>
        <v>Guatemala</v>
      </c>
      <c r="N1488" t="str">
        <f>VLOOKUP($D1488,'[2]product Table data'!$A$2:$G$12,N$1,FALSE)</f>
        <v>Central America</v>
      </c>
      <c r="O1488">
        <f>VLOOKUP($D1488,'[2]product Table data'!$A$2:$G$12,O$1,FALSE)</f>
        <v>25</v>
      </c>
      <c r="P1488">
        <f>VLOOKUP($D1488,'[2]product Table data'!$A$2:$G$12,P$1,FALSE)</f>
        <v>30</v>
      </c>
      <c r="Q1488">
        <f t="shared" si="115"/>
        <v>5</v>
      </c>
      <c r="R1488" t="str">
        <f t="shared" si="116"/>
        <v>Hub Risk</v>
      </c>
      <c r="S1488" t="str">
        <f t="shared" si="117"/>
        <v>Style Risk</v>
      </c>
      <c r="T1488" t="str">
        <f t="shared" si="118"/>
        <v>Risk</v>
      </c>
      <c r="U1488" t="str">
        <f t="shared" si="119"/>
        <v>Low Value</v>
      </c>
    </row>
    <row r="1489" spans="1:21" hidden="1" x14ac:dyDescent="0.2">
      <c r="A1489" s="2">
        <v>1487</v>
      </c>
      <c r="B1489" s="2" t="s">
        <v>9</v>
      </c>
      <c r="C1489" s="2" t="s">
        <v>2118</v>
      </c>
      <c r="D1489" s="2" t="s">
        <v>566</v>
      </c>
      <c r="E1489" s="2">
        <v>80014</v>
      </c>
      <c r="F1489" s="2" t="s">
        <v>2119</v>
      </c>
      <c r="G1489" s="2" t="s">
        <v>13</v>
      </c>
      <c r="H1489" s="2">
        <v>1</v>
      </c>
      <c r="I1489" s="2" t="s">
        <v>39</v>
      </c>
      <c r="J1489" s="2" t="str">
        <f>VLOOKUP(E1489,[1]LL_Hub!$A$1:$B$13,2,FALSE)</f>
        <v>Denver</v>
      </c>
      <c r="K1489" t="str">
        <f>VLOOKUP(D1489,'[2]product Table data'!$A$2:$B$12,2,FALSE)</f>
        <v>Female</v>
      </c>
      <c r="L1489" t="str">
        <f>VLOOKUP($D1489,'[2]product Table data'!$A$2:$G$12,L$1,FALSE)</f>
        <v>Casual n Light</v>
      </c>
      <c r="M1489" t="str">
        <f>VLOOKUP($D1489,'[2]product Table data'!$A$2:$G$12,M$1,FALSE)</f>
        <v>Guatemala</v>
      </c>
      <c r="N1489" t="str">
        <f>VLOOKUP($D1489,'[2]product Table data'!$A$2:$G$12,N$1,FALSE)</f>
        <v>Central America</v>
      </c>
      <c r="O1489">
        <f>VLOOKUP($D1489,'[2]product Table data'!$A$2:$G$12,O$1,FALSE)</f>
        <v>25</v>
      </c>
      <c r="P1489">
        <f>VLOOKUP($D1489,'[2]product Table data'!$A$2:$G$12,P$1,FALSE)</f>
        <v>30</v>
      </c>
      <c r="Q1489">
        <f t="shared" si="115"/>
        <v>5</v>
      </c>
      <c r="R1489" t="str">
        <f t="shared" si="116"/>
        <v>Hub Risk</v>
      </c>
      <c r="S1489" t="str">
        <f t="shared" si="117"/>
        <v>Style Risk</v>
      </c>
      <c r="T1489" t="str">
        <f t="shared" si="118"/>
        <v>Risk</v>
      </c>
      <c r="U1489" t="str">
        <f t="shared" si="119"/>
        <v>Low Value</v>
      </c>
    </row>
    <row r="1490" spans="1:21" hidden="1" x14ac:dyDescent="0.2">
      <c r="A1490" s="2">
        <v>1488</v>
      </c>
      <c r="B1490" s="2" t="s">
        <v>9</v>
      </c>
      <c r="C1490" s="2" t="s">
        <v>2120</v>
      </c>
      <c r="D1490" s="2" t="s">
        <v>566</v>
      </c>
      <c r="E1490" s="2">
        <v>80014</v>
      </c>
      <c r="F1490" s="2" t="s">
        <v>2121</v>
      </c>
      <c r="G1490" s="2" t="s">
        <v>13</v>
      </c>
      <c r="H1490" s="2">
        <v>1</v>
      </c>
      <c r="I1490" s="2" t="s">
        <v>39</v>
      </c>
      <c r="J1490" s="2" t="str">
        <f>VLOOKUP(E1490,[1]LL_Hub!$A$1:$B$13,2,FALSE)</f>
        <v>Denver</v>
      </c>
      <c r="K1490" t="str">
        <f>VLOOKUP(D1490,'[2]product Table data'!$A$2:$B$12,2,FALSE)</f>
        <v>Female</v>
      </c>
      <c r="L1490" t="str">
        <f>VLOOKUP($D1490,'[2]product Table data'!$A$2:$G$12,L$1,FALSE)</f>
        <v>Casual n Light</v>
      </c>
      <c r="M1490" t="str">
        <f>VLOOKUP($D1490,'[2]product Table data'!$A$2:$G$12,M$1,FALSE)</f>
        <v>Guatemala</v>
      </c>
      <c r="N1490" t="str">
        <f>VLOOKUP($D1490,'[2]product Table data'!$A$2:$G$12,N$1,FALSE)</f>
        <v>Central America</v>
      </c>
      <c r="O1490">
        <f>VLOOKUP($D1490,'[2]product Table data'!$A$2:$G$12,O$1,FALSE)</f>
        <v>25</v>
      </c>
      <c r="P1490">
        <f>VLOOKUP($D1490,'[2]product Table data'!$A$2:$G$12,P$1,FALSE)</f>
        <v>30</v>
      </c>
      <c r="Q1490">
        <f t="shared" si="115"/>
        <v>5</v>
      </c>
      <c r="R1490" t="str">
        <f t="shared" si="116"/>
        <v>Hub Risk</v>
      </c>
      <c r="S1490" t="str">
        <f t="shared" si="117"/>
        <v>Style Risk</v>
      </c>
      <c r="T1490" t="str">
        <f t="shared" si="118"/>
        <v>Risk</v>
      </c>
      <c r="U1490" t="str">
        <f t="shared" si="119"/>
        <v>Low Value</v>
      </c>
    </row>
    <row r="1491" spans="1:21" hidden="1" x14ac:dyDescent="0.2">
      <c r="A1491" s="2">
        <v>1489</v>
      </c>
      <c r="B1491" s="2" t="s">
        <v>9</v>
      </c>
      <c r="C1491" s="2" t="s">
        <v>2122</v>
      </c>
      <c r="D1491" s="2" t="s">
        <v>566</v>
      </c>
      <c r="E1491" s="2">
        <v>80014</v>
      </c>
      <c r="F1491" s="2" t="s">
        <v>2123</v>
      </c>
      <c r="G1491" s="2" t="s">
        <v>13</v>
      </c>
      <c r="H1491" s="2">
        <v>1</v>
      </c>
      <c r="I1491" s="2" t="s">
        <v>39</v>
      </c>
      <c r="J1491" s="2" t="str">
        <f>VLOOKUP(E1491,[1]LL_Hub!$A$1:$B$13,2,FALSE)</f>
        <v>Denver</v>
      </c>
      <c r="K1491" t="str">
        <f>VLOOKUP(D1491,'[2]product Table data'!$A$2:$B$12,2,FALSE)</f>
        <v>Female</v>
      </c>
      <c r="L1491" t="str">
        <f>VLOOKUP($D1491,'[2]product Table data'!$A$2:$G$12,L$1,FALSE)</f>
        <v>Casual n Light</v>
      </c>
      <c r="M1491" t="str">
        <f>VLOOKUP($D1491,'[2]product Table data'!$A$2:$G$12,M$1,FALSE)</f>
        <v>Guatemala</v>
      </c>
      <c r="N1491" t="str">
        <f>VLOOKUP($D1491,'[2]product Table data'!$A$2:$G$12,N$1,FALSE)</f>
        <v>Central America</v>
      </c>
      <c r="O1491">
        <f>VLOOKUP($D1491,'[2]product Table data'!$A$2:$G$12,O$1,FALSE)</f>
        <v>25</v>
      </c>
      <c r="P1491">
        <f>VLOOKUP($D1491,'[2]product Table data'!$A$2:$G$12,P$1,FALSE)</f>
        <v>30</v>
      </c>
      <c r="Q1491">
        <f t="shared" si="115"/>
        <v>5</v>
      </c>
      <c r="R1491" t="str">
        <f t="shared" si="116"/>
        <v>Hub Risk</v>
      </c>
      <c r="S1491" t="str">
        <f t="shared" si="117"/>
        <v>Style Risk</v>
      </c>
      <c r="T1491" t="str">
        <f t="shared" si="118"/>
        <v>Risk</v>
      </c>
      <c r="U1491" t="str">
        <f t="shared" si="119"/>
        <v>Low Value</v>
      </c>
    </row>
    <row r="1492" spans="1:21" hidden="1" x14ac:dyDescent="0.2">
      <c r="A1492" s="2">
        <v>1490</v>
      </c>
      <c r="B1492" s="2" t="s">
        <v>9</v>
      </c>
      <c r="C1492" s="2" t="s">
        <v>2124</v>
      </c>
      <c r="D1492" s="2" t="s">
        <v>566</v>
      </c>
      <c r="E1492" s="2">
        <v>80014</v>
      </c>
      <c r="F1492" s="2" t="s">
        <v>2125</v>
      </c>
      <c r="G1492" s="2" t="s">
        <v>13</v>
      </c>
      <c r="H1492" s="2">
        <v>1</v>
      </c>
      <c r="I1492" s="2" t="s">
        <v>39</v>
      </c>
      <c r="J1492" s="2" t="str">
        <f>VLOOKUP(E1492,[1]LL_Hub!$A$1:$B$13,2,FALSE)</f>
        <v>Denver</v>
      </c>
      <c r="K1492" t="str">
        <f>VLOOKUP(D1492,'[2]product Table data'!$A$2:$B$12,2,FALSE)</f>
        <v>Female</v>
      </c>
      <c r="L1492" t="str">
        <f>VLOOKUP($D1492,'[2]product Table data'!$A$2:$G$12,L$1,FALSE)</f>
        <v>Casual n Light</v>
      </c>
      <c r="M1492" t="str">
        <f>VLOOKUP($D1492,'[2]product Table data'!$A$2:$G$12,M$1,FALSE)</f>
        <v>Guatemala</v>
      </c>
      <c r="N1492" t="str">
        <f>VLOOKUP($D1492,'[2]product Table data'!$A$2:$G$12,N$1,FALSE)</f>
        <v>Central America</v>
      </c>
      <c r="O1492">
        <f>VLOOKUP($D1492,'[2]product Table data'!$A$2:$G$12,O$1,FALSE)</f>
        <v>25</v>
      </c>
      <c r="P1492">
        <f>VLOOKUP($D1492,'[2]product Table data'!$A$2:$G$12,P$1,FALSE)</f>
        <v>30</v>
      </c>
      <c r="Q1492">
        <f t="shared" si="115"/>
        <v>5</v>
      </c>
      <c r="R1492" t="str">
        <f t="shared" si="116"/>
        <v>Hub Risk</v>
      </c>
      <c r="S1492" t="str">
        <f t="shared" si="117"/>
        <v>Style Risk</v>
      </c>
      <c r="T1492" t="str">
        <f t="shared" si="118"/>
        <v>Risk</v>
      </c>
      <c r="U1492" t="str">
        <f t="shared" si="119"/>
        <v>Low Value</v>
      </c>
    </row>
    <row r="1493" spans="1:21" hidden="1" x14ac:dyDescent="0.2">
      <c r="A1493" s="2">
        <v>1491</v>
      </c>
      <c r="B1493" s="2" t="s">
        <v>9</v>
      </c>
      <c r="C1493" s="2" t="s">
        <v>2126</v>
      </c>
      <c r="D1493" s="2" t="s">
        <v>566</v>
      </c>
      <c r="E1493" s="2">
        <v>80014</v>
      </c>
      <c r="F1493" s="2" t="s">
        <v>2127</v>
      </c>
      <c r="G1493" s="2" t="s">
        <v>13</v>
      </c>
      <c r="H1493" s="2">
        <v>1</v>
      </c>
      <c r="I1493" s="2" t="s">
        <v>39</v>
      </c>
      <c r="J1493" s="2" t="str">
        <f>VLOOKUP(E1493,[1]LL_Hub!$A$1:$B$13,2,FALSE)</f>
        <v>Denver</v>
      </c>
      <c r="K1493" t="str">
        <f>VLOOKUP(D1493,'[2]product Table data'!$A$2:$B$12,2,FALSE)</f>
        <v>Female</v>
      </c>
      <c r="L1493" t="str">
        <f>VLOOKUP($D1493,'[2]product Table data'!$A$2:$G$12,L$1,FALSE)</f>
        <v>Casual n Light</v>
      </c>
      <c r="M1493" t="str">
        <f>VLOOKUP($D1493,'[2]product Table data'!$A$2:$G$12,M$1,FALSE)</f>
        <v>Guatemala</v>
      </c>
      <c r="N1493" t="str">
        <f>VLOOKUP($D1493,'[2]product Table data'!$A$2:$G$12,N$1,FALSE)</f>
        <v>Central America</v>
      </c>
      <c r="O1493">
        <f>VLOOKUP($D1493,'[2]product Table data'!$A$2:$G$12,O$1,FALSE)</f>
        <v>25</v>
      </c>
      <c r="P1493">
        <f>VLOOKUP($D1493,'[2]product Table data'!$A$2:$G$12,P$1,FALSE)</f>
        <v>30</v>
      </c>
      <c r="Q1493">
        <f t="shared" si="115"/>
        <v>5</v>
      </c>
      <c r="R1493" t="str">
        <f t="shared" si="116"/>
        <v>Hub Risk</v>
      </c>
      <c r="S1493" t="str">
        <f t="shared" si="117"/>
        <v>Style Risk</v>
      </c>
      <c r="T1493" t="str">
        <f t="shared" si="118"/>
        <v>Risk</v>
      </c>
      <c r="U1493" t="str">
        <f t="shared" si="119"/>
        <v>Low Value</v>
      </c>
    </row>
    <row r="1494" spans="1:21" hidden="1" x14ac:dyDescent="0.2">
      <c r="A1494" s="2">
        <v>1492</v>
      </c>
      <c r="B1494" s="2" t="s">
        <v>9</v>
      </c>
      <c r="C1494" s="2" t="s">
        <v>2128</v>
      </c>
      <c r="D1494" s="2" t="s">
        <v>566</v>
      </c>
      <c r="E1494" s="2">
        <v>80014</v>
      </c>
      <c r="F1494" s="2" t="s">
        <v>2129</v>
      </c>
      <c r="G1494" s="2" t="s">
        <v>13</v>
      </c>
      <c r="H1494" s="2">
        <v>1</v>
      </c>
      <c r="I1494" s="2" t="s">
        <v>39</v>
      </c>
      <c r="J1494" s="2" t="str">
        <f>VLOOKUP(E1494,[1]LL_Hub!$A$1:$B$13,2,FALSE)</f>
        <v>Denver</v>
      </c>
      <c r="K1494" t="str">
        <f>VLOOKUP(D1494,'[2]product Table data'!$A$2:$B$12,2,FALSE)</f>
        <v>Female</v>
      </c>
      <c r="L1494" t="str">
        <f>VLOOKUP($D1494,'[2]product Table data'!$A$2:$G$12,L$1,FALSE)</f>
        <v>Casual n Light</v>
      </c>
      <c r="M1494" t="str">
        <f>VLOOKUP($D1494,'[2]product Table data'!$A$2:$G$12,M$1,FALSE)</f>
        <v>Guatemala</v>
      </c>
      <c r="N1494" t="str">
        <f>VLOOKUP($D1494,'[2]product Table data'!$A$2:$G$12,N$1,FALSE)</f>
        <v>Central America</v>
      </c>
      <c r="O1494">
        <f>VLOOKUP($D1494,'[2]product Table data'!$A$2:$G$12,O$1,FALSE)</f>
        <v>25</v>
      </c>
      <c r="P1494">
        <f>VLOOKUP($D1494,'[2]product Table data'!$A$2:$G$12,P$1,FALSE)</f>
        <v>30</v>
      </c>
      <c r="Q1494">
        <f t="shared" si="115"/>
        <v>5</v>
      </c>
      <c r="R1494" t="str">
        <f t="shared" si="116"/>
        <v>Hub Risk</v>
      </c>
      <c r="S1494" t="str">
        <f t="shared" si="117"/>
        <v>Style Risk</v>
      </c>
      <c r="T1494" t="str">
        <f t="shared" si="118"/>
        <v>Risk</v>
      </c>
      <c r="U1494" t="str">
        <f t="shared" si="119"/>
        <v>Low Value</v>
      </c>
    </row>
    <row r="1495" spans="1:21" hidden="1" x14ac:dyDescent="0.2">
      <c r="A1495" s="2">
        <v>1493</v>
      </c>
      <c r="B1495" s="2" t="s">
        <v>9</v>
      </c>
      <c r="C1495" s="2" t="s">
        <v>2130</v>
      </c>
      <c r="D1495" s="2" t="s">
        <v>566</v>
      </c>
      <c r="E1495" s="2">
        <v>80014</v>
      </c>
      <c r="F1495" s="2" t="s">
        <v>2131</v>
      </c>
      <c r="G1495" s="2" t="s">
        <v>13</v>
      </c>
      <c r="H1495" s="2">
        <v>1</v>
      </c>
      <c r="I1495" s="2" t="s">
        <v>39</v>
      </c>
      <c r="J1495" s="2" t="str">
        <f>VLOOKUP(E1495,[1]LL_Hub!$A$1:$B$13,2,FALSE)</f>
        <v>Denver</v>
      </c>
      <c r="K1495" t="str">
        <f>VLOOKUP(D1495,'[2]product Table data'!$A$2:$B$12,2,FALSE)</f>
        <v>Female</v>
      </c>
      <c r="L1495" t="str">
        <f>VLOOKUP($D1495,'[2]product Table data'!$A$2:$G$12,L$1,FALSE)</f>
        <v>Casual n Light</v>
      </c>
      <c r="M1495" t="str">
        <f>VLOOKUP($D1495,'[2]product Table data'!$A$2:$G$12,M$1,FALSE)</f>
        <v>Guatemala</v>
      </c>
      <c r="N1495" t="str">
        <f>VLOOKUP($D1495,'[2]product Table data'!$A$2:$G$12,N$1,FALSE)</f>
        <v>Central America</v>
      </c>
      <c r="O1495">
        <f>VLOOKUP($D1495,'[2]product Table data'!$A$2:$G$12,O$1,FALSE)</f>
        <v>25</v>
      </c>
      <c r="P1495">
        <f>VLOOKUP($D1495,'[2]product Table data'!$A$2:$G$12,P$1,FALSE)</f>
        <v>30</v>
      </c>
      <c r="Q1495">
        <f t="shared" si="115"/>
        <v>5</v>
      </c>
      <c r="R1495" t="str">
        <f t="shared" si="116"/>
        <v>Hub Risk</v>
      </c>
      <c r="S1495" t="str">
        <f t="shared" si="117"/>
        <v>Style Risk</v>
      </c>
      <c r="T1495" t="str">
        <f t="shared" si="118"/>
        <v>Risk</v>
      </c>
      <c r="U1495" t="str">
        <f t="shared" si="119"/>
        <v>Low Value</v>
      </c>
    </row>
    <row r="1496" spans="1:21" hidden="1" x14ac:dyDescent="0.2">
      <c r="A1496" s="2">
        <v>1494</v>
      </c>
      <c r="B1496" s="2" t="s">
        <v>9</v>
      </c>
      <c r="C1496" s="2" t="s">
        <v>2132</v>
      </c>
      <c r="D1496" s="2" t="s">
        <v>566</v>
      </c>
      <c r="E1496" s="2">
        <v>80014</v>
      </c>
      <c r="F1496" s="2" t="s">
        <v>2133</v>
      </c>
      <c r="G1496" s="2" t="s">
        <v>13</v>
      </c>
      <c r="H1496" s="2">
        <v>1</v>
      </c>
      <c r="I1496" s="2" t="s">
        <v>39</v>
      </c>
      <c r="J1496" s="2" t="str">
        <f>VLOOKUP(E1496,[1]LL_Hub!$A$1:$B$13,2,FALSE)</f>
        <v>Denver</v>
      </c>
      <c r="K1496" t="str">
        <f>VLOOKUP(D1496,'[2]product Table data'!$A$2:$B$12,2,FALSE)</f>
        <v>Female</v>
      </c>
      <c r="L1496" t="str">
        <f>VLOOKUP($D1496,'[2]product Table data'!$A$2:$G$12,L$1,FALSE)</f>
        <v>Casual n Light</v>
      </c>
      <c r="M1496" t="str">
        <f>VLOOKUP($D1496,'[2]product Table data'!$A$2:$G$12,M$1,FALSE)</f>
        <v>Guatemala</v>
      </c>
      <c r="N1496" t="str">
        <f>VLOOKUP($D1496,'[2]product Table data'!$A$2:$G$12,N$1,FALSE)</f>
        <v>Central America</v>
      </c>
      <c r="O1496">
        <f>VLOOKUP($D1496,'[2]product Table data'!$A$2:$G$12,O$1,FALSE)</f>
        <v>25</v>
      </c>
      <c r="P1496">
        <f>VLOOKUP($D1496,'[2]product Table data'!$A$2:$G$12,P$1,FALSE)</f>
        <v>30</v>
      </c>
      <c r="Q1496">
        <f t="shared" si="115"/>
        <v>5</v>
      </c>
      <c r="R1496" t="str">
        <f t="shared" si="116"/>
        <v>Hub Risk</v>
      </c>
      <c r="S1496" t="str">
        <f t="shared" si="117"/>
        <v>Style Risk</v>
      </c>
      <c r="T1496" t="str">
        <f t="shared" si="118"/>
        <v>Risk</v>
      </c>
      <c r="U1496" t="str">
        <f t="shared" si="119"/>
        <v>Low Value</v>
      </c>
    </row>
    <row r="1497" spans="1:21" hidden="1" x14ac:dyDescent="0.2">
      <c r="A1497" s="2">
        <v>1495</v>
      </c>
      <c r="B1497" s="2" t="s">
        <v>9</v>
      </c>
      <c r="C1497" s="2" t="s">
        <v>2134</v>
      </c>
      <c r="D1497" s="2" t="s">
        <v>566</v>
      </c>
      <c r="E1497" s="2">
        <v>80014</v>
      </c>
      <c r="F1497" s="2" t="s">
        <v>496</v>
      </c>
      <c r="G1497" s="2" t="s">
        <v>36</v>
      </c>
      <c r="H1497" s="2">
        <v>1</v>
      </c>
      <c r="I1497" s="2" t="s">
        <v>39</v>
      </c>
      <c r="J1497" s="2" t="str">
        <f>VLOOKUP(E1497,[1]LL_Hub!$A$1:$B$13,2,FALSE)</f>
        <v>Denver</v>
      </c>
      <c r="K1497" t="str">
        <f>VLOOKUP(D1497,'[2]product Table data'!$A$2:$B$12,2,FALSE)</f>
        <v>Female</v>
      </c>
      <c r="L1497" t="str">
        <f>VLOOKUP($D1497,'[2]product Table data'!$A$2:$G$12,L$1,FALSE)</f>
        <v>Casual n Light</v>
      </c>
      <c r="M1497" t="str">
        <f>VLOOKUP($D1497,'[2]product Table data'!$A$2:$G$12,M$1,FALSE)</f>
        <v>Guatemala</v>
      </c>
      <c r="N1497" t="str">
        <f>VLOOKUP($D1497,'[2]product Table data'!$A$2:$G$12,N$1,FALSE)</f>
        <v>Central America</v>
      </c>
      <c r="O1497">
        <f>VLOOKUP($D1497,'[2]product Table data'!$A$2:$G$12,O$1,FALSE)</f>
        <v>25</v>
      </c>
      <c r="P1497">
        <f>VLOOKUP($D1497,'[2]product Table data'!$A$2:$G$12,P$1,FALSE)</f>
        <v>30</v>
      </c>
      <c r="Q1497">
        <f t="shared" si="115"/>
        <v>5</v>
      </c>
      <c r="R1497" t="str">
        <f t="shared" si="116"/>
        <v>Hub Risk</v>
      </c>
      <c r="S1497" t="str">
        <f t="shared" si="117"/>
        <v>Style Risk</v>
      </c>
      <c r="T1497" t="str">
        <f t="shared" si="118"/>
        <v>Risk</v>
      </c>
      <c r="U1497" t="str">
        <f t="shared" si="119"/>
        <v>Low Value</v>
      </c>
    </row>
    <row r="1498" spans="1:21" hidden="1" x14ac:dyDescent="0.2">
      <c r="A1498" s="2">
        <v>1496</v>
      </c>
      <c r="B1498" s="2" t="s">
        <v>9</v>
      </c>
      <c r="C1498" s="2" t="s">
        <v>2135</v>
      </c>
      <c r="D1498" s="2" t="s">
        <v>566</v>
      </c>
      <c r="E1498" s="2">
        <v>80014</v>
      </c>
      <c r="F1498" s="2" t="s">
        <v>496</v>
      </c>
      <c r="G1498" s="2" t="s">
        <v>36</v>
      </c>
      <c r="H1498" s="2">
        <v>1</v>
      </c>
      <c r="I1498" s="2" t="s">
        <v>39</v>
      </c>
      <c r="J1498" s="2" t="str">
        <f>VLOOKUP(E1498,[1]LL_Hub!$A$1:$B$13,2,FALSE)</f>
        <v>Denver</v>
      </c>
      <c r="K1498" t="str">
        <f>VLOOKUP(D1498,'[2]product Table data'!$A$2:$B$12,2,FALSE)</f>
        <v>Female</v>
      </c>
      <c r="L1498" t="str">
        <f>VLOOKUP($D1498,'[2]product Table data'!$A$2:$G$12,L$1,FALSE)</f>
        <v>Casual n Light</v>
      </c>
      <c r="M1498" t="str">
        <f>VLOOKUP($D1498,'[2]product Table data'!$A$2:$G$12,M$1,FALSE)</f>
        <v>Guatemala</v>
      </c>
      <c r="N1498" t="str">
        <f>VLOOKUP($D1498,'[2]product Table data'!$A$2:$G$12,N$1,FALSE)</f>
        <v>Central America</v>
      </c>
      <c r="O1498">
        <f>VLOOKUP($D1498,'[2]product Table data'!$A$2:$G$12,O$1,FALSE)</f>
        <v>25</v>
      </c>
      <c r="P1498">
        <f>VLOOKUP($D1498,'[2]product Table data'!$A$2:$G$12,P$1,FALSE)</f>
        <v>30</v>
      </c>
      <c r="Q1498">
        <f t="shared" si="115"/>
        <v>5</v>
      </c>
      <c r="R1498" t="str">
        <f t="shared" si="116"/>
        <v>Hub Risk</v>
      </c>
      <c r="S1498" t="str">
        <f t="shared" si="117"/>
        <v>Style Risk</v>
      </c>
      <c r="T1498" t="str">
        <f t="shared" si="118"/>
        <v>Risk</v>
      </c>
      <c r="U1498" t="str">
        <f t="shared" si="119"/>
        <v>Low Value</v>
      </c>
    </row>
    <row r="1499" spans="1:21" hidden="1" x14ac:dyDescent="0.2">
      <c r="A1499" s="2">
        <v>1497</v>
      </c>
      <c r="B1499" s="2" t="s">
        <v>9</v>
      </c>
      <c r="C1499" s="2" t="s">
        <v>2136</v>
      </c>
      <c r="D1499" s="2" t="s">
        <v>566</v>
      </c>
      <c r="E1499" s="2">
        <v>80014</v>
      </c>
      <c r="F1499" s="2" t="s">
        <v>496</v>
      </c>
      <c r="G1499" s="2" t="s">
        <v>36</v>
      </c>
      <c r="H1499" s="2">
        <v>1</v>
      </c>
      <c r="I1499" s="2" t="s">
        <v>39</v>
      </c>
      <c r="J1499" s="2" t="str">
        <f>VLOOKUP(E1499,[1]LL_Hub!$A$1:$B$13,2,FALSE)</f>
        <v>Denver</v>
      </c>
      <c r="K1499" t="str">
        <f>VLOOKUP(D1499,'[2]product Table data'!$A$2:$B$12,2,FALSE)</f>
        <v>Female</v>
      </c>
      <c r="L1499" t="str">
        <f>VLOOKUP($D1499,'[2]product Table data'!$A$2:$G$12,L$1,FALSE)</f>
        <v>Casual n Light</v>
      </c>
      <c r="M1499" t="str">
        <f>VLOOKUP($D1499,'[2]product Table data'!$A$2:$G$12,M$1,FALSE)</f>
        <v>Guatemala</v>
      </c>
      <c r="N1499" t="str">
        <f>VLOOKUP($D1499,'[2]product Table data'!$A$2:$G$12,N$1,FALSE)</f>
        <v>Central America</v>
      </c>
      <c r="O1499">
        <f>VLOOKUP($D1499,'[2]product Table data'!$A$2:$G$12,O$1,FALSE)</f>
        <v>25</v>
      </c>
      <c r="P1499">
        <f>VLOOKUP($D1499,'[2]product Table data'!$A$2:$G$12,P$1,FALSE)</f>
        <v>30</v>
      </c>
      <c r="Q1499">
        <f t="shared" si="115"/>
        <v>5</v>
      </c>
      <c r="R1499" t="str">
        <f t="shared" si="116"/>
        <v>Hub Risk</v>
      </c>
      <c r="S1499" t="str">
        <f t="shared" si="117"/>
        <v>Style Risk</v>
      </c>
      <c r="T1499" t="str">
        <f t="shared" si="118"/>
        <v>Risk</v>
      </c>
      <c r="U1499" t="str">
        <f t="shared" si="119"/>
        <v>Low Value</v>
      </c>
    </row>
    <row r="1500" spans="1:21" hidden="1" x14ac:dyDescent="0.2">
      <c r="A1500" s="2">
        <v>1498</v>
      </c>
      <c r="B1500" s="2" t="s">
        <v>9</v>
      </c>
      <c r="C1500" s="2" t="s">
        <v>2137</v>
      </c>
      <c r="D1500" s="2" t="s">
        <v>566</v>
      </c>
      <c r="E1500" s="2">
        <v>80014</v>
      </c>
      <c r="F1500" s="2" t="s">
        <v>496</v>
      </c>
      <c r="G1500" s="2" t="s">
        <v>36</v>
      </c>
      <c r="H1500" s="2">
        <v>1</v>
      </c>
      <c r="I1500" s="2" t="s">
        <v>39</v>
      </c>
      <c r="J1500" s="2" t="str">
        <f>VLOOKUP(E1500,[1]LL_Hub!$A$1:$B$13,2,FALSE)</f>
        <v>Denver</v>
      </c>
      <c r="K1500" t="str">
        <f>VLOOKUP(D1500,'[2]product Table data'!$A$2:$B$12,2,FALSE)</f>
        <v>Female</v>
      </c>
      <c r="L1500" t="str">
        <f>VLOOKUP($D1500,'[2]product Table data'!$A$2:$G$12,L$1,FALSE)</f>
        <v>Casual n Light</v>
      </c>
      <c r="M1500" t="str">
        <f>VLOOKUP($D1500,'[2]product Table data'!$A$2:$G$12,M$1,FALSE)</f>
        <v>Guatemala</v>
      </c>
      <c r="N1500" t="str">
        <f>VLOOKUP($D1500,'[2]product Table data'!$A$2:$G$12,N$1,FALSE)</f>
        <v>Central America</v>
      </c>
      <c r="O1500">
        <f>VLOOKUP($D1500,'[2]product Table data'!$A$2:$G$12,O$1,FALSE)</f>
        <v>25</v>
      </c>
      <c r="P1500">
        <f>VLOOKUP($D1500,'[2]product Table data'!$A$2:$G$12,P$1,FALSE)</f>
        <v>30</v>
      </c>
      <c r="Q1500">
        <f t="shared" si="115"/>
        <v>5</v>
      </c>
      <c r="R1500" t="str">
        <f t="shared" si="116"/>
        <v>Hub Risk</v>
      </c>
      <c r="S1500" t="str">
        <f t="shared" si="117"/>
        <v>Style Risk</v>
      </c>
      <c r="T1500" t="str">
        <f t="shared" si="118"/>
        <v>Risk</v>
      </c>
      <c r="U1500" t="str">
        <f t="shared" si="119"/>
        <v>Low Value</v>
      </c>
    </row>
    <row r="1501" spans="1:21" hidden="1" x14ac:dyDescent="0.2">
      <c r="A1501" s="2">
        <v>1499</v>
      </c>
      <c r="B1501" s="2" t="s">
        <v>9</v>
      </c>
      <c r="C1501" s="2" t="s">
        <v>2138</v>
      </c>
      <c r="D1501" s="2" t="s">
        <v>566</v>
      </c>
      <c r="E1501" s="2">
        <v>80014</v>
      </c>
      <c r="F1501" s="2" t="s">
        <v>496</v>
      </c>
      <c r="G1501" s="2" t="s">
        <v>36</v>
      </c>
      <c r="H1501" s="2">
        <v>1</v>
      </c>
      <c r="I1501" s="2" t="s">
        <v>39</v>
      </c>
      <c r="J1501" s="2" t="str">
        <f>VLOOKUP(E1501,[1]LL_Hub!$A$1:$B$13,2,FALSE)</f>
        <v>Denver</v>
      </c>
      <c r="K1501" t="str">
        <f>VLOOKUP(D1501,'[2]product Table data'!$A$2:$B$12,2,FALSE)</f>
        <v>Female</v>
      </c>
      <c r="L1501" t="str">
        <f>VLOOKUP($D1501,'[2]product Table data'!$A$2:$G$12,L$1,FALSE)</f>
        <v>Casual n Light</v>
      </c>
      <c r="M1501" t="str">
        <f>VLOOKUP($D1501,'[2]product Table data'!$A$2:$G$12,M$1,FALSE)</f>
        <v>Guatemala</v>
      </c>
      <c r="N1501" t="str">
        <f>VLOOKUP($D1501,'[2]product Table data'!$A$2:$G$12,N$1,FALSE)</f>
        <v>Central America</v>
      </c>
      <c r="O1501">
        <f>VLOOKUP($D1501,'[2]product Table data'!$A$2:$G$12,O$1,FALSE)</f>
        <v>25</v>
      </c>
      <c r="P1501">
        <f>VLOOKUP($D1501,'[2]product Table data'!$A$2:$G$12,P$1,FALSE)</f>
        <v>30</v>
      </c>
      <c r="Q1501">
        <f t="shared" si="115"/>
        <v>5</v>
      </c>
      <c r="R1501" t="str">
        <f t="shared" si="116"/>
        <v>Hub Risk</v>
      </c>
      <c r="S1501" t="str">
        <f t="shared" si="117"/>
        <v>Style Risk</v>
      </c>
      <c r="T1501" t="str">
        <f t="shared" si="118"/>
        <v>Risk</v>
      </c>
      <c r="U1501" t="str">
        <f t="shared" si="119"/>
        <v>Low Value</v>
      </c>
    </row>
    <row r="1502" spans="1:21" hidden="1" x14ac:dyDescent="0.2">
      <c r="A1502" s="2">
        <v>1500</v>
      </c>
      <c r="B1502" s="2" t="s">
        <v>9</v>
      </c>
      <c r="C1502" s="2" t="s">
        <v>2139</v>
      </c>
      <c r="D1502" s="2" t="s">
        <v>566</v>
      </c>
      <c r="E1502" s="2">
        <v>80014</v>
      </c>
      <c r="F1502" s="2" t="s">
        <v>496</v>
      </c>
      <c r="G1502" s="2" t="s">
        <v>36</v>
      </c>
      <c r="H1502" s="2">
        <v>1</v>
      </c>
      <c r="I1502" s="2" t="s">
        <v>39</v>
      </c>
      <c r="J1502" s="2" t="str">
        <f>VLOOKUP(E1502,[1]LL_Hub!$A$1:$B$13,2,FALSE)</f>
        <v>Denver</v>
      </c>
      <c r="K1502" t="str">
        <f>VLOOKUP(D1502,'[2]product Table data'!$A$2:$B$12,2,FALSE)</f>
        <v>Female</v>
      </c>
      <c r="L1502" t="str">
        <f>VLOOKUP($D1502,'[2]product Table data'!$A$2:$G$12,L$1,FALSE)</f>
        <v>Casual n Light</v>
      </c>
      <c r="M1502" t="str">
        <f>VLOOKUP($D1502,'[2]product Table data'!$A$2:$G$12,M$1,FALSE)</f>
        <v>Guatemala</v>
      </c>
      <c r="N1502" t="str">
        <f>VLOOKUP($D1502,'[2]product Table data'!$A$2:$G$12,N$1,FALSE)</f>
        <v>Central America</v>
      </c>
      <c r="O1502">
        <f>VLOOKUP($D1502,'[2]product Table data'!$A$2:$G$12,O$1,FALSE)</f>
        <v>25</v>
      </c>
      <c r="P1502">
        <f>VLOOKUP($D1502,'[2]product Table data'!$A$2:$G$12,P$1,FALSE)</f>
        <v>30</v>
      </c>
      <c r="Q1502">
        <f t="shared" si="115"/>
        <v>5</v>
      </c>
      <c r="R1502" t="str">
        <f t="shared" si="116"/>
        <v>Hub Risk</v>
      </c>
      <c r="S1502" t="str">
        <f t="shared" si="117"/>
        <v>Style Risk</v>
      </c>
      <c r="T1502" t="str">
        <f t="shared" si="118"/>
        <v>Risk</v>
      </c>
      <c r="U1502" t="str">
        <f t="shared" si="119"/>
        <v>Low Value</v>
      </c>
    </row>
    <row r="1503" spans="1:21" hidden="1" x14ac:dyDescent="0.2">
      <c r="A1503" s="2">
        <v>1501</v>
      </c>
      <c r="B1503" s="2" t="s">
        <v>9</v>
      </c>
      <c r="C1503" s="2" t="s">
        <v>2140</v>
      </c>
      <c r="D1503" s="2" t="s">
        <v>566</v>
      </c>
      <c r="E1503" s="2">
        <v>80014</v>
      </c>
      <c r="F1503" s="2" t="s">
        <v>496</v>
      </c>
      <c r="G1503" s="2" t="s">
        <v>36</v>
      </c>
      <c r="H1503" s="2">
        <v>1</v>
      </c>
      <c r="I1503" s="2" t="s">
        <v>39</v>
      </c>
      <c r="J1503" s="2" t="str">
        <f>VLOOKUP(E1503,[1]LL_Hub!$A$1:$B$13,2,FALSE)</f>
        <v>Denver</v>
      </c>
      <c r="K1503" t="str">
        <f>VLOOKUP(D1503,'[2]product Table data'!$A$2:$B$12,2,FALSE)</f>
        <v>Female</v>
      </c>
      <c r="L1503" t="str">
        <f>VLOOKUP($D1503,'[2]product Table data'!$A$2:$G$12,L$1,FALSE)</f>
        <v>Casual n Light</v>
      </c>
      <c r="M1503" t="str">
        <f>VLOOKUP($D1503,'[2]product Table data'!$A$2:$G$12,M$1,FALSE)</f>
        <v>Guatemala</v>
      </c>
      <c r="N1503" t="str">
        <f>VLOOKUP($D1503,'[2]product Table data'!$A$2:$G$12,N$1,FALSE)</f>
        <v>Central America</v>
      </c>
      <c r="O1503">
        <f>VLOOKUP($D1503,'[2]product Table data'!$A$2:$G$12,O$1,FALSE)</f>
        <v>25</v>
      </c>
      <c r="P1503">
        <f>VLOOKUP($D1503,'[2]product Table data'!$A$2:$G$12,P$1,FALSE)</f>
        <v>30</v>
      </c>
      <c r="Q1503">
        <f t="shared" si="115"/>
        <v>5</v>
      </c>
      <c r="R1503" t="str">
        <f t="shared" si="116"/>
        <v>Hub Risk</v>
      </c>
      <c r="S1503" t="str">
        <f t="shared" si="117"/>
        <v>Style Risk</v>
      </c>
      <c r="T1503" t="str">
        <f t="shared" si="118"/>
        <v>Risk</v>
      </c>
      <c r="U1503" t="str">
        <f t="shared" si="119"/>
        <v>Low Value</v>
      </c>
    </row>
    <row r="1504" spans="1:21" hidden="1" x14ac:dyDescent="0.2">
      <c r="A1504" s="2">
        <v>1502</v>
      </c>
      <c r="B1504" s="2" t="s">
        <v>9</v>
      </c>
      <c r="C1504" s="2" t="s">
        <v>2141</v>
      </c>
      <c r="D1504" s="2" t="s">
        <v>566</v>
      </c>
      <c r="E1504" s="2">
        <v>80014</v>
      </c>
      <c r="F1504" s="2" t="s">
        <v>496</v>
      </c>
      <c r="G1504" s="2" t="s">
        <v>36</v>
      </c>
      <c r="H1504" s="2">
        <v>1</v>
      </c>
      <c r="I1504" s="2" t="s">
        <v>39</v>
      </c>
      <c r="J1504" s="2" t="str">
        <f>VLOOKUP(E1504,[1]LL_Hub!$A$1:$B$13,2,FALSE)</f>
        <v>Denver</v>
      </c>
      <c r="K1504" t="str">
        <f>VLOOKUP(D1504,'[2]product Table data'!$A$2:$B$12,2,FALSE)</f>
        <v>Female</v>
      </c>
      <c r="L1504" t="str">
        <f>VLOOKUP($D1504,'[2]product Table data'!$A$2:$G$12,L$1,FALSE)</f>
        <v>Casual n Light</v>
      </c>
      <c r="M1504" t="str">
        <f>VLOOKUP($D1504,'[2]product Table data'!$A$2:$G$12,M$1,FALSE)</f>
        <v>Guatemala</v>
      </c>
      <c r="N1504" t="str">
        <f>VLOOKUP($D1504,'[2]product Table data'!$A$2:$G$12,N$1,FALSE)</f>
        <v>Central America</v>
      </c>
      <c r="O1504">
        <f>VLOOKUP($D1504,'[2]product Table data'!$A$2:$G$12,O$1,FALSE)</f>
        <v>25</v>
      </c>
      <c r="P1504">
        <f>VLOOKUP($D1504,'[2]product Table data'!$A$2:$G$12,P$1,FALSE)</f>
        <v>30</v>
      </c>
      <c r="Q1504">
        <f t="shared" si="115"/>
        <v>5</v>
      </c>
      <c r="R1504" t="str">
        <f t="shared" si="116"/>
        <v>Hub Risk</v>
      </c>
      <c r="S1504" t="str">
        <f t="shared" si="117"/>
        <v>Style Risk</v>
      </c>
      <c r="T1504" t="str">
        <f t="shared" si="118"/>
        <v>Risk</v>
      </c>
      <c r="U1504" t="str">
        <f t="shared" si="119"/>
        <v>Low Value</v>
      </c>
    </row>
    <row r="1505" spans="1:21" hidden="1" x14ac:dyDescent="0.2">
      <c r="A1505" s="2">
        <v>1503</v>
      </c>
      <c r="B1505" s="2" t="s">
        <v>9</v>
      </c>
      <c r="C1505" s="2" t="s">
        <v>2142</v>
      </c>
      <c r="D1505" s="2" t="s">
        <v>566</v>
      </c>
      <c r="E1505" s="2">
        <v>80014</v>
      </c>
      <c r="F1505" s="2" t="s">
        <v>496</v>
      </c>
      <c r="G1505" s="2" t="s">
        <v>36</v>
      </c>
      <c r="H1505" s="2">
        <v>1</v>
      </c>
      <c r="I1505" s="2" t="s">
        <v>39</v>
      </c>
      <c r="J1505" s="2" t="str">
        <f>VLOOKUP(E1505,[1]LL_Hub!$A$1:$B$13,2,FALSE)</f>
        <v>Denver</v>
      </c>
      <c r="K1505" t="str">
        <f>VLOOKUP(D1505,'[2]product Table data'!$A$2:$B$12,2,FALSE)</f>
        <v>Female</v>
      </c>
      <c r="L1505" t="str">
        <f>VLOOKUP($D1505,'[2]product Table data'!$A$2:$G$12,L$1,FALSE)</f>
        <v>Casual n Light</v>
      </c>
      <c r="M1505" t="str">
        <f>VLOOKUP($D1505,'[2]product Table data'!$A$2:$G$12,M$1,FALSE)</f>
        <v>Guatemala</v>
      </c>
      <c r="N1505" t="str">
        <f>VLOOKUP($D1505,'[2]product Table data'!$A$2:$G$12,N$1,FALSE)</f>
        <v>Central America</v>
      </c>
      <c r="O1505">
        <f>VLOOKUP($D1505,'[2]product Table data'!$A$2:$G$12,O$1,FALSE)</f>
        <v>25</v>
      </c>
      <c r="P1505">
        <f>VLOOKUP($D1505,'[2]product Table data'!$A$2:$G$12,P$1,FALSE)</f>
        <v>30</v>
      </c>
      <c r="Q1505">
        <f t="shared" si="115"/>
        <v>5</v>
      </c>
      <c r="R1505" t="str">
        <f t="shared" si="116"/>
        <v>Hub Risk</v>
      </c>
      <c r="S1505" t="str">
        <f t="shared" si="117"/>
        <v>Style Risk</v>
      </c>
      <c r="T1505" t="str">
        <f t="shared" si="118"/>
        <v>Risk</v>
      </c>
      <c r="U1505" t="str">
        <f t="shared" si="119"/>
        <v>Low Value</v>
      </c>
    </row>
    <row r="1506" spans="1:21" hidden="1" x14ac:dyDescent="0.2">
      <c r="A1506" s="2">
        <v>1504</v>
      </c>
      <c r="B1506" s="2" t="s">
        <v>9</v>
      </c>
      <c r="C1506" s="2" t="s">
        <v>2143</v>
      </c>
      <c r="D1506" s="2" t="s">
        <v>566</v>
      </c>
      <c r="E1506" s="2">
        <v>80014</v>
      </c>
      <c r="F1506" s="2" t="s">
        <v>496</v>
      </c>
      <c r="G1506" s="2" t="s">
        <v>36</v>
      </c>
      <c r="H1506" s="2">
        <v>1</v>
      </c>
      <c r="I1506" s="2" t="s">
        <v>39</v>
      </c>
      <c r="J1506" s="2" t="str">
        <f>VLOOKUP(E1506,[1]LL_Hub!$A$1:$B$13,2,FALSE)</f>
        <v>Denver</v>
      </c>
      <c r="K1506" t="str">
        <f>VLOOKUP(D1506,'[2]product Table data'!$A$2:$B$12,2,FALSE)</f>
        <v>Female</v>
      </c>
      <c r="L1506" t="str">
        <f>VLOOKUP($D1506,'[2]product Table data'!$A$2:$G$12,L$1,FALSE)</f>
        <v>Casual n Light</v>
      </c>
      <c r="M1506" t="str">
        <f>VLOOKUP($D1506,'[2]product Table data'!$A$2:$G$12,M$1,FALSE)</f>
        <v>Guatemala</v>
      </c>
      <c r="N1506" t="str">
        <f>VLOOKUP($D1506,'[2]product Table data'!$A$2:$G$12,N$1,FALSE)</f>
        <v>Central America</v>
      </c>
      <c r="O1506">
        <f>VLOOKUP($D1506,'[2]product Table data'!$A$2:$G$12,O$1,FALSE)</f>
        <v>25</v>
      </c>
      <c r="P1506">
        <f>VLOOKUP($D1506,'[2]product Table data'!$A$2:$G$12,P$1,FALSE)</f>
        <v>30</v>
      </c>
      <c r="Q1506">
        <f t="shared" si="115"/>
        <v>5</v>
      </c>
      <c r="R1506" t="str">
        <f t="shared" si="116"/>
        <v>Hub Risk</v>
      </c>
      <c r="S1506" t="str">
        <f t="shared" si="117"/>
        <v>Style Risk</v>
      </c>
      <c r="T1506" t="str">
        <f t="shared" si="118"/>
        <v>Risk</v>
      </c>
      <c r="U1506" t="str">
        <f t="shared" si="119"/>
        <v>Low Value</v>
      </c>
    </row>
    <row r="1507" spans="1:21" hidden="1" x14ac:dyDescent="0.2">
      <c r="A1507" s="2">
        <v>1505</v>
      </c>
      <c r="B1507" s="2" t="s">
        <v>9</v>
      </c>
      <c r="C1507" s="2" t="s">
        <v>2144</v>
      </c>
      <c r="D1507" s="2" t="s">
        <v>566</v>
      </c>
      <c r="E1507" s="2">
        <v>80014</v>
      </c>
      <c r="F1507" s="2" t="s">
        <v>496</v>
      </c>
      <c r="G1507" s="2" t="s">
        <v>36</v>
      </c>
      <c r="H1507" s="2">
        <v>1</v>
      </c>
      <c r="I1507" s="2" t="s">
        <v>39</v>
      </c>
      <c r="J1507" s="2" t="str">
        <f>VLOOKUP(E1507,[1]LL_Hub!$A$1:$B$13,2,FALSE)</f>
        <v>Denver</v>
      </c>
      <c r="K1507" t="str">
        <f>VLOOKUP(D1507,'[2]product Table data'!$A$2:$B$12,2,FALSE)</f>
        <v>Female</v>
      </c>
      <c r="L1507" t="str">
        <f>VLOOKUP($D1507,'[2]product Table data'!$A$2:$G$12,L$1,FALSE)</f>
        <v>Casual n Light</v>
      </c>
      <c r="M1507" t="str">
        <f>VLOOKUP($D1507,'[2]product Table data'!$A$2:$G$12,M$1,FALSE)</f>
        <v>Guatemala</v>
      </c>
      <c r="N1507" t="str">
        <f>VLOOKUP($D1507,'[2]product Table data'!$A$2:$G$12,N$1,FALSE)</f>
        <v>Central America</v>
      </c>
      <c r="O1507">
        <f>VLOOKUP($D1507,'[2]product Table data'!$A$2:$G$12,O$1,FALSE)</f>
        <v>25</v>
      </c>
      <c r="P1507">
        <f>VLOOKUP($D1507,'[2]product Table data'!$A$2:$G$12,P$1,FALSE)</f>
        <v>30</v>
      </c>
      <c r="Q1507">
        <f t="shared" si="115"/>
        <v>5</v>
      </c>
      <c r="R1507" t="str">
        <f t="shared" si="116"/>
        <v>Hub Risk</v>
      </c>
      <c r="S1507" t="str">
        <f t="shared" si="117"/>
        <v>Style Risk</v>
      </c>
      <c r="T1507" t="str">
        <f t="shared" si="118"/>
        <v>Risk</v>
      </c>
      <c r="U1507" t="str">
        <f t="shared" si="119"/>
        <v>Low Value</v>
      </c>
    </row>
    <row r="1508" spans="1:21" hidden="1" x14ac:dyDescent="0.2">
      <c r="A1508" s="2">
        <v>1506</v>
      </c>
      <c r="B1508" s="2" t="s">
        <v>9</v>
      </c>
      <c r="C1508" s="2" t="s">
        <v>2145</v>
      </c>
      <c r="D1508" s="2" t="s">
        <v>566</v>
      </c>
      <c r="E1508" s="2">
        <v>80014</v>
      </c>
      <c r="F1508" s="2" t="s">
        <v>496</v>
      </c>
      <c r="G1508" s="2" t="s">
        <v>36</v>
      </c>
      <c r="H1508" s="2">
        <v>1</v>
      </c>
      <c r="I1508" s="2" t="s">
        <v>39</v>
      </c>
      <c r="J1508" s="2" t="str">
        <f>VLOOKUP(E1508,[1]LL_Hub!$A$1:$B$13,2,FALSE)</f>
        <v>Denver</v>
      </c>
      <c r="K1508" t="str">
        <f>VLOOKUP(D1508,'[2]product Table data'!$A$2:$B$12,2,FALSE)</f>
        <v>Female</v>
      </c>
      <c r="L1508" t="str">
        <f>VLOOKUP($D1508,'[2]product Table data'!$A$2:$G$12,L$1,FALSE)</f>
        <v>Casual n Light</v>
      </c>
      <c r="M1508" t="str">
        <f>VLOOKUP($D1508,'[2]product Table data'!$A$2:$G$12,M$1,FALSE)</f>
        <v>Guatemala</v>
      </c>
      <c r="N1508" t="str">
        <f>VLOOKUP($D1508,'[2]product Table data'!$A$2:$G$12,N$1,FALSE)</f>
        <v>Central America</v>
      </c>
      <c r="O1508">
        <f>VLOOKUP($D1508,'[2]product Table data'!$A$2:$G$12,O$1,FALSE)</f>
        <v>25</v>
      </c>
      <c r="P1508">
        <f>VLOOKUP($D1508,'[2]product Table data'!$A$2:$G$12,P$1,FALSE)</f>
        <v>30</v>
      </c>
      <c r="Q1508">
        <f t="shared" si="115"/>
        <v>5</v>
      </c>
      <c r="R1508" t="str">
        <f t="shared" si="116"/>
        <v>Hub Risk</v>
      </c>
      <c r="S1508" t="str">
        <f t="shared" si="117"/>
        <v>Style Risk</v>
      </c>
      <c r="T1508" t="str">
        <f t="shared" si="118"/>
        <v>Risk</v>
      </c>
      <c r="U1508" t="str">
        <f t="shared" si="119"/>
        <v>Low Value</v>
      </c>
    </row>
    <row r="1509" spans="1:21" hidden="1" x14ac:dyDescent="0.2">
      <c r="A1509" s="2">
        <v>1507</v>
      </c>
      <c r="B1509" s="2" t="s">
        <v>9</v>
      </c>
      <c r="C1509" s="2" t="s">
        <v>2146</v>
      </c>
      <c r="D1509" s="2" t="s">
        <v>566</v>
      </c>
      <c r="E1509" s="2">
        <v>80014</v>
      </c>
      <c r="F1509" s="2" t="s">
        <v>496</v>
      </c>
      <c r="G1509" s="2" t="s">
        <v>36</v>
      </c>
      <c r="H1509" s="2">
        <v>1</v>
      </c>
      <c r="I1509" s="2" t="s">
        <v>39</v>
      </c>
      <c r="J1509" s="2" t="str">
        <f>VLOOKUP(E1509,[1]LL_Hub!$A$1:$B$13,2,FALSE)</f>
        <v>Denver</v>
      </c>
      <c r="K1509" t="str">
        <f>VLOOKUP(D1509,'[2]product Table data'!$A$2:$B$12,2,FALSE)</f>
        <v>Female</v>
      </c>
      <c r="L1509" t="str">
        <f>VLOOKUP($D1509,'[2]product Table data'!$A$2:$G$12,L$1,FALSE)</f>
        <v>Casual n Light</v>
      </c>
      <c r="M1509" t="str">
        <f>VLOOKUP($D1509,'[2]product Table data'!$A$2:$G$12,M$1,FALSE)</f>
        <v>Guatemala</v>
      </c>
      <c r="N1509" t="str">
        <f>VLOOKUP($D1509,'[2]product Table data'!$A$2:$G$12,N$1,FALSE)</f>
        <v>Central America</v>
      </c>
      <c r="O1509">
        <f>VLOOKUP($D1509,'[2]product Table data'!$A$2:$G$12,O$1,FALSE)</f>
        <v>25</v>
      </c>
      <c r="P1509">
        <f>VLOOKUP($D1509,'[2]product Table data'!$A$2:$G$12,P$1,FALSE)</f>
        <v>30</v>
      </c>
      <c r="Q1509">
        <f t="shared" si="115"/>
        <v>5</v>
      </c>
      <c r="R1509" t="str">
        <f t="shared" si="116"/>
        <v>Hub Risk</v>
      </c>
      <c r="S1509" t="str">
        <f t="shared" si="117"/>
        <v>Style Risk</v>
      </c>
      <c r="T1509" t="str">
        <f t="shared" si="118"/>
        <v>Risk</v>
      </c>
      <c r="U1509" t="str">
        <f t="shared" si="119"/>
        <v>Low Value</v>
      </c>
    </row>
    <row r="1510" spans="1:21" hidden="1" x14ac:dyDescent="0.2">
      <c r="A1510" s="2">
        <v>1508</v>
      </c>
      <c r="B1510" s="2" t="s">
        <v>9</v>
      </c>
      <c r="C1510" s="2" t="s">
        <v>2147</v>
      </c>
      <c r="D1510" s="2" t="s">
        <v>566</v>
      </c>
      <c r="E1510" s="2">
        <v>80014</v>
      </c>
      <c r="F1510" s="2" t="s">
        <v>496</v>
      </c>
      <c r="G1510" s="2" t="s">
        <v>36</v>
      </c>
      <c r="H1510" s="2">
        <v>1</v>
      </c>
      <c r="I1510" s="2" t="s">
        <v>39</v>
      </c>
      <c r="J1510" s="2" t="str">
        <f>VLOOKUP(E1510,[1]LL_Hub!$A$1:$B$13,2,FALSE)</f>
        <v>Denver</v>
      </c>
      <c r="K1510" t="str">
        <f>VLOOKUP(D1510,'[2]product Table data'!$A$2:$B$12,2,FALSE)</f>
        <v>Female</v>
      </c>
      <c r="L1510" t="str">
        <f>VLOOKUP($D1510,'[2]product Table data'!$A$2:$G$12,L$1,FALSE)</f>
        <v>Casual n Light</v>
      </c>
      <c r="M1510" t="str">
        <f>VLOOKUP($D1510,'[2]product Table data'!$A$2:$G$12,M$1,FALSE)</f>
        <v>Guatemala</v>
      </c>
      <c r="N1510" t="str">
        <f>VLOOKUP($D1510,'[2]product Table data'!$A$2:$G$12,N$1,FALSE)</f>
        <v>Central America</v>
      </c>
      <c r="O1510">
        <f>VLOOKUP($D1510,'[2]product Table data'!$A$2:$G$12,O$1,FALSE)</f>
        <v>25</v>
      </c>
      <c r="P1510">
        <f>VLOOKUP($D1510,'[2]product Table data'!$A$2:$G$12,P$1,FALSE)</f>
        <v>30</v>
      </c>
      <c r="Q1510">
        <f t="shared" si="115"/>
        <v>5</v>
      </c>
      <c r="R1510" t="str">
        <f t="shared" si="116"/>
        <v>Hub Risk</v>
      </c>
      <c r="S1510" t="str">
        <f t="shared" si="117"/>
        <v>Style Risk</v>
      </c>
      <c r="T1510" t="str">
        <f t="shared" si="118"/>
        <v>Risk</v>
      </c>
      <c r="U1510" t="str">
        <f t="shared" si="119"/>
        <v>Low Value</v>
      </c>
    </row>
    <row r="1511" spans="1:21" hidden="1" x14ac:dyDescent="0.2">
      <c r="A1511" s="2">
        <v>1509</v>
      </c>
      <c r="B1511" s="2" t="s">
        <v>9</v>
      </c>
      <c r="C1511" s="2" t="s">
        <v>2148</v>
      </c>
      <c r="D1511" s="2" t="s">
        <v>566</v>
      </c>
      <c r="E1511" s="2">
        <v>80014</v>
      </c>
      <c r="F1511" s="2" t="s">
        <v>496</v>
      </c>
      <c r="G1511" s="2" t="s">
        <v>36</v>
      </c>
      <c r="H1511" s="2">
        <v>1</v>
      </c>
      <c r="I1511" s="2" t="s">
        <v>39</v>
      </c>
      <c r="J1511" s="2" t="str">
        <f>VLOOKUP(E1511,[1]LL_Hub!$A$1:$B$13,2,FALSE)</f>
        <v>Denver</v>
      </c>
      <c r="K1511" t="str">
        <f>VLOOKUP(D1511,'[2]product Table data'!$A$2:$B$12,2,FALSE)</f>
        <v>Female</v>
      </c>
      <c r="L1511" t="str">
        <f>VLOOKUP($D1511,'[2]product Table data'!$A$2:$G$12,L$1,FALSE)</f>
        <v>Casual n Light</v>
      </c>
      <c r="M1511" t="str">
        <f>VLOOKUP($D1511,'[2]product Table data'!$A$2:$G$12,M$1,FALSE)</f>
        <v>Guatemala</v>
      </c>
      <c r="N1511" t="str">
        <f>VLOOKUP($D1511,'[2]product Table data'!$A$2:$G$12,N$1,FALSE)</f>
        <v>Central America</v>
      </c>
      <c r="O1511">
        <f>VLOOKUP($D1511,'[2]product Table data'!$A$2:$G$12,O$1,FALSE)</f>
        <v>25</v>
      </c>
      <c r="P1511">
        <f>VLOOKUP($D1511,'[2]product Table data'!$A$2:$G$12,P$1,FALSE)</f>
        <v>30</v>
      </c>
      <c r="Q1511">
        <f t="shared" si="115"/>
        <v>5</v>
      </c>
      <c r="R1511" t="str">
        <f t="shared" si="116"/>
        <v>Hub Risk</v>
      </c>
      <c r="S1511" t="str">
        <f t="shared" si="117"/>
        <v>Style Risk</v>
      </c>
      <c r="T1511" t="str">
        <f t="shared" si="118"/>
        <v>Risk</v>
      </c>
      <c r="U1511" t="str">
        <f t="shared" si="119"/>
        <v>Low Value</v>
      </c>
    </row>
    <row r="1512" spans="1:21" hidden="1" x14ac:dyDescent="0.2">
      <c r="A1512" s="2">
        <v>1510</v>
      </c>
      <c r="B1512" s="2" t="s">
        <v>9</v>
      </c>
      <c r="C1512" s="2" t="s">
        <v>2149</v>
      </c>
      <c r="D1512" s="2" t="s">
        <v>566</v>
      </c>
      <c r="E1512" s="2">
        <v>80014</v>
      </c>
      <c r="F1512" s="2" t="s">
        <v>496</v>
      </c>
      <c r="G1512" s="2" t="s">
        <v>36</v>
      </c>
      <c r="H1512" s="2">
        <v>1</v>
      </c>
      <c r="I1512" s="2" t="s">
        <v>39</v>
      </c>
      <c r="J1512" s="2" t="str">
        <f>VLOOKUP(E1512,[1]LL_Hub!$A$1:$B$13,2,FALSE)</f>
        <v>Denver</v>
      </c>
      <c r="K1512" t="str">
        <f>VLOOKUP(D1512,'[2]product Table data'!$A$2:$B$12,2,FALSE)</f>
        <v>Female</v>
      </c>
      <c r="L1512" t="str">
        <f>VLOOKUP($D1512,'[2]product Table data'!$A$2:$G$12,L$1,FALSE)</f>
        <v>Casual n Light</v>
      </c>
      <c r="M1512" t="str">
        <f>VLOOKUP($D1512,'[2]product Table data'!$A$2:$G$12,M$1,FALSE)</f>
        <v>Guatemala</v>
      </c>
      <c r="N1512" t="str">
        <f>VLOOKUP($D1512,'[2]product Table data'!$A$2:$G$12,N$1,FALSE)</f>
        <v>Central America</v>
      </c>
      <c r="O1512">
        <f>VLOOKUP($D1512,'[2]product Table data'!$A$2:$G$12,O$1,FALSE)</f>
        <v>25</v>
      </c>
      <c r="P1512">
        <f>VLOOKUP($D1512,'[2]product Table data'!$A$2:$G$12,P$1,FALSE)</f>
        <v>30</v>
      </c>
      <c r="Q1512">
        <f t="shared" si="115"/>
        <v>5</v>
      </c>
      <c r="R1512" t="str">
        <f t="shared" si="116"/>
        <v>Hub Risk</v>
      </c>
      <c r="S1512" t="str">
        <f t="shared" si="117"/>
        <v>Style Risk</v>
      </c>
      <c r="T1512" t="str">
        <f t="shared" si="118"/>
        <v>Risk</v>
      </c>
      <c r="U1512" t="str">
        <f t="shared" si="119"/>
        <v>Low Value</v>
      </c>
    </row>
    <row r="1513" spans="1:21" hidden="1" x14ac:dyDescent="0.2">
      <c r="A1513" s="2">
        <v>1511</v>
      </c>
      <c r="B1513" s="2" t="s">
        <v>9</v>
      </c>
      <c r="C1513" s="2" t="s">
        <v>2150</v>
      </c>
      <c r="D1513" s="2" t="s">
        <v>566</v>
      </c>
      <c r="E1513" s="2">
        <v>80014</v>
      </c>
      <c r="F1513" s="2" t="s">
        <v>496</v>
      </c>
      <c r="G1513" s="2" t="s">
        <v>36</v>
      </c>
      <c r="H1513" s="2">
        <v>1</v>
      </c>
      <c r="I1513" s="2" t="s">
        <v>39</v>
      </c>
      <c r="J1513" s="2" t="str">
        <f>VLOOKUP(E1513,[1]LL_Hub!$A$1:$B$13,2,FALSE)</f>
        <v>Denver</v>
      </c>
      <c r="K1513" t="str">
        <f>VLOOKUP(D1513,'[2]product Table data'!$A$2:$B$12,2,FALSE)</f>
        <v>Female</v>
      </c>
      <c r="L1513" t="str">
        <f>VLOOKUP($D1513,'[2]product Table data'!$A$2:$G$12,L$1,FALSE)</f>
        <v>Casual n Light</v>
      </c>
      <c r="M1513" t="str">
        <f>VLOOKUP($D1513,'[2]product Table data'!$A$2:$G$12,M$1,FALSE)</f>
        <v>Guatemala</v>
      </c>
      <c r="N1513" t="str">
        <f>VLOOKUP($D1513,'[2]product Table data'!$A$2:$G$12,N$1,FALSE)</f>
        <v>Central America</v>
      </c>
      <c r="O1513">
        <f>VLOOKUP($D1513,'[2]product Table data'!$A$2:$G$12,O$1,FALSE)</f>
        <v>25</v>
      </c>
      <c r="P1513">
        <f>VLOOKUP($D1513,'[2]product Table data'!$A$2:$G$12,P$1,FALSE)</f>
        <v>30</v>
      </c>
      <c r="Q1513">
        <f t="shared" si="115"/>
        <v>5</v>
      </c>
      <c r="R1513" t="str">
        <f t="shared" si="116"/>
        <v>Hub Risk</v>
      </c>
      <c r="S1513" t="str">
        <f t="shared" si="117"/>
        <v>Style Risk</v>
      </c>
      <c r="T1513" t="str">
        <f t="shared" si="118"/>
        <v>Risk</v>
      </c>
      <c r="U1513" t="str">
        <f t="shared" si="119"/>
        <v>Low Value</v>
      </c>
    </row>
    <row r="1514" spans="1:21" hidden="1" x14ac:dyDescent="0.2">
      <c r="A1514" s="2">
        <v>1512</v>
      </c>
      <c r="B1514" s="2" t="s">
        <v>9</v>
      </c>
      <c r="C1514" s="2" t="s">
        <v>2151</v>
      </c>
      <c r="D1514" s="2" t="s">
        <v>566</v>
      </c>
      <c r="E1514" s="2">
        <v>80014</v>
      </c>
      <c r="F1514" s="2" t="s">
        <v>496</v>
      </c>
      <c r="G1514" s="2" t="s">
        <v>36</v>
      </c>
      <c r="H1514" s="2">
        <v>1</v>
      </c>
      <c r="I1514" s="2" t="s">
        <v>39</v>
      </c>
      <c r="J1514" s="2" t="str">
        <f>VLOOKUP(E1514,[1]LL_Hub!$A$1:$B$13,2,FALSE)</f>
        <v>Denver</v>
      </c>
      <c r="K1514" t="str">
        <f>VLOOKUP(D1514,'[2]product Table data'!$A$2:$B$12,2,FALSE)</f>
        <v>Female</v>
      </c>
      <c r="L1514" t="str">
        <f>VLOOKUP($D1514,'[2]product Table data'!$A$2:$G$12,L$1,FALSE)</f>
        <v>Casual n Light</v>
      </c>
      <c r="M1514" t="str">
        <f>VLOOKUP($D1514,'[2]product Table data'!$A$2:$G$12,M$1,FALSE)</f>
        <v>Guatemala</v>
      </c>
      <c r="N1514" t="str">
        <f>VLOOKUP($D1514,'[2]product Table data'!$A$2:$G$12,N$1,FALSE)</f>
        <v>Central America</v>
      </c>
      <c r="O1514">
        <f>VLOOKUP($D1514,'[2]product Table data'!$A$2:$G$12,O$1,FALSE)</f>
        <v>25</v>
      </c>
      <c r="P1514">
        <f>VLOOKUP($D1514,'[2]product Table data'!$A$2:$G$12,P$1,FALSE)</f>
        <v>30</v>
      </c>
      <c r="Q1514">
        <f t="shared" si="115"/>
        <v>5</v>
      </c>
      <c r="R1514" t="str">
        <f t="shared" si="116"/>
        <v>Hub Risk</v>
      </c>
      <c r="S1514" t="str">
        <f t="shared" si="117"/>
        <v>Style Risk</v>
      </c>
      <c r="T1514" t="str">
        <f t="shared" si="118"/>
        <v>Risk</v>
      </c>
      <c r="U1514" t="str">
        <f t="shared" si="119"/>
        <v>Low Value</v>
      </c>
    </row>
    <row r="1515" spans="1:21" hidden="1" x14ac:dyDescent="0.2">
      <c r="A1515" s="2">
        <v>1513</v>
      </c>
      <c r="B1515" s="2" t="s">
        <v>9</v>
      </c>
      <c r="C1515" s="2" t="s">
        <v>2152</v>
      </c>
      <c r="D1515" s="2" t="s">
        <v>566</v>
      </c>
      <c r="E1515" s="2">
        <v>80014</v>
      </c>
      <c r="F1515" s="2" t="s">
        <v>496</v>
      </c>
      <c r="G1515" s="2" t="s">
        <v>36</v>
      </c>
      <c r="H1515" s="2">
        <v>1</v>
      </c>
      <c r="I1515" s="2" t="s">
        <v>39</v>
      </c>
      <c r="J1515" s="2" t="str">
        <f>VLOOKUP(E1515,[1]LL_Hub!$A$1:$B$13,2,FALSE)</f>
        <v>Denver</v>
      </c>
      <c r="K1515" t="str">
        <f>VLOOKUP(D1515,'[2]product Table data'!$A$2:$B$12,2,FALSE)</f>
        <v>Female</v>
      </c>
      <c r="L1515" t="str">
        <f>VLOOKUP($D1515,'[2]product Table data'!$A$2:$G$12,L$1,FALSE)</f>
        <v>Casual n Light</v>
      </c>
      <c r="M1515" t="str">
        <f>VLOOKUP($D1515,'[2]product Table data'!$A$2:$G$12,M$1,FALSE)</f>
        <v>Guatemala</v>
      </c>
      <c r="N1515" t="str">
        <f>VLOOKUP($D1515,'[2]product Table data'!$A$2:$G$12,N$1,FALSE)</f>
        <v>Central America</v>
      </c>
      <c r="O1515">
        <f>VLOOKUP($D1515,'[2]product Table data'!$A$2:$G$12,O$1,FALSE)</f>
        <v>25</v>
      </c>
      <c r="P1515">
        <f>VLOOKUP($D1515,'[2]product Table data'!$A$2:$G$12,P$1,FALSE)</f>
        <v>30</v>
      </c>
      <c r="Q1515">
        <f t="shared" si="115"/>
        <v>5</v>
      </c>
      <c r="R1515" t="str">
        <f t="shared" si="116"/>
        <v>Hub Risk</v>
      </c>
      <c r="S1515" t="str">
        <f t="shared" si="117"/>
        <v>Style Risk</v>
      </c>
      <c r="T1515" t="str">
        <f t="shared" si="118"/>
        <v>Risk</v>
      </c>
      <c r="U1515" t="str">
        <f t="shared" si="119"/>
        <v>Low Value</v>
      </c>
    </row>
    <row r="1516" spans="1:21" x14ac:dyDescent="0.2">
      <c r="A1516" s="2">
        <v>1090</v>
      </c>
      <c r="B1516" s="2" t="s">
        <v>9</v>
      </c>
      <c r="C1516" s="2" t="s">
        <v>474</v>
      </c>
      <c r="D1516" s="2" t="s">
        <v>41</v>
      </c>
      <c r="E1516" s="2">
        <v>80123</v>
      </c>
      <c r="F1516" s="2" t="s">
        <v>475</v>
      </c>
      <c r="G1516" s="2" t="s">
        <v>13</v>
      </c>
      <c r="H1516" s="2">
        <v>1</v>
      </c>
      <c r="I1516" s="2" t="s">
        <v>14</v>
      </c>
      <c r="J1516" s="2" t="str">
        <f>VLOOKUP(E1516,[1]LL_Hub!$A$1:$B$13,2,FALSE)</f>
        <v>Denver</v>
      </c>
      <c r="K1516" t="str">
        <f>VLOOKUP(D1516,'[2]product Table data'!$A$2:$B$12,2,FALSE)</f>
        <v>Male</v>
      </c>
      <c r="L1516" t="str">
        <f>VLOOKUP($D1516,'[2]product Table data'!$A$2:$G$12,L$1,FALSE)</f>
        <v>Winter Warmth</v>
      </c>
      <c r="M1516" t="str">
        <f>VLOOKUP($D1516,'[2]product Table data'!$A$2:$G$12,M$1,FALSE)</f>
        <v>Moldova</v>
      </c>
      <c r="N1516" t="str">
        <f>VLOOKUP($D1516,'[2]product Table data'!$A$2:$G$12,N$1,FALSE)</f>
        <v>Eastern Europe</v>
      </c>
      <c r="O1516">
        <f>VLOOKUP($D1516,'[2]product Table data'!$A$2:$G$12,O$1,FALSE)</f>
        <v>475</v>
      </c>
      <c r="P1516">
        <f>VLOOKUP($D1516,'[2]product Table data'!$A$2:$G$12,P$1,FALSE)</f>
        <v>600</v>
      </c>
      <c r="Q1516">
        <f t="shared" si="115"/>
        <v>125</v>
      </c>
      <c r="R1516" t="str">
        <f t="shared" si="116"/>
        <v>Hub Risk</v>
      </c>
      <c r="S1516" t="str">
        <f t="shared" si="117"/>
        <v>-</v>
      </c>
      <c r="T1516" t="str">
        <f t="shared" si="118"/>
        <v>-</v>
      </c>
      <c r="U1516" t="str">
        <f t="shared" si="119"/>
        <v>High Value</v>
      </c>
    </row>
    <row r="1517" spans="1:21" x14ac:dyDescent="0.2">
      <c r="A1517" s="2">
        <v>1094</v>
      </c>
      <c r="B1517" s="2" t="s">
        <v>9</v>
      </c>
      <c r="C1517" s="2" t="s">
        <v>481</v>
      </c>
      <c r="D1517" s="2" t="s">
        <v>41</v>
      </c>
      <c r="E1517" s="2">
        <v>80123</v>
      </c>
      <c r="F1517" s="2" t="s">
        <v>482</v>
      </c>
      <c r="G1517" s="2" t="s">
        <v>13</v>
      </c>
      <c r="H1517" s="2">
        <v>1</v>
      </c>
      <c r="I1517" s="2" t="s">
        <v>14</v>
      </c>
      <c r="J1517" s="2" t="str">
        <f>VLOOKUP(E1517,[1]LL_Hub!$A$1:$B$13,2,FALSE)</f>
        <v>Denver</v>
      </c>
      <c r="K1517" t="str">
        <f>VLOOKUP(D1517,'[2]product Table data'!$A$2:$B$12,2,FALSE)</f>
        <v>Male</v>
      </c>
      <c r="L1517" t="str">
        <f>VLOOKUP($D1517,'[2]product Table data'!$A$2:$G$12,L$1,FALSE)</f>
        <v>Winter Warmth</v>
      </c>
      <c r="M1517" t="str">
        <f>VLOOKUP($D1517,'[2]product Table data'!$A$2:$G$12,M$1,FALSE)</f>
        <v>Moldova</v>
      </c>
      <c r="N1517" t="str">
        <f>VLOOKUP($D1517,'[2]product Table data'!$A$2:$G$12,N$1,FALSE)</f>
        <v>Eastern Europe</v>
      </c>
      <c r="O1517">
        <f>VLOOKUP($D1517,'[2]product Table data'!$A$2:$G$12,O$1,FALSE)</f>
        <v>475</v>
      </c>
      <c r="P1517">
        <f>VLOOKUP($D1517,'[2]product Table data'!$A$2:$G$12,P$1,FALSE)</f>
        <v>600</v>
      </c>
      <c r="Q1517">
        <f t="shared" si="115"/>
        <v>125</v>
      </c>
      <c r="R1517" t="str">
        <f t="shared" si="116"/>
        <v>Hub Risk</v>
      </c>
      <c r="S1517" t="str">
        <f t="shared" si="117"/>
        <v>-</v>
      </c>
      <c r="T1517" t="str">
        <f t="shared" si="118"/>
        <v>-</v>
      </c>
      <c r="U1517" t="str">
        <f t="shared" si="119"/>
        <v>High Value</v>
      </c>
    </row>
    <row r="1518" spans="1:21" x14ac:dyDescent="0.2">
      <c r="A1518" s="2">
        <v>1097</v>
      </c>
      <c r="B1518" s="2" t="s">
        <v>9</v>
      </c>
      <c r="C1518" s="2" t="s">
        <v>487</v>
      </c>
      <c r="D1518" s="2" t="s">
        <v>41</v>
      </c>
      <c r="E1518" s="2">
        <v>80123</v>
      </c>
      <c r="F1518" s="2" t="s">
        <v>488</v>
      </c>
      <c r="G1518" s="2" t="s">
        <v>13</v>
      </c>
      <c r="H1518" s="2">
        <v>1</v>
      </c>
      <c r="I1518" s="2" t="s">
        <v>14</v>
      </c>
      <c r="J1518" s="2" t="str">
        <f>VLOOKUP(E1518,[1]LL_Hub!$A$1:$B$13,2,FALSE)</f>
        <v>Denver</v>
      </c>
      <c r="K1518" t="str">
        <f>VLOOKUP(D1518,'[2]product Table data'!$A$2:$B$12,2,FALSE)</f>
        <v>Male</v>
      </c>
      <c r="L1518" t="str">
        <f>VLOOKUP($D1518,'[2]product Table data'!$A$2:$G$12,L$1,FALSE)</f>
        <v>Winter Warmth</v>
      </c>
      <c r="M1518" t="str">
        <f>VLOOKUP($D1518,'[2]product Table data'!$A$2:$G$12,M$1,FALSE)</f>
        <v>Moldova</v>
      </c>
      <c r="N1518" t="str">
        <f>VLOOKUP($D1518,'[2]product Table data'!$A$2:$G$12,N$1,FALSE)</f>
        <v>Eastern Europe</v>
      </c>
      <c r="O1518">
        <f>VLOOKUP($D1518,'[2]product Table data'!$A$2:$G$12,O$1,FALSE)</f>
        <v>475</v>
      </c>
      <c r="P1518">
        <f>VLOOKUP($D1518,'[2]product Table data'!$A$2:$G$12,P$1,FALSE)</f>
        <v>600</v>
      </c>
      <c r="Q1518">
        <f t="shared" si="115"/>
        <v>125</v>
      </c>
      <c r="R1518" t="str">
        <f t="shared" si="116"/>
        <v>Hub Risk</v>
      </c>
      <c r="S1518" t="str">
        <f t="shared" si="117"/>
        <v>-</v>
      </c>
      <c r="T1518" t="str">
        <f t="shared" si="118"/>
        <v>-</v>
      </c>
      <c r="U1518" t="str">
        <f t="shared" si="119"/>
        <v>High Value</v>
      </c>
    </row>
    <row r="1519" spans="1:21" hidden="1" x14ac:dyDescent="0.2">
      <c r="A1519" s="2">
        <v>1517</v>
      </c>
      <c r="B1519" s="2" t="s">
        <v>9</v>
      </c>
      <c r="C1519" s="2" t="s">
        <v>2156</v>
      </c>
      <c r="D1519" s="2" t="s">
        <v>558</v>
      </c>
      <c r="E1519" s="2">
        <v>90021</v>
      </c>
      <c r="F1519" s="2" t="s">
        <v>981</v>
      </c>
      <c r="G1519" s="2" t="s">
        <v>36</v>
      </c>
      <c r="H1519" s="2">
        <v>1</v>
      </c>
      <c r="I1519" s="2" t="s">
        <v>39</v>
      </c>
      <c r="J1519" s="2" t="str">
        <f>VLOOKUP(E1519,[1]LL_Hub!$A$1:$B$13,2,FALSE)</f>
        <v>Los Angeles</v>
      </c>
      <c r="K1519" t="str">
        <f>VLOOKUP(D1519,'[2]product Table data'!$A$2:$B$12,2,FALSE)</f>
        <v>Female</v>
      </c>
      <c r="L1519" t="str">
        <f>VLOOKUP($D1519,'[2]product Table data'!$A$2:$G$12,L$1,FALSE)</f>
        <v>Fancy Sheek</v>
      </c>
      <c r="M1519" t="str">
        <f>VLOOKUP($D1519,'[2]product Table data'!$A$2:$G$12,M$1,FALSE)</f>
        <v>Afghanistan</v>
      </c>
      <c r="N1519" t="str">
        <f>VLOOKUP($D1519,'[2]product Table data'!$A$2:$G$12,N$1,FALSE)</f>
        <v>Middle East</v>
      </c>
      <c r="O1519">
        <f>VLOOKUP($D1519,'[2]product Table data'!$A$2:$G$12,O$1,FALSE)</f>
        <v>150</v>
      </c>
      <c r="P1519">
        <f>VLOOKUP($D1519,'[2]product Table data'!$A$2:$G$12,P$1,FALSE)</f>
        <v>75</v>
      </c>
      <c r="Q1519">
        <f t="shared" si="115"/>
        <v>-75</v>
      </c>
      <c r="R1519" t="str">
        <f t="shared" si="116"/>
        <v>Hub Risk</v>
      </c>
      <c r="S1519" t="str">
        <f t="shared" si="117"/>
        <v>Style Risk</v>
      </c>
      <c r="T1519" t="str">
        <f t="shared" si="118"/>
        <v>Risk</v>
      </c>
      <c r="U1519" t="str">
        <f t="shared" si="119"/>
        <v>Low Value</v>
      </c>
    </row>
    <row r="1520" spans="1:21" x14ac:dyDescent="0.2">
      <c r="A1520" s="2">
        <v>1099</v>
      </c>
      <c r="B1520" s="2" t="s">
        <v>9</v>
      </c>
      <c r="C1520" s="2" t="s">
        <v>491</v>
      </c>
      <c r="D1520" s="2" t="s">
        <v>41</v>
      </c>
      <c r="E1520" s="2">
        <v>80123</v>
      </c>
      <c r="F1520" s="2" t="s">
        <v>492</v>
      </c>
      <c r="G1520" s="2" t="s">
        <v>13</v>
      </c>
      <c r="H1520" s="2">
        <v>1</v>
      </c>
      <c r="I1520" s="2" t="s">
        <v>14</v>
      </c>
      <c r="J1520" s="2" t="str">
        <f>VLOOKUP(E1520,[1]LL_Hub!$A$1:$B$13,2,FALSE)</f>
        <v>Denver</v>
      </c>
      <c r="K1520" t="str">
        <f>VLOOKUP(D1520,'[2]product Table data'!$A$2:$B$12,2,FALSE)</f>
        <v>Male</v>
      </c>
      <c r="L1520" t="str">
        <f>VLOOKUP($D1520,'[2]product Table data'!$A$2:$G$12,L$1,FALSE)</f>
        <v>Winter Warmth</v>
      </c>
      <c r="M1520" t="str">
        <f>VLOOKUP($D1520,'[2]product Table data'!$A$2:$G$12,M$1,FALSE)</f>
        <v>Moldova</v>
      </c>
      <c r="N1520" t="str">
        <f>VLOOKUP($D1520,'[2]product Table data'!$A$2:$G$12,N$1,FALSE)</f>
        <v>Eastern Europe</v>
      </c>
      <c r="O1520">
        <f>VLOOKUP($D1520,'[2]product Table data'!$A$2:$G$12,O$1,FALSE)</f>
        <v>475</v>
      </c>
      <c r="P1520">
        <f>VLOOKUP($D1520,'[2]product Table data'!$A$2:$G$12,P$1,FALSE)</f>
        <v>600</v>
      </c>
      <c r="Q1520">
        <f t="shared" si="115"/>
        <v>125</v>
      </c>
      <c r="R1520" t="str">
        <f t="shared" si="116"/>
        <v>Hub Risk</v>
      </c>
      <c r="S1520" t="str">
        <f t="shared" si="117"/>
        <v>-</v>
      </c>
      <c r="T1520" t="str">
        <f t="shared" si="118"/>
        <v>-</v>
      </c>
      <c r="U1520" t="str">
        <f t="shared" si="119"/>
        <v>High Value</v>
      </c>
    </row>
    <row r="1521" spans="1:21" x14ac:dyDescent="0.2">
      <c r="A1521" s="2">
        <v>391</v>
      </c>
      <c r="B1521" s="2" t="s">
        <v>9</v>
      </c>
      <c r="C1521" s="2" t="s">
        <v>967</v>
      </c>
      <c r="D1521" s="2" t="s">
        <v>968</v>
      </c>
      <c r="E1521" s="2">
        <v>33101</v>
      </c>
      <c r="F1521" s="2" t="s">
        <v>969</v>
      </c>
      <c r="G1521" s="2" t="s">
        <v>13</v>
      </c>
      <c r="H1521" s="2">
        <v>1</v>
      </c>
      <c r="I1521" s="2" t="s">
        <v>14</v>
      </c>
      <c r="J1521" s="2" t="str">
        <f>VLOOKUP(E1521,[1]LL_Hub!$A$1:$B$13,2,FALSE)</f>
        <v>Miami</v>
      </c>
      <c r="K1521" t="str">
        <f>VLOOKUP(D1521,'[2]product Table data'!$A$2:$B$12,2,FALSE)</f>
        <v>Female</v>
      </c>
      <c r="L1521" t="str">
        <f>VLOOKUP($D1521,'[2]product Table data'!$A$2:$G$12,L$1,FALSE)</f>
        <v>Fancy Sheek</v>
      </c>
      <c r="M1521" t="str">
        <f>VLOOKUP($D1521,'[2]product Table data'!$A$2:$G$12,M$1,FALSE)</f>
        <v>Azerbaijan</v>
      </c>
      <c r="N1521" t="str">
        <f>VLOOKUP($D1521,'[2]product Table data'!$A$2:$G$12,N$1,FALSE)</f>
        <v>Middle East</v>
      </c>
      <c r="O1521">
        <f>VLOOKUP($D1521,'[2]product Table data'!$A$2:$G$12,O$1,FALSE)</f>
        <v>1200</v>
      </c>
      <c r="P1521">
        <f>VLOOKUP($D1521,'[2]product Table data'!$A$2:$G$12,P$1,FALSE)</f>
        <v>2000</v>
      </c>
      <c r="Q1521">
        <f t="shared" si="115"/>
        <v>800</v>
      </c>
      <c r="R1521" t="str">
        <f t="shared" si="116"/>
        <v>-</v>
      </c>
      <c r="S1521" t="str">
        <f t="shared" si="117"/>
        <v>Style Risk</v>
      </c>
      <c r="T1521" t="str">
        <f t="shared" si="118"/>
        <v>-</v>
      </c>
      <c r="U1521" t="str">
        <f t="shared" si="119"/>
        <v>High Value</v>
      </c>
    </row>
    <row r="1522" spans="1:21" x14ac:dyDescent="0.2">
      <c r="A1522" s="2">
        <v>451</v>
      </c>
      <c r="B1522" s="2" t="s">
        <v>9</v>
      </c>
      <c r="C1522" s="2" t="s">
        <v>1053</v>
      </c>
      <c r="D1522" s="2" t="s">
        <v>968</v>
      </c>
      <c r="E1522" s="2">
        <v>33101</v>
      </c>
      <c r="F1522" s="2" t="s">
        <v>98</v>
      </c>
      <c r="G1522" s="2" t="s">
        <v>36</v>
      </c>
      <c r="H1522" s="2">
        <v>1</v>
      </c>
      <c r="I1522" s="2" t="s">
        <v>14</v>
      </c>
      <c r="J1522" s="2" t="str">
        <f>VLOOKUP(E1522,[1]LL_Hub!$A$1:$B$13,2,FALSE)</f>
        <v>Miami</v>
      </c>
      <c r="K1522" t="str">
        <f>VLOOKUP(D1522,'[2]product Table data'!$A$2:$B$12,2,FALSE)</f>
        <v>Female</v>
      </c>
      <c r="L1522" t="str">
        <f>VLOOKUP($D1522,'[2]product Table data'!$A$2:$G$12,L$1,FALSE)</f>
        <v>Fancy Sheek</v>
      </c>
      <c r="M1522" t="str">
        <f>VLOOKUP($D1522,'[2]product Table data'!$A$2:$G$12,M$1,FALSE)</f>
        <v>Azerbaijan</v>
      </c>
      <c r="N1522" t="str">
        <f>VLOOKUP($D1522,'[2]product Table data'!$A$2:$G$12,N$1,FALSE)</f>
        <v>Middle East</v>
      </c>
      <c r="O1522">
        <f>VLOOKUP($D1522,'[2]product Table data'!$A$2:$G$12,O$1,FALSE)</f>
        <v>1200</v>
      </c>
      <c r="P1522">
        <f>VLOOKUP($D1522,'[2]product Table data'!$A$2:$G$12,P$1,FALSE)</f>
        <v>2000</v>
      </c>
      <c r="Q1522">
        <f t="shared" si="115"/>
        <v>800</v>
      </c>
      <c r="R1522" t="str">
        <f t="shared" si="116"/>
        <v>-</v>
      </c>
      <c r="S1522" t="str">
        <f t="shared" si="117"/>
        <v>Style Risk</v>
      </c>
      <c r="T1522" t="str">
        <f t="shared" si="118"/>
        <v>-</v>
      </c>
      <c r="U1522" t="str">
        <f t="shared" si="119"/>
        <v>High Value</v>
      </c>
    </row>
    <row r="1523" spans="1:21" hidden="1" x14ac:dyDescent="0.2">
      <c r="A1523" s="2">
        <v>1521</v>
      </c>
      <c r="B1523" s="2" t="s">
        <v>9</v>
      </c>
      <c r="C1523" s="2" t="s">
        <v>2160</v>
      </c>
      <c r="D1523" s="2" t="s">
        <v>558</v>
      </c>
      <c r="E1523" s="2">
        <v>90021</v>
      </c>
      <c r="F1523" s="2" t="s">
        <v>981</v>
      </c>
      <c r="G1523" s="2" t="s">
        <v>36</v>
      </c>
      <c r="H1523" s="2">
        <v>1</v>
      </c>
      <c r="I1523" s="2" t="s">
        <v>39</v>
      </c>
      <c r="J1523" s="2" t="str">
        <f>VLOOKUP(E1523,[1]LL_Hub!$A$1:$B$13,2,FALSE)</f>
        <v>Los Angeles</v>
      </c>
      <c r="K1523" t="str">
        <f>VLOOKUP(D1523,'[2]product Table data'!$A$2:$B$12,2,FALSE)</f>
        <v>Female</v>
      </c>
      <c r="L1523" t="str">
        <f>VLOOKUP($D1523,'[2]product Table data'!$A$2:$G$12,L$1,FALSE)</f>
        <v>Fancy Sheek</v>
      </c>
      <c r="M1523" t="str">
        <f>VLOOKUP($D1523,'[2]product Table data'!$A$2:$G$12,M$1,FALSE)</f>
        <v>Afghanistan</v>
      </c>
      <c r="N1523" t="str">
        <f>VLOOKUP($D1523,'[2]product Table data'!$A$2:$G$12,N$1,FALSE)</f>
        <v>Middle East</v>
      </c>
      <c r="O1523">
        <f>VLOOKUP($D1523,'[2]product Table data'!$A$2:$G$12,O$1,FALSE)</f>
        <v>150</v>
      </c>
      <c r="P1523">
        <f>VLOOKUP($D1523,'[2]product Table data'!$A$2:$G$12,P$1,FALSE)</f>
        <v>75</v>
      </c>
      <c r="Q1523">
        <f t="shared" ref="Q1523:Q1539" si="120">P1523-O1523</f>
        <v>-75</v>
      </c>
      <c r="R1523" t="str">
        <f t="shared" ref="R1523:R1539" si="121">IF(OR(J1523="Los Angeles",J1523="Denver"),"Hub Risk","-")</f>
        <v>Hub Risk</v>
      </c>
      <c r="S1523" t="str">
        <f t="shared" ref="S1523:S1539" si="122">IF(OR(L1523="Casual n Light",L1523="Fancy Sheek"),"Style Risk","-")</f>
        <v>Style Risk</v>
      </c>
      <c r="T1523" t="str">
        <f t="shared" ref="T1523:T1539" si="123">IF(AND(R1523="Hub Risk", S1523="Style Risk"), "Risk", "-")</f>
        <v>Risk</v>
      </c>
      <c r="U1523" t="str">
        <f t="shared" ref="U1523:U1539" si="124">IF(Q1523&lt;=5, "Low Value", "High Value")</f>
        <v>Low Value</v>
      </c>
    </row>
    <row r="1524" spans="1:21" hidden="1" x14ac:dyDescent="0.2">
      <c r="A1524" s="2">
        <v>1522</v>
      </c>
      <c r="B1524" s="2" t="s">
        <v>9</v>
      </c>
      <c r="C1524" s="2" t="s">
        <v>2161</v>
      </c>
      <c r="D1524" s="2" t="s">
        <v>505</v>
      </c>
      <c r="E1524" s="2">
        <v>10013</v>
      </c>
      <c r="F1524" s="2" t="s">
        <v>35</v>
      </c>
      <c r="G1524" s="2" t="s">
        <v>36</v>
      </c>
      <c r="H1524" s="2">
        <v>1</v>
      </c>
      <c r="I1524" s="2" t="s">
        <v>17</v>
      </c>
      <c r="J1524" s="2" t="str">
        <f>VLOOKUP(E1524,[1]LL_Hub!$A$1:$B$13,2,FALSE)</f>
        <v>New York</v>
      </c>
      <c r="K1524" t="str">
        <f>VLOOKUP(D1524,'[2]product Table data'!$A$2:$B$12,2,FALSE)</f>
        <v>Female</v>
      </c>
      <c r="L1524" t="str">
        <f>VLOOKUP($D1524,'[2]product Table data'!$A$2:$G$12,L$1,FALSE)</f>
        <v>Casual n Light</v>
      </c>
      <c r="M1524" t="str">
        <f>VLOOKUP($D1524,'[2]product Table data'!$A$2:$G$12,M$1,FALSE)</f>
        <v>Honduras</v>
      </c>
      <c r="N1524" t="str">
        <f>VLOOKUP($D1524,'[2]product Table data'!$A$2:$G$12,N$1,FALSE)</f>
        <v>Central America</v>
      </c>
      <c r="O1524">
        <f>VLOOKUP($D1524,'[2]product Table data'!$A$2:$G$12,O$1,FALSE)</f>
        <v>30</v>
      </c>
      <c r="P1524">
        <f>VLOOKUP($D1524,'[2]product Table data'!$A$2:$G$12,P$1,FALSE)</f>
        <v>45</v>
      </c>
      <c r="Q1524">
        <f t="shared" si="120"/>
        <v>15</v>
      </c>
      <c r="R1524" t="str">
        <f t="shared" si="121"/>
        <v>-</v>
      </c>
      <c r="S1524" t="str">
        <f t="shared" si="122"/>
        <v>Style Risk</v>
      </c>
      <c r="T1524" t="str">
        <f t="shared" si="123"/>
        <v>-</v>
      </c>
      <c r="U1524" t="str">
        <f t="shared" si="124"/>
        <v>High Value</v>
      </c>
    </row>
    <row r="1525" spans="1:21" hidden="1" x14ac:dyDescent="0.2">
      <c r="A1525" s="2">
        <v>1523</v>
      </c>
      <c r="B1525" s="2" t="s">
        <v>9</v>
      </c>
      <c r="C1525" s="2" t="s">
        <v>2162</v>
      </c>
      <c r="D1525" s="2" t="s">
        <v>505</v>
      </c>
      <c r="E1525" s="2">
        <v>10013</v>
      </c>
      <c r="F1525" s="2" t="s">
        <v>35</v>
      </c>
      <c r="G1525" s="2" t="s">
        <v>36</v>
      </c>
      <c r="H1525" s="2">
        <v>1</v>
      </c>
      <c r="I1525" s="2" t="s">
        <v>17</v>
      </c>
      <c r="J1525" s="2" t="str">
        <f>VLOOKUP(E1525,[1]LL_Hub!$A$1:$B$13,2,FALSE)</f>
        <v>New York</v>
      </c>
      <c r="K1525" t="str">
        <f>VLOOKUP(D1525,'[2]product Table data'!$A$2:$B$12,2,FALSE)</f>
        <v>Female</v>
      </c>
      <c r="L1525" t="str">
        <f>VLOOKUP($D1525,'[2]product Table data'!$A$2:$G$12,L$1,FALSE)</f>
        <v>Casual n Light</v>
      </c>
      <c r="M1525" t="str">
        <f>VLOOKUP($D1525,'[2]product Table data'!$A$2:$G$12,M$1,FALSE)</f>
        <v>Honduras</v>
      </c>
      <c r="N1525" t="str">
        <f>VLOOKUP($D1525,'[2]product Table data'!$A$2:$G$12,N$1,FALSE)</f>
        <v>Central America</v>
      </c>
      <c r="O1525">
        <f>VLOOKUP($D1525,'[2]product Table data'!$A$2:$G$12,O$1,FALSE)</f>
        <v>30</v>
      </c>
      <c r="P1525">
        <f>VLOOKUP($D1525,'[2]product Table data'!$A$2:$G$12,P$1,FALSE)</f>
        <v>45</v>
      </c>
      <c r="Q1525">
        <f t="shared" si="120"/>
        <v>15</v>
      </c>
      <c r="R1525" t="str">
        <f t="shared" si="121"/>
        <v>-</v>
      </c>
      <c r="S1525" t="str">
        <f t="shared" si="122"/>
        <v>Style Risk</v>
      </c>
      <c r="T1525" t="str">
        <f t="shared" si="123"/>
        <v>-</v>
      </c>
      <c r="U1525" t="str">
        <f t="shared" si="124"/>
        <v>High Value</v>
      </c>
    </row>
    <row r="1526" spans="1:21" hidden="1" x14ac:dyDescent="0.2">
      <c r="A1526" s="2">
        <v>1524</v>
      </c>
      <c r="B1526" s="2" t="s">
        <v>9</v>
      </c>
      <c r="C1526" s="2" t="s">
        <v>2163</v>
      </c>
      <c r="D1526" s="2" t="s">
        <v>505</v>
      </c>
      <c r="E1526" s="2">
        <v>10013</v>
      </c>
      <c r="F1526" s="2" t="s">
        <v>35</v>
      </c>
      <c r="G1526" s="2" t="s">
        <v>36</v>
      </c>
      <c r="H1526" s="2">
        <v>1</v>
      </c>
      <c r="I1526" s="2" t="s">
        <v>17</v>
      </c>
      <c r="J1526" s="2" t="str">
        <f>VLOOKUP(E1526,[1]LL_Hub!$A$1:$B$13,2,FALSE)</f>
        <v>New York</v>
      </c>
      <c r="K1526" t="str">
        <f>VLOOKUP(D1526,'[2]product Table data'!$A$2:$B$12,2,FALSE)</f>
        <v>Female</v>
      </c>
      <c r="L1526" t="str">
        <f>VLOOKUP($D1526,'[2]product Table data'!$A$2:$G$12,L$1,FALSE)</f>
        <v>Casual n Light</v>
      </c>
      <c r="M1526" t="str">
        <f>VLOOKUP($D1526,'[2]product Table data'!$A$2:$G$12,M$1,FALSE)</f>
        <v>Honduras</v>
      </c>
      <c r="N1526" t="str">
        <f>VLOOKUP($D1526,'[2]product Table data'!$A$2:$G$12,N$1,FALSE)</f>
        <v>Central America</v>
      </c>
      <c r="O1526">
        <f>VLOOKUP($D1526,'[2]product Table data'!$A$2:$G$12,O$1,FALSE)</f>
        <v>30</v>
      </c>
      <c r="P1526">
        <f>VLOOKUP($D1526,'[2]product Table data'!$A$2:$G$12,P$1,FALSE)</f>
        <v>45</v>
      </c>
      <c r="Q1526">
        <f t="shared" si="120"/>
        <v>15</v>
      </c>
      <c r="R1526" t="str">
        <f t="shared" si="121"/>
        <v>-</v>
      </c>
      <c r="S1526" t="str">
        <f t="shared" si="122"/>
        <v>Style Risk</v>
      </c>
      <c r="T1526" t="str">
        <f t="shared" si="123"/>
        <v>-</v>
      </c>
      <c r="U1526" t="str">
        <f t="shared" si="124"/>
        <v>High Value</v>
      </c>
    </row>
    <row r="1527" spans="1:21" hidden="1" x14ac:dyDescent="0.2">
      <c r="A1527" s="2">
        <v>1525</v>
      </c>
      <c r="B1527" s="2" t="s">
        <v>9</v>
      </c>
      <c r="C1527" s="2" t="s">
        <v>2164</v>
      </c>
      <c r="D1527" s="2" t="s">
        <v>505</v>
      </c>
      <c r="E1527" s="2">
        <v>10013</v>
      </c>
      <c r="F1527" s="2" t="s">
        <v>35</v>
      </c>
      <c r="G1527" s="2" t="s">
        <v>36</v>
      </c>
      <c r="H1527" s="2">
        <v>1</v>
      </c>
      <c r="I1527" s="2" t="s">
        <v>17</v>
      </c>
      <c r="J1527" s="2" t="str">
        <f>VLOOKUP(E1527,[1]LL_Hub!$A$1:$B$13,2,FALSE)</f>
        <v>New York</v>
      </c>
      <c r="K1527" t="str">
        <f>VLOOKUP(D1527,'[2]product Table data'!$A$2:$B$12,2,FALSE)</f>
        <v>Female</v>
      </c>
      <c r="L1527" t="str">
        <f>VLOOKUP($D1527,'[2]product Table data'!$A$2:$G$12,L$1,FALSE)</f>
        <v>Casual n Light</v>
      </c>
      <c r="M1527" t="str">
        <f>VLOOKUP($D1527,'[2]product Table data'!$A$2:$G$12,M$1,FALSE)</f>
        <v>Honduras</v>
      </c>
      <c r="N1527" t="str">
        <f>VLOOKUP($D1527,'[2]product Table data'!$A$2:$G$12,N$1,FALSE)</f>
        <v>Central America</v>
      </c>
      <c r="O1527">
        <f>VLOOKUP($D1527,'[2]product Table data'!$A$2:$G$12,O$1,FALSE)</f>
        <v>30</v>
      </c>
      <c r="P1527">
        <f>VLOOKUP($D1527,'[2]product Table data'!$A$2:$G$12,P$1,FALSE)</f>
        <v>45</v>
      </c>
      <c r="Q1527">
        <f t="shared" si="120"/>
        <v>15</v>
      </c>
      <c r="R1527" t="str">
        <f t="shared" si="121"/>
        <v>-</v>
      </c>
      <c r="S1527" t="str">
        <f t="shared" si="122"/>
        <v>Style Risk</v>
      </c>
      <c r="T1527" t="str">
        <f t="shared" si="123"/>
        <v>-</v>
      </c>
      <c r="U1527" t="str">
        <f t="shared" si="124"/>
        <v>High Value</v>
      </c>
    </row>
    <row r="1528" spans="1:21" hidden="1" x14ac:dyDescent="0.2">
      <c r="A1528" s="2">
        <v>1526</v>
      </c>
      <c r="B1528" s="2" t="s">
        <v>9</v>
      </c>
      <c r="C1528" s="2" t="s">
        <v>2165</v>
      </c>
      <c r="D1528" s="2" t="s">
        <v>505</v>
      </c>
      <c r="E1528" s="2">
        <v>10013</v>
      </c>
      <c r="F1528" s="2" t="s">
        <v>35</v>
      </c>
      <c r="G1528" s="2" t="s">
        <v>36</v>
      </c>
      <c r="H1528" s="2">
        <v>1</v>
      </c>
      <c r="I1528" s="2" t="s">
        <v>17</v>
      </c>
      <c r="J1528" s="2" t="str">
        <f>VLOOKUP(E1528,[1]LL_Hub!$A$1:$B$13,2,FALSE)</f>
        <v>New York</v>
      </c>
      <c r="K1528" t="str">
        <f>VLOOKUP(D1528,'[2]product Table data'!$A$2:$B$12,2,FALSE)</f>
        <v>Female</v>
      </c>
      <c r="L1528" t="str">
        <f>VLOOKUP($D1528,'[2]product Table data'!$A$2:$G$12,L$1,FALSE)</f>
        <v>Casual n Light</v>
      </c>
      <c r="M1528" t="str">
        <f>VLOOKUP($D1528,'[2]product Table data'!$A$2:$G$12,M$1,FALSE)</f>
        <v>Honduras</v>
      </c>
      <c r="N1528" t="str">
        <f>VLOOKUP($D1528,'[2]product Table data'!$A$2:$G$12,N$1,FALSE)</f>
        <v>Central America</v>
      </c>
      <c r="O1528">
        <f>VLOOKUP($D1528,'[2]product Table data'!$A$2:$G$12,O$1,FALSE)</f>
        <v>30</v>
      </c>
      <c r="P1528">
        <f>VLOOKUP($D1528,'[2]product Table data'!$A$2:$G$12,P$1,FALSE)</f>
        <v>45</v>
      </c>
      <c r="Q1528">
        <f t="shared" si="120"/>
        <v>15</v>
      </c>
      <c r="R1528" t="str">
        <f t="shared" si="121"/>
        <v>-</v>
      </c>
      <c r="S1528" t="str">
        <f t="shared" si="122"/>
        <v>Style Risk</v>
      </c>
      <c r="T1528" t="str">
        <f t="shared" si="123"/>
        <v>-</v>
      </c>
      <c r="U1528" t="str">
        <f t="shared" si="124"/>
        <v>High Value</v>
      </c>
    </row>
    <row r="1529" spans="1:21" hidden="1" x14ac:dyDescent="0.2">
      <c r="A1529" s="2">
        <v>1527</v>
      </c>
      <c r="B1529" s="2" t="s">
        <v>9</v>
      </c>
      <c r="C1529" s="2" t="s">
        <v>2166</v>
      </c>
      <c r="D1529" s="2" t="s">
        <v>505</v>
      </c>
      <c r="E1529" s="2">
        <v>10013</v>
      </c>
      <c r="F1529" s="2" t="s">
        <v>35</v>
      </c>
      <c r="G1529" s="2" t="s">
        <v>36</v>
      </c>
      <c r="H1529" s="2">
        <v>1</v>
      </c>
      <c r="I1529" s="2" t="s">
        <v>17</v>
      </c>
      <c r="J1529" s="2" t="str">
        <f>VLOOKUP(E1529,[1]LL_Hub!$A$1:$B$13,2,FALSE)</f>
        <v>New York</v>
      </c>
      <c r="K1529" t="str">
        <f>VLOOKUP(D1529,'[2]product Table data'!$A$2:$B$12,2,FALSE)</f>
        <v>Female</v>
      </c>
      <c r="L1529" t="str">
        <f>VLOOKUP($D1529,'[2]product Table data'!$A$2:$G$12,L$1,FALSE)</f>
        <v>Casual n Light</v>
      </c>
      <c r="M1529" t="str">
        <f>VLOOKUP($D1529,'[2]product Table data'!$A$2:$G$12,M$1,FALSE)</f>
        <v>Honduras</v>
      </c>
      <c r="N1529" t="str">
        <f>VLOOKUP($D1529,'[2]product Table data'!$A$2:$G$12,N$1,FALSE)</f>
        <v>Central America</v>
      </c>
      <c r="O1529">
        <f>VLOOKUP($D1529,'[2]product Table data'!$A$2:$G$12,O$1,FALSE)</f>
        <v>30</v>
      </c>
      <c r="P1529">
        <f>VLOOKUP($D1529,'[2]product Table data'!$A$2:$G$12,P$1,FALSE)</f>
        <v>45</v>
      </c>
      <c r="Q1529">
        <f t="shared" si="120"/>
        <v>15</v>
      </c>
      <c r="R1529" t="str">
        <f t="shared" si="121"/>
        <v>-</v>
      </c>
      <c r="S1529" t="str">
        <f t="shared" si="122"/>
        <v>Style Risk</v>
      </c>
      <c r="T1529" t="str">
        <f t="shared" si="123"/>
        <v>-</v>
      </c>
      <c r="U1529" t="str">
        <f t="shared" si="124"/>
        <v>High Value</v>
      </c>
    </row>
    <row r="1530" spans="1:21" hidden="1" x14ac:dyDescent="0.2">
      <c r="A1530" s="2">
        <v>1528</v>
      </c>
      <c r="B1530" s="2" t="s">
        <v>9</v>
      </c>
      <c r="C1530" s="2" t="s">
        <v>2167</v>
      </c>
      <c r="D1530" s="2" t="s">
        <v>505</v>
      </c>
      <c r="E1530" s="2">
        <v>10013</v>
      </c>
      <c r="F1530" s="2" t="s">
        <v>35</v>
      </c>
      <c r="G1530" s="2" t="s">
        <v>36</v>
      </c>
      <c r="H1530" s="2">
        <v>1</v>
      </c>
      <c r="I1530" s="2" t="s">
        <v>17</v>
      </c>
      <c r="J1530" s="2" t="str">
        <f>VLOOKUP(E1530,[1]LL_Hub!$A$1:$B$13,2,FALSE)</f>
        <v>New York</v>
      </c>
      <c r="K1530" t="str">
        <f>VLOOKUP(D1530,'[2]product Table data'!$A$2:$B$12,2,FALSE)</f>
        <v>Female</v>
      </c>
      <c r="L1530" t="str">
        <f>VLOOKUP($D1530,'[2]product Table data'!$A$2:$G$12,L$1,FALSE)</f>
        <v>Casual n Light</v>
      </c>
      <c r="M1530" t="str">
        <f>VLOOKUP($D1530,'[2]product Table data'!$A$2:$G$12,M$1,FALSE)</f>
        <v>Honduras</v>
      </c>
      <c r="N1530" t="str">
        <f>VLOOKUP($D1530,'[2]product Table data'!$A$2:$G$12,N$1,FALSE)</f>
        <v>Central America</v>
      </c>
      <c r="O1530">
        <f>VLOOKUP($D1530,'[2]product Table data'!$A$2:$G$12,O$1,FALSE)</f>
        <v>30</v>
      </c>
      <c r="P1530">
        <f>VLOOKUP($D1530,'[2]product Table data'!$A$2:$G$12,P$1,FALSE)</f>
        <v>45</v>
      </c>
      <c r="Q1530">
        <f t="shared" si="120"/>
        <v>15</v>
      </c>
      <c r="R1530" t="str">
        <f t="shared" si="121"/>
        <v>-</v>
      </c>
      <c r="S1530" t="str">
        <f t="shared" si="122"/>
        <v>Style Risk</v>
      </c>
      <c r="T1530" t="str">
        <f t="shared" si="123"/>
        <v>-</v>
      </c>
      <c r="U1530" t="str">
        <f t="shared" si="124"/>
        <v>High Value</v>
      </c>
    </row>
    <row r="1531" spans="1:21" hidden="1" x14ac:dyDescent="0.2">
      <c r="A1531" s="2">
        <v>1529</v>
      </c>
      <c r="B1531" s="2" t="s">
        <v>9</v>
      </c>
      <c r="C1531" s="2" t="s">
        <v>2168</v>
      </c>
      <c r="D1531" s="2" t="s">
        <v>505</v>
      </c>
      <c r="E1531" s="2">
        <v>10013</v>
      </c>
      <c r="F1531" s="2" t="s">
        <v>35</v>
      </c>
      <c r="G1531" s="2" t="s">
        <v>36</v>
      </c>
      <c r="H1531" s="2">
        <v>1</v>
      </c>
      <c r="I1531" s="2" t="s">
        <v>17</v>
      </c>
      <c r="J1531" s="2" t="str">
        <f>VLOOKUP(E1531,[1]LL_Hub!$A$1:$B$13,2,FALSE)</f>
        <v>New York</v>
      </c>
      <c r="K1531" t="str">
        <f>VLOOKUP(D1531,'[2]product Table data'!$A$2:$B$12,2,FALSE)</f>
        <v>Female</v>
      </c>
      <c r="L1531" t="str">
        <f>VLOOKUP($D1531,'[2]product Table data'!$A$2:$G$12,L$1,FALSE)</f>
        <v>Casual n Light</v>
      </c>
      <c r="M1531" t="str">
        <f>VLOOKUP($D1531,'[2]product Table data'!$A$2:$G$12,M$1,FALSE)</f>
        <v>Honduras</v>
      </c>
      <c r="N1531" t="str">
        <f>VLOOKUP($D1531,'[2]product Table data'!$A$2:$G$12,N$1,FALSE)</f>
        <v>Central America</v>
      </c>
      <c r="O1531">
        <f>VLOOKUP($D1531,'[2]product Table data'!$A$2:$G$12,O$1,FALSE)</f>
        <v>30</v>
      </c>
      <c r="P1531">
        <f>VLOOKUP($D1531,'[2]product Table data'!$A$2:$G$12,P$1,FALSE)</f>
        <v>45</v>
      </c>
      <c r="Q1531">
        <f t="shared" si="120"/>
        <v>15</v>
      </c>
      <c r="R1531" t="str">
        <f t="shared" si="121"/>
        <v>-</v>
      </c>
      <c r="S1531" t="str">
        <f t="shared" si="122"/>
        <v>Style Risk</v>
      </c>
      <c r="T1531" t="str">
        <f t="shared" si="123"/>
        <v>-</v>
      </c>
      <c r="U1531" t="str">
        <f t="shared" si="124"/>
        <v>High Value</v>
      </c>
    </row>
    <row r="1532" spans="1:21" hidden="1" x14ac:dyDescent="0.2">
      <c r="A1532" s="2">
        <v>1530</v>
      </c>
      <c r="B1532" s="2" t="s">
        <v>9</v>
      </c>
      <c r="C1532" s="2" t="s">
        <v>2169</v>
      </c>
      <c r="D1532" s="2" t="s">
        <v>505</v>
      </c>
      <c r="E1532" s="2">
        <v>10013</v>
      </c>
      <c r="F1532" s="2" t="s">
        <v>35</v>
      </c>
      <c r="G1532" s="2" t="s">
        <v>36</v>
      </c>
      <c r="H1532" s="2">
        <v>1</v>
      </c>
      <c r="I1532" s="2" t="s">
        <v>17</v>
      </c>
      <c r="J1532" s="2" t="str">
        <f>VLOOKUP(E1532,[1]LL_Hub!$A$1:$B$13,2,FALSE)</f>
        <v>New York</v>
      </c>
      <c r="K1532" t="str">
        <f>VLOOKUP(D1532,'[2]product Table data'!$A$2:$B$12,2,FALSE)</f>
        <v>Female</v>
      </c>
      <c r="L1532" t="str">
        <f>VLOOKUP($D1532,'[2]product Table data'!$A$2:$G$12,L$1,FALSE)</f>
        <v>Casual n Light</v>
      </c>
      <c r="M1532" t="str">
        <f>VLOOKUP($D1532,'[2]product Table data'!$A$2:$G$12,M$1,FALSE)</f>
        <v>Honduras</v>
      </c>
      <c r="N1532" t="str">
        <f>VLOOKUP($D1532,'[2]product Table data'!$A$2:$G$12,N$1,FALSE)</f>
        <v>Central America</v>
      </c>
      <c r="O1532">
        <f>VLOOKUP($D1532,'[2]product Table data'!$A$2:$G$12,O$1,FALSE)</f>
        <v>30</v>
      </c>
      <c r="P1532">
        <f>VLOOKUP($D1532,'[2]product Table data'!$A$2:$G$12,P$1,FALSE)</f>
        <v>45</v>
      </c>
      <c r="Q1532">
        <f t="shared" si="120"/>
        <v>15</v>
      </c>
      <c r="R1532" t="str">
        <f t="shared" si="121"/>
        <v>-</v>
      </c>
      <c r="S1532" t="str">
        <f t="shared" si="122"/>
        <v>Style Risk</v>
      </c>
      <c r="T1532" t="str">
        <f t="shared" si="123"/>
        <v>-</v>
      </c>
      <c r="U1532" t="str">
        <f t="shared" si="124"/>
        <v>High Value</v>
      </c>
    </row>
    <row r="1533" spans="1:21" hidden="1" x14ac:dyDescent="0.2">
      <c r="A1533" s="2">
        <v>1531</v>
      </c>
      <c r="B1533" s="2" t="s">
        <v>9</v>
      </c>
      <c r="C1533" s="2" t="s">
        <v>2170</v>
      </c>
      <c r="D1533" s="2" t="s">
        <v>505</v>
      </c>
      <c r="E1533" s="2">
        <v>10013</v>
      </c>
      <c r="F1533" s="2" t="s">
        <v>35</v>
      </c>
      <c r="G1533" s="2" t="s">
        <v>36</v>
      </c>
      <c r="H1533" s="2">
        <v>1</v>
      </c>
      <c r="I1533" s="2" t="s">
        <v>17</v>
      </c>
      <c r="J1533" s="2" t="str">
        <f>VLOOKUP(E1533,[1]LL_Hub!$A$1:$B$13,2,FALSE)</f>
        <v>New York</v>
      </c>
      <c r="K1533" t="str">
        <f>VLOOKUP(D1533,'[2]product Table data'!$A$2:$B$12,2,FALSE)</f>
        <v>Female</v>
      </c>
      <c r="L1533" t="str">
        <f>VLOOKUP($D1533,'[2]product Table data'!$A$2:$G$12,L$1,FALSE)</f>
        <v>Casual n Light</v>
      </c>
      <c r="M1533" t="str">
        <f>VLOOKUP($D1533,'[2]product Table data'!$A$2:$G$12,M$1,FALSE)</f>
        <v>Honduras</v>
      </c>
      <c r="N1533" t="str">
        <f>VLOOKUP($D1533,'[2]product Table data'!$A$2:$G$12,N$1,FALSE)</f>
        <v>Central America</v>
      </c>
      <c r="O1533">
        <f>VLOOKUP($D1533,'[2]product Table data'!$A$2:$G$12,O$1,FALSE)</f>
        <v>30</v>
      </c>
      <c r="P1533">
        <f>VLOOKUP($D1533,'[2]product Table data'!$A$2:$G$12,P$1,FALSE)</f>
        <v>45</v>
      </c>
      <c r="Q1533">
        <f t="shared" si="120"/>
        <v>15</v>
      </c>
      <c r="R1533" t="str">
        <f t="shared" si="121"/>
        <v>-</v>
      </c>
      <c r="S1533" t="str">
        <f t="shared" si="122"/>
        <v>Style Risk</v>
      </c>
      <c r="T1533" t="str">
        <f t="shared" si="123"/>
        <v>-</v>
      </c>
      <c r="U1533" t="str">
        <f t="shared" si="124"/>
        <v>High Value</v>
      </c>
    </row>
    <row r="1534" spans="1:21" hidden="1" x14ac:dyDescent="0.2">
      <c r="A1534" s="2">
        <v>1532</v>
      </c>
      <c r="B1534" s="2" t="s">
        <v>9</v>
      </c>
      <c r="C1534" s="2" t="s">
        <v>2171</v>
      </c>
      <c r="D1534" s="2" t="s">
        <v>505</v>
      </c>
      <c r="E1534" s="2">
        <v>10013</v>
      </c>
      <c r="F1534" s="2" t="s">
        <v>35</v>
      </c>
      <c r="G1534" s="2" t="s">
        <v>36</v>
      </c>
      <c r="H1534" s="2">
        <v>1</v>
      </c>
      <c r="I1534" s="2" t="s">
        <v>17</v>
      </c>
      <c r="J1534" s="2" t="str">
        <f>VLOOKUP(E1534,[1]LL_Hub!$A$1:$B$13,2,FALSE)</f>
        <v>New York</v>
      </c>
      <c r="K1534" t="str">
        <f>VLOOKUP(D1534,'[2]product Table data'!$A$2:$B$12,2,FALSE)</f>
        <v>Female</v>
      </c>
      <c r="L1534" t="str">
        <f>VLOOKUP($D1534,'[2]product Table data'!$A$2:$G$12,L$1,FALSE)</f>
        <v>Casual n Light</v>
      </c>
      <c r="M1534" t="str">
        <f>VLOOKUP($D1534,'[2]product Table data'!$A$2:$G$12,M$1,FALSE)</f>
        <v>Honduras</v>
      </c>
      <c r="N1534" t="str">
        <f>VLOOKUP($D1534,'[2]product Table data'!$A$2:$G$12,N$1,FALSE)</f>
        <v>Central America</v>
      </c>
      <c r="O1534">
        <f>VLOOKUP($D1534,'[2]product Table data'!$A$2:$G$12,O$1,FALSE)</f>
        <v>30</v>
      </c>
      <c r="P1534">
        <f>VLOOKUP($D1534,'[2]product Table data'!$A$2:$G$12,P$1,FALSE)</f>
        <v>45</v>
      </c>
      <c r="Q1534">
        <f t="shared" si="120"/>
        <v>15</v>
      </c>
      <c r="R1534" t="str">
        <f t="shared" si="121"/>
        <v>-</v>
      </c>
      <c r="S1534" t="str">
        <f t="shared" si="122"/>
        <v>Style Risk</v>
      </c>
      <c r="T1534" t="str">
        <f t="shared" si="123"/>
        <v>-</v>
      </c>
      <c r="U1534" t="str">
        <f t="shared" si="124"/>
        <v>High Value</v>
      </c>
    </row>
    <row r="1535" spans="1:21" hidden="1" x14ac:dyDescent="0.2">
      <c r="A1535" s="2">
        <v>1533</v>
      </c>
      <c r="B1535" s="2" t="s">
        <v>9</v>
      </c>
      <c r="C1535" s="2" t="s">
        <v>2172</v>
      </c>
      <c r="D1535" s="2" t="s">
        <v>505</v>
      </c>
      <c r="E1535" s="2">
        <v>10013</v>
      </c>
      <c r="F1535" s="2" t="s">
        <v>35</v>
      </c>
      <c r="G1535" s="2" t="s">
        <v>36</v>
      </c>
      <c r="H1535" s="2">
        <v>1</v>
      </c>
      <c r="I1535" s="2" t="s">
        <v>17</v>
      </c>
      <c r="J1535" s="2" t="str">
        <f>VLOOKUP(E1535,[1]LL_Hub!$A$1:$B$13,2,FALSE)</f>
        <v>New York</v>
      </c>
      <c r="K1535" t="str">
        <f>VLOOKUP(D1535,'[2]product Table data'!$A$2:$B$12,2,FALSE)</f>
        <v>Female</v>
      </c>
      <c r="L1535" t="str">
        <f>VLOOKUP($D1535,'[2]product Table data'!$A$2:$G$12,L$1,FALSE)</f>
        <v>Casual n Light</v>
      </c>
      <c r="M1535" t="str">
        <f>VLOOKUP($D1535,'[2]product Table data'!$A$2:$G$12,M$1,FALSE)</f>
        <v>Honduras</v>
      </c>
      <c r="N1535" t="str">
        <f>VLOOKUP($D1535,'[2]product Table data'!$A$2:$G$12,N$1,FALSE)</f>
        <v>Central America</v>
      </c>
      <c r="O1535">
        <f>VLOOKUP($D1535,'[2]product Table data'!$A$2:$G$12,O$1,FALSE)</f>
        <v>30</v>
      </c>
      <c r="P1535">
        <f>VLOOKUP($D1535,'[2]product Table data'!$A$2:$G$12,P$1,FALSE)</f>
        <v>45</v>
      </c>
      <c r="Q1535">
        <f t="shared" si="120"/>
        <v>15</v>
      </c>
      <c r="R1535" t="str">
        <f t="shared" si="121"/>
        <v>-</v>
      </c>
      <c r="S1535" t="str">
        <f t="shared" si="122"/>
        <v>Style Risk</v>
      </c>
      <c r="T1535" t="str">
        <f t="shared" si="123"/>
        <v>-</v>
      </c>
      <c r="U1535" t="str">
        <f t="shared" si="124"/>
        <v>High Value</v>
      </c>
    </row>
    <row r="1536" spans="1:21" hidden="1" x14ac:dyDescent="0.2">
      <c r="A1536" s="2">
        <v>1534</v>
      </c>
      <c r="B1536" s="2" t="s">
        <v>9</v>
      </c>
      <c r="C1536" s="2" t="s">
        <v>2173</v>
      </c>
      <c r="D1536" s="2" t="s">
        <v>505</v>
      </c>
      <c r="E1536" s="2">
        <v>10013</v>
      </c>
      <c r="F1536" s="2" t="s">
        <v>35</v>
      </c>
      <c r="G1536" s="2" t="s">
        <v>36</v>
      </c>
      <c r="H1536" s="2">
        <v>1</v>
      </c>
      <c r="I1536" s="2" t="s">
        <v>17</v>
      </c>
      <c r="J1536" s="2" t="str">
        <f>VLOOKUP(E1536,[1]LL_Hub!$A$1:$B$13,2,FALSE)</f>
        <v>New York</v>
      </c>
      <c r="K1536" t="str">
        <f>VLOOKUP(D1536,'[2]product Table data'!$A$2:$B$12,2,FALSE)</f>
        <v>Female</v>
      </c>
      <c r="L1536" t="str">
        <f>VLOOKUP($D1536,'[2]product Table data'!$A$2:$G$12,L$1,FALSE)</f>
        <v>Casual n Light</v>
      </c>
      <c r="M1536" t="str">
        <f>VLOOKUP($D1536,'[2]product Table data'!$A$2:$G$12,M$1,FALSE)</f>
        <v>Honduras</v>
      </c>
      <c r="N1536" t="str">
        <f>VLOOKUP($D1536,'[2]product Table data'!$A$2:$G$12,N$1,FALSE)</f>
        <v>Central America</v>
      </c>
      <c r="O1536">
        <f>VLOOKUP($D1536,'[2]product Table data'!$A$2:$G$12,O$1,FALSE)</f>
        <v>30</v>
      </c>
      <c r="P1536">
        <f>VLOOKUP($D1536,'[2]product Table data'!$A$2:$G$12,P$1,FALSE)</f>
        <v>45</v>
      </c>
      <c r="Q1536">
        <f t="shared" si="120"/>
        <v>15</v>
      </c>
      <c r="R1536" t="str">
        <f t="shared" si="121"/>
        <v>-</v>
      </c>
      <c r="S1536" t="str">
        <f t="shared" si="122"/>
        <v>Style Risk</v>
      </c>
      <c r="T1536" t="str">
        <f t="shared" si="123"/>
        <v>-</v>
      </c>
      <c r="U1536" t="str">
        <f t="shared" si="124"/>
        <v>High Value</v>
      </c>
    </row>
    <row r="1537" spans="1:21" hidden="1" x14ac:dyDescent="0.2">
      <c r="A1537" s="2">
        <v>1535</v>
      </c>
      <c r="B1537" s="2" t="s">
        <v>9</v>
      </c>
      <c r="C1537" s="2" t="s">
        <v>2174</v>
      </c>
      <c r="D1537" s="2" t="s">
        <v>505</v>
      </c>
      <c r="E1537" s="2">
        <v>10013</v>
      </c>
      <c r="F1537" s="2" t="s">
        <v>35</v>
      </c>
      <c r="G1537" s="2" t="s">
        <v>36</v>
      </c>
      <c r="H1537" s="2">
        <v>1</v>
      </c>
      <c r="I1537" s="2" t="s">
        <v>17</v>
      </c>
      <c r="J1537" s="2" t="str">
        <f>VLOOKUP(E1537,[1]LL_Hub!$A$1:$B$13,2,FALSE)</f>
        <v>New York</v>
      </c>
      <c r="K1537" t="str">
        <f>VLOOKUP(D1537,'[2]product Table data'!$A$2:$B$12,2,FALSE)</f>
        <v>Female</v>
      </c>
      <c r="L1537" t="str">
        <f>VLOOKUP($D1537,'[2]product Table data'!$A$2:$G$12,L$1,FALSE)</f>
        <v>Casual n Light</v>
      </c>
      <c r="M1537" t="str">
        <f>VLOOKUP($D1537,'[2]product Table data'!$A$2:$G$12,M$1,FALSE)</f>
        <v>Honduras</v>
      </c>
      <c r="N1537" t="str">
        <f>VLOOKUP($D1537,'[2]product Table data'!$A$2:$G$12,N$1,FALSE)</f>
        <v>Central America</v>
      </c>
      <c r="O1537">
        <f>VLOOKUP($D1537,'[2]product Table data'!$A$2:$G$12,O$1,FALSE)</f>
        <v>30</v>
      </c>
      <c r="P1537">
        <f>VLOOKUP($D1537,'[2]product Table data'!$A$2:$G$12,P$1,FALSE)</f>
        <v>45</v>
      </c>
      <c r="Q1537">
        <f t="shared" si="120"/>
        <v>15</v>
      </c>
      <c r="R1537" t="str">
        <f t="shared" si="121"/>
        <v>-</v>
      </c>
      <c r="S1537" t="str">
        <f t="shared" si="122"/>
        <v>Style Risk</v>
      </c>
      <c r="T1537" t="str">
        <f t="shared" si="123"/>
        <v>-</v>
      </c>
      <c r="U1537" t="str">
        <f t="shared" si="124"/>
        <v>High Value</v>
      </c>
    </row>
    <row r="1538" spans="1:21" hidden="1" x14ac:dyDescent="0.2">
      <c r="A1538" s="2">
        <v>1536</v>
      </c>
      <c r="B1538" s="2" t="s">
        <v>9</v>
      </c>
      <c r="C1538" s="2" t="s">
        <v>2175</v>
      </c>
      <c r="D1538" s="2" t="s">
        <v>505</v>
      </c>
      <c r="E1538" s="2">
        <v>10013</v>
      </c>
      <c r="F1538" s="2" t="s">
        <v>35</v>
      </c>
      <c r="G1538" s="2" t="s">
        <v>36</v>
      </c>
      <c r="H1538" s="2">
        <v>1</v>
      </c>
      <c r="I1538" s="2" t="s">
        <v>17</v>
      </c>
      <c r="J1538" s="2" t="str">
        <f>VLOOKUP(E1538,[1]LL_Hub!$A$1:$B$13,2,FALSE)</f>
        <v>New York</v>
      </c>
      <c r="K1538" t="str">
        <f>VLOOKUP(D1538,'[2]product Table data'!$A$2:$B$12,2,FALSE)</f>
        <v>Female</v>
      </c>
      <c r="L1538" t="str">
        <f>VLOOKUP($D1538,'[2]product Table data'!$A$2:$G$12,L$1,FALSE)</f>
        <v>Casual n Light</v>
      </c>
      <c r="M1538" t="str">
        <f>VLOOKUP($D1538,'[2]product Table data'!$A$2:$G$12,M$1,FALSE)</f>
        <v>Honduras</v>
      </c>
      <c r="N1538" t="str">
        <f>VLOOKUP($D1538,'[2]product Table data'!$A$2:$G$12,N$1,FALSE)</f>
        <v>Central America</v>
      </c>
      <c r="O1538">
        <f>VLOOKUP($D1538,'[2]product Table data'!$A$2:$G$12,O$1,FALSE)</f>
        <v>30</v>
      </c>
      <c r="P1538">
        <f>VLOOKUP($D1538,'[2]product Table data'!$A$2:$G$12,P$1,FALSE)</f>
        <v>45</v>
      </c>
      <c r="Q1538">
        <f t="shared" si="120"/>
        <v>15</v>
      </c>
      <c r="R1538" t="str">
        <f t="shared" si="121"/>
        <v>-</v>
      </c>
      <c r="S1538" t="str">
        <f t="shared" si="122"/>
        <v>Style Risk</v>
      </c>
      <c r="T1538" t="str">
        <f t="shared" si="123"/>
        <v>-</v>
      </c>
      <c r="U1538" t="str">
        <f t="shared" si="124"/>
        <v>High Value</v>
      </c>
    </row>
    <row r="1539" spans="1:21" hidden="1" x14ac:dyDescent="0.2">
      <c r="A1539" s="2">
        <v>1537</v>
      </c>
      <c r="B1539" s="2" t="s">
        <v>9</v>
      </c>
      <c r="C1539" s="2" t="s">
        <v>2176</v>
      </c>
      <c r="D1539" s="2" t="s">
        <v>505</v>
      </c>
      <c r="E1539" s="2">
        <v>10013</v>
      </c>
      <c r="F1539" s="2" t="s">
        <v>35</v>
      </c>
      <c r="G1539" s="2" t="s">
        <v>36</v>
      </c>
      <c r="H1539" s="2">
        <v>1</v>
      </c>
      <c r="I1539" s="2" t="s">
        <v>17</v>
      </c>
      <c r="J1539" s="2" t="str">
        <f>VLOOKUP(E1539,[1]LL_Hub!$A$1:$B$13,2,FALSE)</f>
        <v>New York</v>
      </c>
      <c r="K1539" t="str">
        <f>VLOOKUP(D1539,'[2]product Table data'!$A$2:$B$12,2,FALSE)</f>
        <v>Female</v>
      </c>
      <c r="L1539" t="str">
        <f>VLOOKUP($D1539,'[2]product Table data'!$A$2:$G$12,L$1,FALSE)</f>
        <v>Casual n Light</v>
      </c>
      <c r="M1539" t="str">
        <f>VLOOKUP($D1539,'[2]product Table data'!$A$2:$G$12,M$1,FALSE)</f>
        <v>Honduras</v>
      </c>
      <c r="N1539" t="str">
        <f>VLOOKUP($D1539,'[2]product Table data'!$A$2:$G$12,N$1,FALSE)</f>
        <v>Central America</v>
      </c>
      <c r="O1539">
        <f>VLOOKUP($D1539,'[2]product Table data'!$A$2:$G$12,O$1,FALSE)</f>
        <v>30</v>
      </c>
      <c r="P1539">
        <f>VLOOKUP($D1539,'[2]product Table data'!$A$2:$G$12,P$1,FALSE)</f>
        <v>45</v>
      </c>
      <c r="Q1539">
        <f t="shared" si="120"/>
        <v>15</v>
      </c>
      <c r="R1539" t="str">
        <f t="shared" si="121"/>
        <v>-</v>
      </c>
      <c r="S1539" t="str">
        <f t="shared" si="122"/>
        <v>Style Risk</v>
      </c>
      <c r="T1539" t="str">
        <f t="shared" si="123"/>
        <v>-</v>
      </c>
      <c r="U1539" t="str">
        <f t="shared" si="124"/>
        <v>High Value</v>
      </c>
    </row>
    <row r="1540" spans="1:21" hidden="1" x14ac:dyDescent="0.2">
      <c r="A1540" s="2">
        <v>1538</v>
      </c>
      <c r="B1540" s="2" t="s">
        <v>9</v>
      </c>
      <c r="C1540" s="2" t="s">
        <v>2177</v>
      </c>
      <c r="D1540" s="2" t="s">
        <v>505</v>
      </c>
      <c r="E1540" s="2">
        <v>10013</v>
      </c>
      <c r="F1540" s="2" t="s">
        <v>35</v>
      </c>
      <c r="G1540" s="2" t="s">
        <v>36</v>
      </c>
      <c r="H1540" s="2">
        <v>1</v>
      </c>
      <c r="I1540" s="2" t="s">
        <v>17</v>
      </c>
      <c r="J1540" s="2" t="str">
        <f>VLOOKUP(E1540,[1]LL_Hub!$A$1:$B$13,2,FALSE)</f>
        <v>New York</v>
      </c>
      <c r="K1540" t="str">
        <f>VLOOKUP(D1540,'[2]product Table data'!$A$2:$B$12,2,FALSE)</f>
        <v>Female</v>
      </c>
      <c r="L1540" t="str">
        <f>VLOOKUP($D1540,'[2]product Table data'!$A$2:$G$12,L$1,FALSE)</f>
        <v>Casual n Light</v>
      </c>
      <c r="M1540" t="str">
        <f>VLOOKUP($D1540,'[2]product Table data'!$A$2:$G$12,M$1,FALSE)</f>
        <v>Honduras</v>
      </c>
      <c r="N1540" t="str">
        <f>VLOOKUP($D1540,'[2]product Table data'!$A$2:$G$12,N$1,FALSE)</f>
        <v>Central America</v>
      </c>
      <c r="O1540">
        <f>VLOOKUP($D1540,'[2]product Table data'!$A$2:$G$12,O$1,FALSE)</f>
        <v>30</v>
      </c>
      <c r="P1540">
        <f>VLOOKUP($D1540,'[2]product Table data'!$A$2:$G$12,P$1,FALSE)</f>
        <v>45</v>
      </c>
      <c r="Q1540">
        <f t="shared" ref="Q1540:Q1603" si="125">P1540-O1540</f>
        <v>15</v>
      </c>
      <c r="R1540" t="str">
        <f t="shared" ref="R1540:R1603" si="126">IF(OR(J1540="Los Angeles",J1540="Denver"),"Hub Risk","-")</f>
        <v>-</v>
      </c>
      <c r="S1540" t="str">
        <f t="shared" ref="S1540:S1603" si="127">IF(OR(L1540="Casual n Light",L1540="Fancy Sheek"),"Style Risk","-")</f>
        <v>Style Risk</v>
      </c>
      <c r="T1540" t="str">
        <f t="shared" ref="T1540:T1603" si="128">IF(AND(R1540="Hub Risk", S1540="Style Risk"), "Risk", "-")</f>
        <v>-</v>
      </c>
      <c r="U1540" t="str">
        <f t="shared" ref="U1540:U1603" si="129">IF(Q1540&lt;=5, "Low Value", "High Value")</f>
        <v>High Value</v>
      </c>
    </row>
    <row r="1541" spans="1:21" hidden="1" x14ac:dyDescent="0.2">
      <c r="A1541" s="2">
        <v>1539</v>
      </c>
      <c r="B1541" s="2" t="s">
        <v>9</v>
      </c>
      <c r="C1541" s="2" t="s">
        <v>2178</v>
      </c>
      <c r="D1541" s="2" t="s">
        <v>505</v>
      </c>
      <c r="E1541" s="2">
        <v>10013</v>
      </c>
      <c r="F1541" s="2" t="s">
        <v>35</v>
      </c>
      <c r="G1541" s="2" t="s">
        <v>36</v>
      </c>
      <c r="H1541" s="2">
        <v>1</v>
      </c>
      <c r="I1541" s="2" t="s">
        <v>17</v>
      </c>
      <c r="J1541" s="2" t="str">
        <f>VLOOKUP(E1541,[1]LL_Hub!$A$1:$B$13,2,FALSE)</f>
        <v>New York</v>
      </c>
      <c r="K1541" t="str">
        <f>VLOOKUP(D1541,'[2]product Table data'!$A$2:$B$12,2,FALSE)</f>
        <v>Female</v>
      </c>
      <c r="L1541" t="str">
        <f>VLOOKUP($D1541,'[2]product Table data'!$A$2:$G$12,L$1,FALSE)</f>
        <v>Casual n Light</v>
      </c>
      <c r="M1541" t="str">
        <f>VLOOKUP($D1541,'[2]product Table data'!$A$2:$G$12,M$1,FALSE)</f>
        <v>Honduras</v>
      </c>
      <c r="N1541" t="str">
        <f>VLOOKUP($D1541,'[2]product Table data'!$A$2:$G$12,N$1,FALSE)</f>
        <v>Central America</v>
      </c>
      <c r="O1541">
        <f>VLOOKUP($D1541,'[2]product Table data'!$A$2:$G$12,O$1,FALSE)</f>
        <v>30</v>
      </c>
      <c r="P1541">
        <f>VLOOKUP($D1541,'[2]product Table data'!$A$2:$G$12,P$1,FALSE)</f>
        <v>45</v>
      </c>
      <c r="Q1541">
        <f t="shared" si="125"/>
        <v>15</v>
      </c>
      <c r="R1541" t="str">
        <f t="shared" si="126"/>
        <v>-</v>
      </c>
      <c r="S1541" t="str">
        <f t="shared" si="127"/>
        <v>Style Risk</v>
      </c>
      <c r="T1541" t="str">
        <f t="shared" si="128"/>
        <v>-</v>
      </c>
      <c r="U1541" t="str">
        <f t="shared" si="129"/>
        <v>High Value</v>
      </c>
    </row>
    <row r="1542" spans="1:21" hidden="1" x14ac:dyDescent="0.2">
      <c r="A1542" s="2">
        <v>1540</v>
      </c>
      <c r="B1542" s="2" t="s">
        <v>9</v>
      </c>
      <c r="C1542" s="2" t="s">
        <v>2179</v>
      </c>
      <c r="D1542" s="2" t="s">
        <v>505</v>
      </c>
      <c r="E1542" s="2">
        <v>10013</v>
      </c>
      <c r="F1542" s="2" t="s">
        <v>35</v>
      </c>
      <c r="G1542" s="2" t="s">
        <v>36</v>
      </c>
      <c r="H1542" s="2">
        <v>1</v>
      </c>
      <c r="I1542" s="2" t="s">
        <v>17</v>
      </c>
      <c r="J1542" s="2" t="str">
        <f>VLOOKUP(E1542,[1]LL_Hub!$A$1:$B$13,2,FALSE)</f>
        <v>New York</v>
      </c>
      <c r="K1542" t="str">
        <f>VLOOKUP(D1542,'[2]product Table data'!$A$2:$B$12,2,FALSE)</f>
        <v>Female</v>
      </c>
      <c r="L1542" t="str">
        <f>VLOOKUP($D1542,'[2]product Table data'!$A$2:$G$12,L$1,FALSE)</f>
        <v>Casual n Light</v>
      </c>
      <c r="M1542" t="str">
        <f>VLOOKUP($D1542,'[2]product Table data'!$A$2:$G$12,M$1,FALSE)</f>
        <v>Honduras</v>
      </c>
      <c r="N1542" t="str">
        <f>VLOOKUP($D1542,'[2]product Table data'!$A$2:$G$12,N$1,FALSE)</f>
        <v>Central America</v>
      </c>
      <c r="O1542">
        <f>VLOOKUP($D1542,'[2]product Table data'!$A$2:$G$12,O$1,FALSE)</f>
        <v>30</v>
      </c>
      <c r="P1542">
        <f>VLOOKUP($D1542,'[2]product Table data'!$A$2:$G$12,P$1,FALSE)</f>
        <v>45</v>
      </c>
      <c r="Q1542">
        <f t="shared" si="125"/>
        <v>15</v>
      </c>
      <c r="R1542" t="str">
        <f t="shared" si="126"/>
        <v>-</v>
      </c>
      <c r="S1542" t="str">
        <f t="shared" si="127"/>
        <v>Style Risk</v>
      </c>
      <c r="T1542" t="str">
        <f t="shared" si="128"/>
        <v>-</v>
      </c>
      <c r="U1542" t="str">
        <f t="shared" si="129"/>
        <v>High Value</v>
      </c>
    </row>
    <row r="1543" spans="1:21" hidden="1" x14ac:dyDescent="0.2">
      <c r="A1543" s="2">
        <v>1541</v>
      </c>
      <c r="B1543" s="2" t="s">
        <v>9</v>
      </c>
      <c r="C1543" s="2" t="s">
        <v>2180</v>
      </c>
      <c r="D1543" s="2" t="s">
        <v>505</v>
      </c>
      <c r="E1543" s="2">
        <v>10013</v>
      </c>
      <c r="F1543" s="2" t="s">
        <v>35</v>
      </c>
      <c r="G1543" s="2" t="s">
        <v>36</v>
      </c>
      <c r="H1543" s="2">
        <v>1</v>
      </c>
      <c r="I1543" s="2" t="s">
        <v>17</v>
      </c>
      <c r="J1543" s="2" t="str">
        <f>VLOOKUP(E1543,[1]LL_Hub!$A$1:$B$13,2,FALSE)</f>
        <v>New York</v>
      </c>
      <c r="K1543" t="str">
        <f>VLOOKUP(D1543,'[2]product Table data'!$A$2:$B$12,2,FALSE)</f>
        <v>Female</v>
      </c>
      <c r="L1543" t="str">
        <f>VLOOKUP($D1543,'[2]product Table data'!$A$2:$G$12,L$1,FALSE)</f>
        <v>Casual n Light</v>
      </c>
      <c r="M1543" t="str">
        <f>VLOOKUP($D1543,'[2]product Table data'!$A$2:$G$12,M$1,FALSE)</f>
        <v>Honduras</v>
      </c>
      <c r="N1543" t="str">
        <f>VLOOKUP($D1543,'[2]product Table data'!$A$2:$G$12,N$1,FALSE)</f>
        <v>Central America</v>
      </c>
      <c r="O1543">
        <f>VLOOKUP($D1543,'[2]product Table data'!$A$2:$G$12,O$1,FALSE)</f>
        <v>30</v>
      </c>
      <c r="P1543">
        <f>VLOOKUP($D1543,'[2]product Table data'!$A$2:$G$12,P$1,FALSE)</f>
        <v>45</v>
      </c>
      <c r="Q1543">
        <f t="shared" si="125"/>
        <v>15</v>
      </c>
      <c r="R1543" t="str">
        <f t="shared" si="126"/>
        <v>-</v>
      </c>
      <c r="S1543" t="str">
        <f t="shared" si="127"/>
        <v>Style Risk</v>
      </c>
      <c r="T1543" t="str">
        <f t="shared" si="128"/>
        <v>-</v>
      </c>
      <c r="U1543" t="str">
        <f t="shared" si="129"/>
        <v>High Value</v>
      </c>
    </row>
    <row r="1544" spans="1:21" hidden="1" x14ac:dyDescent="0.2">
      <c r="A1544" s="2">
        <v>1542</v>
      </c>
      <c r="B1544" s="2" t="s">
        <v>9</v>
      </c>
      <c r="C1544" s="2" t="s">
        <v>2181</v>
      </c>
      <c r="D1544" s="2" t="s">
        <v>505</v>
      </c>
      <c r="E1544" s="2">
        <v>10013</v>
      </c>
      <c r="F1544" s="2" t="s">
        <v>35</v>
      </c>
      <c r="G1544" s="2" t="s">
        <v>36</v>
      </c>
      <c r="H1544" s="2">
        <v>1</v>
      </c>
      <c r="I1544" s="2" t="s">
        <v>17</v>
      </c>
      <c r="J1544" s="2" t="str">
        <f>VLOOKUP(E1544,[1]LL_Hub!$A$1:$B$13,2,FALSE)</f>
        <v>New York</v>
      </c>
      <c r="K1544" t="str">
        <f>VLOOKUP(D1544,'[2]product Table data'!$A$2:$B$12,2,FALSE)</f>
        <v>Female</v>
      </c>
      <c r="L1544" t="str">
        <f>VLOOKUP($D1544,'[2]product Table data'!$A$2:$G$12,L$1,FALSE)</f>
        <v>Casual n Light</v>
      </c>
      <c r="M1544" t="str">
        <f>VLOOKUP($D1544,'[2]product Table data'!$A$2:$G$12,M$1,FALSE)</f>
        <v>Honduras</v>
      </c>
      <c r="N1544" t="str">
        <f>VLOOKUP($D1544,'[2]product Table data'!$A$2:$G$12,N$1,FALSE)</f>
        <v>Central America</v>
      </c>
      <c r="O1544">
        <f>VLOOKUP($D1544,'[2]product Table data'!$A$2:$G$12,O$1,FALSE)</f>
        <v>30</v>
      </c>
      <c r="P1544">
        <f>VLOOKUP($D1544,'[2]product Table data'!$A$2:$G$12,P$1,FALSE)</f>
        <v>45</v>
      </c>
      <c r="Q1544">
        <f t="shared" si="125"/>
        <v>15</v>
      </c>
      <c r="R1544" t="str">
        <f t="shared" si="126"/>
        <v>-</v>
      </c>
      <c r="S1544" t="str">
        <f t="shared" si="127"/>
        <v>Style Risk</v>
      </c>
      <c r="T1544" t="str">
        <f t="shared" si="128"/>
        <v>-</v>
      </c>
      <c r="U1544" t="str">
        <f t="shared" si="129"/>
        <v>High Value</v>
      </c>
    </row>
    <row r="1545" spans="1:21" hidden="1" x14ac:dyDescent="0.2">
      <c r="A1545" s="2">
        <v>1543</v>
      </c>
      <c r="B1545" s="2" t="s">
        <v>9</v>
      </c>
      <c r="C1545" s="2" t="s">
        <v>2182</v>
      </c>
      <c r="D1545" s="2" t="s">
        <v>505</v>
      </c>
      <c r="E1545" s="2">
        <v>10013</v>
      </c>
      <c r="F1545" s="2" t="s">
        <v>35</v>
      </c>
      <c r="G1545" s="2" t="s">
        <v>36</v>
      </c>
      <c r="H1545" s="2">
        <v>1</v>
      </c>
      <c r="I1545" s="2" t="s">
        <v>17</v>
      </c>
      <c r="J1545" s="2" t="str">
        <f>VLOOKUP(E1545,[1]LL_Hub!$A$1:$B$13,2,FALSE)</f>
        <v>New York</v>
      </c>
      <c r="K1545" t="str">
        <f>VLOOKUP(D1545,'[2]product Table data'!$A$2:$B$12,2,FALSE)</f>
        <v>Female</v>
      </c>
      <c r="L1545" t="str">
        <f>VLOOKUP($D1545,'[2]product Table data'!$A$2:$G$12,L$1,FALSE)</f>
        <v>Casual n Light</v>
      </c>
      <c r="M1545" t="str">
        <f>VLOOKUP($D1545,'[2]product Table data'!$A$2:$G$12,M$1,FALSE)</f>
        <v>Honduras</v>
      </c>
      <c r="N1545" t="str">
        <f>VLOOKUP($D1545,'[2]product Table data'!$A$2:$G$12,N$1,FALSE)</f>
        <v>Central America</v>
      </c>
      <c r="O1545">
        <f>VLOOKUP($D1545,'[2]product Table data'!$A$2:$G$12,O$1,FALSE)</f>
        <v>30</v>
      </c>
      <c r="P1545">
        <f>VLOOKUP($D1545,'[2]product Table data'!$A$2:$G$12,P$1,FALSE)</f>
        <v>45</v>
      </c>
      <c r="Q1545">
        <f t="shared" si="125"/>
        <v>15</v>
      </c>
      <c r="R1545" t="str">
        <f t="shared" si="126"/>
        <v>-</v>
      </c>
      <c r="S1545" t="str">
        <f t="shared" si="127"/>
        <v>Style Risk</v>
      </c>
      <c r="T1545" t="str">
        <f t="shared" si="128"/>
        <v>-</v>
      </c>
      <c r="U1545" t="str">
        <f t="shared" si="129"/>
        <v>High Value</v>
      </c>
    </row>
    <row r="1546" spans="1:21" hidden="1" x14ac:dyDescent="0.2">
      <c r="A1546" s="2">
        <v>1544</v>
      </c>
      <c r="B1546" s="2" t="s">
        <v>9</v>
      </c>
      <c r="C1546" s="2" t="s">
        <v>2183</v>
      </c>
      <c r="D1546" s="2" t="s">
        <v>505</v>
      </c>
      <c r="E1546" s="2">
        <v>10013</v>
      </c>
      <c r="F1546" s="2" t="s">
        <v>35</v>
      </c>
      <c r="G1546" s="2" t="s">
        <v>36</v>
      </c>
      <c r="H1546" s="2">
        <v>1</v>
      </c>
      <c r="I1546" s="2" t="s">
        <v>17</v>
      </c>
      <c r="J1546" s="2" t="str">
        <f>VLOOKUP(E1546,[1]LL_Hub!$A$1:$B$13,2,FALSE)</f>
        <v>New York</v>
      </c>
      <c r="K1546" t="str">
        <f>VLOOKUP(D1546,'[2]product Table data'!$A$2:$B$12,2,FALSE)</f>
        <v>Female</v>
      </c>
      <c r="L1546" t="str">
        <f>VLOOKUP($D1546,'[2]product Table data'!$A$2:$G$12,L$1,FALSE)</f>
        <v>Casual n Light</v>
      </c>
      <c r="M1546" t="str">
        <f>VLOOKUP($D1546,'[2]product Table data'!$A$2:$G$12,M$1,FALSE)</f>
        <v>Honduras</v>
      </c>
      <c r="N1546" t="str">
        <f>VLOOKUP($D1546,'[2]product Table data'!$A$2:$G$12,N$1,FALSE)</f>
        <v>Central America</v>
      </c>
      <c r="O1546">
        <f>VLOOKUP($D1546,'[2]product Table data'!$A$2:$G$12,O$1,FALSE)</f>
        <v>30</v>
      </c>
      <c r="P1546">
        <f>VLOOKUP($D1546,'[2]product Table data'!$A$2:$G$12,P$1,FALSE)</f>
        <v>45</v>
      </c>
      <c r="Q1546">
        <f t="shared" si="125"/>
        <v>15</v>
      </c>
      <c r="R1546" t="str">
        <f t="shared" si="126"/>
        <v>-</v>
      </c>
      <c r="S1546" t="str">
        <f t="shared" si="127"/>
        <v>Style Risk</v>
      </c>
      <c r="T1546" t="str">
        <f t="shared" si="128"/>
        <v>-</v>
      </c>
      <c r="U1546" t="str">
        <f t="shared" si="129"/>
        <v>High Value</v>
      </c>
    </row>
    <row r="1547" spans="1:21" hidden="1" x14ac:dyDescent="0.2">
      <c r="A1547" s="2">
        <v>1545</v>
      </c>
      <c r="B1547" s="2" t="s">
        <v>9</v>
      </c>
      <c r="C1547" s="2" t="s">
        <v>2184</v>
      </c>
      <c r="D1547" s="2" t="s">
        <v>505</v>
      </c>
      <c r="E1547" s="2">
        <v>10013</v>
      </c>
      <c r="F1547" s="2" t="s">
        <v>35</v>
      </c>
      <c r="G1547" s="2" t="s">
        <v>36</v>
      </c>
      <c r="H1547" s="2">
        <v>1</v>
      </c>
      <c r="I1547" s="2" t="s">
        <v>17</v>
      </c>
      <c r="J1547" s="2" t="str">
        <f>VLOOKUP(E1547,[1]LL_Hub!$A$1:$B$13,2,FALSE)</f>
        <v>New York</v>
      </c>
      <c r="K1547" t="str">
        <f>VLOOKUP(D1547,'[2]product Table data'!$A$2:$B$12,2,FALSE)</f>
        <v>Female</v>
      </c>
      <c r="L1547" t="str">
        <f>VLOOKUP($D1547,'[2]product Table data'!$A$2:$G$12,L$1,FALSE)</f>
        <v>Casual n Light</v>
      </c>
      <c r="M1547" t="str">
        <f>VLOOKUP($D1547,'[2]product Table data'!$A$2:$G$12,M$1,FALSE)</f>
        <v>Honduras</v>
      </c>
      <c r="N1547" t="str">
        <f>VLOOKUP($D1547,'[2]product Table data'!$A$2:$G$12,N$1,FALSE)</f>
        <v>Central America</v>
      </c>
      <c r="O1547">
        <f>VLOOKUP($D1547,'[2]product Table data'!$A$2:$G$12,O$1,FALSE)</f>
        <v>30</v>
      </c>
      <c r="P1547">
        <f>VLOOKUP($D1547,'[2]product Table data'!$A$2:$G$12,P$1,FALSE)</f>
        <v>45</v>
      </c>
      <c r="Q1547">
        <f t="shared" si="125"/>
        <v>15</v>
      </c>
      <c r="R1547" t="str">
        <f t="shared" si="126"/>
        <v>-</v>
      </c>
      <c r="S1547" t="str">
        <f t="shared" si="127"/>
        <v>Style Risk</v>
      </c>
      <c r="T1547" t="str">
        <f t="shared" si="128"/>
        <v>-</v>
      </c>
      <c r="U1547" t="str">
        <f t="shared" si="129"/>
        <v>High Value</v>
      </c>
    </row>
    <row r="1548" spans="1:21" hidden="1" x14ac:dyDescent="0.2">
      <c r="A1548" s="2">
        <v>1546</v>
      </c>
      <c r="B1548" s="2" t="s">
        <v>9</v>
      </c>
      <c r="C1548" s="2" t="s">
        <v>2185</v>
      </c>
      <c r="D1548" s="2" t="s">
        <v>505</v>
      </c>
      <c r="E1548" s="2">
        <v>10013</v>
      </c>
      <c r="F1548" s="2" t="s">
        <v>35</v>
      </c>
      <c r="G1548" s="2" t="s">
        <v>36</v>
      </c>
      <c r="H1548" s="2">
        <v>1</v>
      </c>
      <c r="I1548" s="2" t="s">
        <v>17</v>
      </c>
      <c r="J1548" s="2" t="str">
        <f>VLOOKUP(E1548,[1]LL_Hub!$A$1:$B$13,2,FALSE)</f>
        <v>New York</v>
      </c>
      <c r="K1548" t="str">
        <f>VLOOKUP(D1548,'[2]product Table data'!$A$2:$B$12,2,FALSE)</f>
        <v>Female</v>
      </c>
      <c r="L1548" t="str">
        <f>VLOOKUP($D1548,'[2]product Table data'!$A$2:$G$12,L$1,FALSE)</f>
        <v>Casual n Light</v>
      </c>
      <c r="M1548" t="str">
        <f>VLOOKUP($D1548,'[2]product Table data'!$A$2:$G$12,M$1,FALSE)</f>
        <v>Honduras</v>
      </c>
      <c r="N1548" t="str">
        <f>VLOOKUP($D1548,'[2]product Table data'!$A$2:$G$12,N$1,FALSE)</f>
        <v>Central America</v>
      </c>
      <c r="O1548">
        <f>VLOOKUP($D1548,'[2]product Table data'!$A$2:$G$12,O$1,FALSE)</f>
        <v>30</v>
      </c>
      <c r="P1548">
        <f>VLOOKUP($D1548,'[2]product Table data'!$A$2:$G$12,P$1,FALSE)</f>
        <v>45</v>
      </c>
      <c r="Q1548">
        <f t="shared" si="125"/>
        <v>15</v>
      </c>
      <c r="R1548" t="str">
        <f t="shared" si="126"/>
        <v>-</v>
      </c>
      <c r="S1548" t="str">
        <f t="shared" si="127"/>
        <v>Style Risk</v>
      </c>
      <c r="T1548" t="str">
        <f t="shared" si="128"/>
        <v>-</v>
      </c>
      <c r="U1548" t="str">
        <f t="shared" si="129"/>
        <v>High Value</v>
      </c>
    </row>
    <row r="1549" spans="1:21" hidden="1" x14ac:dyDescent="0.2">
      <c r="A1549" s="2">
        <v>1547</v>
      </c>
      <c r="B1549" s="2" t="s">
        <v>9</v>
      </c>
      <c r="C1549" s="2" t="s">
        <v>2186</v>
      </c>
      <c r="D1549" s="2" t="s">
        <v>505</v>
      </c>
      <c r="E1549" s="2">
        <v>10013</v>
      </c>
      <c r="F1549" s="2" t="s">
        <v>35</v>
      </c>
      <c r="G1549" s="2" t="s">
        <v>36</v>
      </c>
      <c r="H1549" s="2">
        <v>1</v>
      </c>
      <c r="I1549" s="2" t="s">
        <v>17</v>
      </c>
      <c r="J1549" s="2" t="str">
        <f>VLOOKUP(E1549,[1]LL_Hub!$A$1:$B$13,2,FALSE)</f>
        <v>New York</v>
      </c>
      <c r="K1549" t="str">
        <f>VLOOKUP(D1549,'[2]product Table data'!$A$2:$B$12,2,FALSE)</f>
        <v>Female</v>
      </c>
      <c r="L1549" t="str">
        <f>VLOOKUP($D1549,'[2]product Table data'!$A$2:$G$12,L$1,FALSE)</f>
        <v>Casual n Light</v>
      </c>
      <c r="M1549" t="str">
        <f>VLOOKUP($D1549,'[2]product Table data'!$A$2:$G$12,M$1,FALSE)</f>
        <v>Honduras</v>
      </c>
      <c r="N1549" t="str">
        <f>VLOOKUP($D1549,'[2]product Table data'!$A$2:$G$12,N$1,FALSE)</f>
        <v>Central America</v>
      </c>
      <c r="O1549">
        <f>VLOOKUP($D1549,'[2]product Table data'!$A$2:$G$12,O$1,FALSE)</f>
        <v>30</v>
      </c>
      <c r="P1549">
        <f>VLOOKUP($D1549,'[2]product Table data'!$A$2:$G$12,P$1,FALSE)</f>
        <v>45</v>
      </c>
      <c r="Q1549">
        <f t="shared" si="125"/>
        <v>15</v>
      </c>
      <c r="R1549" t="str">
        <f t="shared" si="126"/>
        <v>-</v>
      </c>
      <c r="S1549" t="str">
        <f t="shared" si="127"/>
        <v>Style Risk</v>
      </c>
      <c r="T1549" t="str">
        <f t="shared" si="128"/>
        <v>-</v>
      </c>
      <c r="U1549" t="str">
        <f t="shared" si="129"/>
        <v>High Value</v>
      </c>
    </row>
    <row r="1550" spans="1:21" hidden="1" x14ac:dyDescent="0.2">
      <c r="A1550" s="2">
        <v>1548</v>
      </c>
      <c r="B1550" s="2" t="s">
        <v>9</v>
      </c>
      <c r="C1550" s="2" t="s">
        <v>2187</v>
      </c>
      <c r="D1550" s="2" t="s">
        <v>505</v>
      </c>
      <c r="E1550" s="2">
        <v>10013</v>
      </c>
      <c r="F1550" s="2" t="s">
        <v>35</v>
      </c>
      <c r="G1550" s="2" t="s">
        <v>36</v>
      </c>
      <c r="H1550" s="2">
        <v>1</v>
      </c>
      <c r="I1550" s="2" t="s">
        <v>17</v>
      </c>
      <c r="J1550" s="2" t="str">
        <f>VLOOKUP(E1550,[1]LL_Hub!$A$1:$B$13,2,FALSE)</f>
        <v>New York</v>
      </c>
      <c r="K1550" t="str">
        <f>VLOOKUP(D1550,'[2]product Table data'!$A$2:$B$12,2,FALSE)</f>
        <v>Female</v>
      </c>
      <c r="L1550" t="str">
        <f>VLOOKUP($D1550,'[2]product Table data'!$A$2:$G$12,L$1,FALSE)</f>
        <v>Casual n Light</v>
      </c>
      <c r="M1550" t="str">
        <f>VLOOKUP($D1550,'[2]product Table data'!$A$2:$G$12,M$1,FALSE)</f>
        <v>Honduras</v>
      </c>
      <c r="N1550" t="str">
        <f>VLOOKUP($D1550,'[2]product Table data'!$A$2:$G$12,N$1,FALSE)</f>
        <v>Central America</v>
      </c>
      <c r="O1550">
        <f>VLOOKUP($D1550,'[2]product Table data'!$A$2:$G$12,O$1,FALSE)</f>
        <v>30</v>
      </c>
      <c r="P1550">
        <f>VLOOKUP($D1550,'[2]product Table data'!$A$2:$G$12,P$1,FALSE)</f>
        <v>45</v>
      </c>
      <c r="Q1550">
        <f t="shared" si="125"/>
        <v>15</v>
      </c>
      <c r="R1550" t="str">
        <f t="shared" si="126"/>
        <v>-</v>
      </c>
      <c r="S1550" t="str">
        <f t="shared" si="127"/>
        <v>Style Risk</v>
      </c>
      <c r="T1550" t="str">
        <f t="shared" si="128"/>
        <v>-</v>
      </c>
      <c r="U1550" t="str">
        <f t="shared" si="129"/>
        <v>High Value</v>
      </c>
    </row>
    <row r="1551" spans="1:21" hidden="1" x14ac:dyDescent="0.2">
      <c r="A1551" s="2">
        <v>1549</v>
      </c>
      <c r="B1551" s="2" t="s">
        <v>9</v>
      </c>
      <c r="C1551" s="2" t="s">
        <v>2188</v>
      </c>
      <c r="D1551" s="2" t="s">
        <v>505</v>
      </c>
      <c r="E1551" s="2">
        <v>10013</v>
      </c>
      <c r="F1551" s="2" t="s">
        <v>35</v>
      </c>
      <c r="G1551" s="2" t="s">
        <v>36</v>
      </c>
      <c r="H1551" s="2">
        <v>1</v>
      </c>
      <c r="I1551" s="2" t="s">
        <v>17</v>
      </c>
      <c r="J1551" s="2" t="str">
        <f>VLOOKUP(E1551,[1]LL_Hub!$A$1:$B$13,2,FALSE)</f>
        <v>New York</v>
      </c>
      <c r="K1551" t="str">
        <f>VLOOKUP(D1551,'[2]product Table data'!$A$2:$B$12,2,FALSE)</f>
        <v>Female</v>
      </c>
      <c r="L1551" t="str">
        <f>VLOOKUP($D1551,'[2]product Table data'!$A$2:$G$12,L$1,FALSE)</f>
        <v>Casual n Light</v>
      </c>
      <c r="M1551" t="str">
        <f>VLOOKUP($D1551,'[2]product Table data'!$A$2:$G$12,M$1,FALSE)</f>
        <v>Honduras</v>
      </c>
      <c r="N1551" t="str">
        <f>VLOOKUP($D1551,'[2]product Table data'!$A$2:$G$12,N$1,FALSE)</f>
        <v>Central America</v>
      </c>
      <c r="O1551">
        <f>VLOOKUP($D1551,'[2]product Table data'!$A$2:$G$12,O$1,FALSE)</f>
        <v>30</v>
      </c>
      <c r="P1551">
        <f>VLOOKUP($D1551,'[2]product Table data'!$A$2:$G$12,P$1,FALSE)</f>
        <v>45</v>
      </c>
      <c r="Q1551">
        <f t="shared" si="125"/>
        <v>15</v>
      </c>
      <c r="R1551" t="str">
        <f t="shared" si="126"/>
        <v>-</v>
      </c>
      <c r="S1551" t="str">
        <f t="shared" si="127"/>
        <v>Style Risk</v>
      </c>
      <c r="T1551" t="str">
        <f t="shared" si="128"/>
        <v>-</v>
      </c>
      <c r="U1551" t="str">
        <f t="shared" si="129"/>
        <v>High Value</v>
      </c>
    </row>
    <row r="1552" spans="1:21" hidden="1" x14ac:dyDescent="0.2">
      <c r="A1552" s="2">
        <v>1550</v>
      </c>
      <c r="B1552" s="2" t="s">
        <v>9</v>
      </c>
      <c r="C1552" s="2" t="s">
        <v>2189</v>
      </c>
      <c r="D1552" s="2" t="s">
        <v>505</v>
      </c>
      <c r="E1552" s="2">
        <v>10013</v>
      </c>
      <c r="F1552" s="2" t="s">
        <v>35</v>
      </c>
      <c r="G1552" s="2" t="s">
        <v>36</v>
      </c>
      <c r="H1552" s="2">
        <v>1</v>
      </c>
      <c r="I1552" s="2" t="s">
        <v>17</v>
      </c>
      <c r="J1552" s="2" t="str">
        <f>VLOOKUP(E1552,[1]LL_Hub!$A$1:$B$13,2,FALSE)</f>
        <v>New York</v>
      </c>
      <c r="K1552" t="str">
        <f>VLOOKUP(D1552,'[2]product Table data'!$A$2:$B$12,2,FALSE)</f>
        <v>Female</v>
      </c>
      <c r="L1552" t="str">
        <f>VLOOKUP($D1552,'[2]product Table data'!$A$2:$G$12,L$1,FALSE)</f>
        <v>Casual n Light</v>
      </c>
      <c r="M1552" t="str">
        <f>VLOOKUP($D1552,'[2]product Table data'!$A$2:$G$12,M$1,FALSE)</f>
        <v>Honduras</v>
      </c>
      <c r="N1552" t="str">
        <f>VLOOKUP($D1552,'[2]product Table data'!$A$2:$G$12,N$1,FALSE)</f>
        <v>Central America</v>
      </c>
      <c r="O1552">
        <f>VLOOKUP($D1552,'[2]product Table data'!$A$2:$G$12,O$1,FALSE)</f>
        <v>30</v>
      </c>
      <c r="P1552">
        <f>VLOOKUP($D1552,'[2]product Table data'!$A$2:$G$12,P$1,FALSE)</f>
        <v>45</v>
      </c>
      <c r="Q1552">
        <f t="shared" si="125"/>
        <v>15</v>
      </c>
      <c r="R1552" t="str">
        <f t="shared" si="126"/>
        <v>-</v>
      </c>
      <c r="S1552" t="str">
        <f t="shared" si="127"/>
        <v>Style Risk</v>
      </c>
      <c r="T1552" t="str">
        <f t="shared" si="128"/>
        <v>-</v>
      </c>
      <c r="U1552" t="str">
        <f t="shared" si="129"/>
        <v>High Value</v>
      </c>
    </row>
    <row r="1553" spans="1:21" hidden="1" x14ac:dyDescent="0.2">
      <c r="A1553" s="2">
        <v>1551</v>
      </c>
      <c r="B1553" s="2" t="s">
        <v>9</v>
      </c>
      <c r="C1553" s="2" t="s">
        <v>2190</v>
      </c>
      <c r="D1553" s="2" t="s">
        <v>505</v>
      </c>
      <c r="E1553" s="2">
        <v>10013</v>
      </c>
      <c r="F1553" s="2" t="s">
        <v>35</v>
      </c>
      <c r="G1553" s="2" t="s">
        <v>36</v>
      </c>
      <c r="H1553" s="2">
        <v>1</v>
      </c>
      <c r="I1553" s="2" t="s">
        <v>17</v>
      </c>
      <c r="J1553" s="2" t="str">
        <f>VLOOKUP(E1553,[1]LL_Hub!$A$1:$B$13,2,FALSE)</f>
        <v>New York</v>
      </c>
      <c r="K1553" t="str">
        <f>VLOOKUP(D1553,'[2]product Table data'!$A$2:$B$12,2,FALSE)</f>
        <v>Female</v>
      </c>
      <c r="L1553" t="str">
        <f>VLOOKUP($D1553,'[2]product Table data'!$A$2:$G$12,L$1,FALSE)</f>
        <v>Casual n Light</v>
      </c>
      <c r="M1553" t="str">
        <f>VLOOKUP($D1553,'[2]product Table data'!$A$2:$G$12,M$1,FALSE)</f>
        <v>Honduras</v>
      </c>
      <c r="N1553" t="str">
        <f>VLOOKUP($D1553,'[2]product Table data'!$A$2:$G$12,N$1,FALSE)</f>
        <v>Central America</v>
      </c>
      <c r="O1553">
        <f>VLOOKUP($D1553,'[2]product Table data'!$A$2:$G$12,O$1,FALSE)</f>
        <v>30</v>
      </c>
      <c r="P1553">
        <f>VLOOKUP($D1553,'[2]product Table data'!$A$2:$G$12,P$1,FALSE)</f>
        <v>45</v>
      </c>
      <c r="Q1553">
        <f t="shared" si="125"/>
        <v>15</v>
      </c>
      <c r="R1553" t="str">
        <f t="shared" si="126"/>
        <v>-</v>
      </c>
      <c r="S1553" t="str">
        <f t="shared" si="127"/>
        <v>Style Risk</v>
      </c>
      <c r="T1553" t="str">
        <f t="shared" si="128"/>
        <v>-</v>
      </c>
      <c r="U1553" t="str">
        <f t="shared" si="129"/>
        <v>High Value</v>
      </c>
    </row>
    <row r="1554" spans="1:21" hidden="1" x14ac:dyDescent="0.2">
      <c r="A1554" s="2">
        <v>1552</v>
      </c>
      <c r="B1554" s="2" t="s">
        <v>9</v>
      </c>
      <c r="C1554" s="2" t="s">
        <v>2191</v>
      </c>
      <c r="D1554" s="2" t="s">
        <v>505</v>
      </c>
      <c r="E1554" s="2">
        <v>10013</v>
      </c>
      <c r="F1554" s="2" t="s">
        <v>35</v>
      </c>
      <c r="G1554" s="2" t="s">
        <v>36</v>
      </c>
      <c r="H1554" s="2">
        <v>1</v>
      </c>
      <c r="I1554" s="2" t="s">
        <v>17</v>
      </c>
      <c r="J1554" s="2" t="str">
        <f>VLOOKUP(E1554,[1]LL_Hub!$A$1:$B$13,2,FALSE)</f>
        <v>New York</v>
      </c>
      <c r="K1554" t="str">
        <f>VLOOKUP(D1554,'[2]product Table data'!$A$2:$B$12,2,FALSE)</f>
        <v>Female</v>
      </c>
      <c r="L1554" t="str">
        <f>VLOOKUP($D1554,'[2]product Table data'!$A$2:$G$12,L$1,FALSE)</f>
        <v>Casual n Light</v>
      </c>
      <c r="M1554" t="str">
        <f>VLOOKUP($D1554,'[2]product Table data'!$A$2:$G$12,M$1,FALSE)</f>
        <v>Honduras</v>
      </c>
      <c r="N1554" t="str">
        <f>VLOOKUP($D1554,'[2]product Table data'!$A$2:$G$12,N$1,FALSE)</f>
        <v>Central America</v>
      </c>
      <c r="O1554">
        <f>VLOOKUP($D1554,'[2]product Table data'!$A$2:$G$12,O$1,FALSE)</f>
        <v>30</v>
      </c>
      <c r="P1554">
        <f>VLOOKUP($D1554,'[2]product Table data'!$A$2:$G$12,P$1,FALSE)</f>
        <v>45</v>
      </c>
      <c r="Q1554">
        <f t="shared" si="125"/>
        <v>15</v>
      </c>
      <c r="R1554" t="str">
        <f t="shared" si="126"/>
        <v>-</v>
      </c>
      <c r="S1554" t="str">
        <f t="shared" si="127"/>
        <v>Style Risk</v>
      </c>
      <c r="T1554" t="str">
        <f t="shared" si="128"/>
        <v>-</v>
      </c>
      <c r="U1554" t="str">
        <f t="shared" si="129"/>
        <v>High Value</v>
      </c>
    </row>
    <row r="1555" spans="1:21" hidden="1" x14ac:dyDescent="0.2">
      <c r="A1555" s="2">
        <v>1553</v>
      </c>
      <c r="B1555" s="2" t="s">
        <v>9</v>
      </c>
      <c r="C1555" s="2" t="s">
        <v>2192</v>
      </c>
      <c r="D1555" s="2" t="s">
        <v>505</v>
      </c>
      <c r="E1555" s="2">
        <v>10013</v>
      </c>
      <c r="F1555" s="2" t="s">
        <v>35</v>
      </c>
      <c r="G1555" s="2" t="s">
        <v>36</v>
      </c>
      <c r="H1555" s="2">
        <v>1</v>
      </c>
      <c r="I1555" s="2" t="s">
        <v>17</v>
      </c>
      <c r="J1555" s="2" t="str">
        <f>VLOOKUP(E1555,[1]LL_Hub!$A$1:$B$13,2,FALSE)</f>
        <v>New York</v>
      </c>
      <c r="K1555" t="str">
        <f>VLOOKUP(D1555,'[2]product Table data'!$A$2:$B$12,2,FALSE)</f>
        <v>Female</v>
      </c>
      <c r="L1555" t="str">
        <f>VLOOKUP($D1555,'[2]product Table data'!$A$2:$G$12,L$1,FALSE)</f>
        <v>Casual n Light</v>
      </c>
      <c r="M1555" t="str">
        <f>VLOOKUP($D1555,'[2]product Table data'!$A$2:$G$12,M$1,FALSE)</f>
        <v>Honduras</v>
      </c>
      <c r="N1555" t="str">
        <f>VLOOKUP($D1555,'[2]product Table data'!$A$2:$G$12,N$1,FALSE)</f>
        <v>Central America</v>
      </c>
      <c r="O1555">
        <f>VLOOKUP($D1555,'[2]product Table data'!$A$2:$G$12,O$1,FALSE)</f>
        <v>30</v>
      </c>
      <c r="P1555">
        <f>VLOOKUP($D1555,'[2]product Table data'!$A$2:$G$12,P$1,FALSE)</f>
        <v>45</v>
      </c>
      <c r="Q1555">
        <f t="shared" si="125"/>
        <v>15</v>
      </c>
      <c r="R1555" t="str">
        <f t="shared" si="126"/>
        <v>-</v>
      </c>
      <c r="S1555" t="str">
        <f t="shared" si="127"/>
        <v>Style Risk</v>
      </c>
      <c r="T1555" t="str">
        <f t="shared" si="128"/>
        <v>-</v>
      </c>
      <c r="U1555" t="str">
        <f t="shared" si="129"/>
        <v>High Value</v>
      </c>
    </row>
    <row r="1556" spans="1:21" hidden="1" x14ac:dyDescent="0.2">
      <c r="A1556" s="2">
        <v>1554</v>
      </c>
      <c r="B1556" s="2" t="s">
        <v>9</v>
      </c>
      <c r="C1556" s="2" t="s">
        <v>2193</v>
      </c>
      <c r="D1556" s="2" t="s">
        <v>505</v>
      </c>
      <c r="E1556" s="2">
        <v>10013</v>
      </c>
      <c r="F1556" s="2" t="s">
        <v>35</v>
      </c>
      <c r="G1556" s="2" t="s">
        <v>36</v>
      </c>
      <c r="H1556" s="2">
        <v>1</v>
      </c>
      <c r="I1556" s="2" t="s">
        <v>17</v>
      </c>
      <c r="J1556" s="2" t="str">
        <f>VLOOKUP(E1556,[1]LL_Hub!$A$1:$B$13,2,FALSE)</f>
        <v>New York</v>
      </c>
      <c r="K1556" t="str">
        <f>VLOOKUP(D1556,'[2]product Table data'!$A$2:$B$12,2,FALSE)</f>
        <v>Female</v>
      </c>
      <c r="L1556" t="str">
        <f>VLOOKUP($D1556,'[2]product Table data'!$A$2:$G$12,L$1,FALSE)</f>
        <v>Casual n Light</v>
      </c>
      <c r="M1556" t="str">
        <f>VLOOKUP($D1556,'[2]product Table data'!$A$2:$G$12,M$1,FALSE)</f>
        <v>Honduras</v>
      </c>
      <c r="N1556" t="str">
        <f>VLOOKUP($D1556,'[2]product Table data'!$A$2:$G$12,N$1,FALSE)</f>
        <v>Central America</v>
      </c>
      <c r="O1556">
        <f>VLOOKUP($D1556,'[2]product Table data'!$A$2:$G$12,O$1,FALSE)</f>
        <v>30</v>
      </c>
      <c r="P1556">
        <f>VLOOKUP($D1556,'[2]product Table data'!$A$2:$G$12,P$1,FALSE)</f>
        <v>45</v>
      </c>
      <c r="Q1556">
        <f t="shared" si="125"/>
        <v>15</v>
      </c>
      <c r="R1556" t="str">
        <f t="shared" si="126"/>
        <v>-</v>
      </c>
      <c r="S1556" t="str">
        <f t="shared" si="127"/>
        <v>Style Risk</v>
      </c>
      <c r="T1556" t="str">
        <f t="shared" si="128"/>
        <v>-</v>
      </c>
      <c r="U1556" t="str">
        <f t="shared" si="129"/>
        <v>High Value</v>
      </c>
    </row>
    <row r="1557" spans="1:21" hidden="1" x14ac:dyDescent="0.2">
      <c r="A1557" s="2">
        <v>1555</v>
      </c>
      <c r="B1557" s="2" t="s">
        <v>9</v>
      </c>
      <c r="C1557" s="2" t="s">
        <v>2194</v>
      </c>
      <c r="D1557" s="2" t="s">
        <v>505</v>
      </c>
      <c r="E1557" s="2">
        <v>10013</v>
      </c>
      <c r="F1557" s="2" t="s">
        <v>35</v>
      </c>
      <c r="G1557" s="2" t="s">
        <v>36</v>
      </c>
      <c r="H1557" s="2">
        <v>1</v>
      </c>
      <c r="I1557" s="2" t="s">
        <v>17</v>
      </c>
      <c r="J1557" s="2" t="str">
        <f>VLOOKUP(E1557,[1]LL_Hub!$A$1:$B$13,2,FALSE)</f>
        <v>New York</v>
      </c>
      <c r="K1557" t="str">
        <f>VLOOKUP(D1557,'[2]product Table data'!$A$2:$B$12,2,FALSE)</f>
        <v>Female</v>
      </c>
      <c r="L1557" t="str">
        <f>VLOOKUP($D1557,'[2]product Table data'!$A$2:$G$12,L$1,FALSE)</f>
        <v>Casual n Light</v>
      </c>
      <c r="M1557" t="str">
        <f>VLOOKUP($D1557,'[2]product Table data'!$A$2:$G$12,M$1,FALSE)</f>
        <v>Honduras</v>
      </c>
      <c r="N1557" t="str">
        <f>VLOOKUP($D1557,'[2]product Table data'!$A$2:$G$12,N$1,FALSE)</f>
        <v>Central America</v>
      </c>
      <c r="O1557">
        <f>VLOOKUP($D1557,'[2]product Table data'!$A$2:$G$12,O$1,FALSE)</f>
        <v>30</v>
      </c>
      <c r="P1557">
        <f>VLOOKUP($D1557,'[2]product Table data'!$A$2:$G$12,P$1,FALSE)</f>
        <v>45</v>
      </c>
      <c r="Q1557">
        <f t="shared" si="125"/>
        <v>15</v>
      </c>
      <c r="R1557" t="str">
        <f t="shared" si="126"/>
        <v>-</v>
      </c>
      <c r="S1557" t="str">
        <f t="shared" si="127"/>
        <v>Style Risk</v>
      </c>
      <c r="T1557" t="str">
        <f t="shared" si="128"/>
        <v>-</v>
      </c>
      <c r="U1557" t="str">
        <f t="shared" si="129"/>
        <v>High Value</v>
      </c>
    </row>
    <row r="1558" spans="1:21" hidden="1" x14ac:dyDescent="0.2">
      <c r="A1558" s="2">
        <v>1556</v>
      </c>
      <c r="B1558" s="2" t="s">
        <v>9</v>
      </c>
      <c r="C1558" s="2" t="s">
        <v>2195</v>
      </c>
      <c r="D1558" s="2" t="s">
        <v>505</v>
      </c>
      <c r="E1558" s="2">
        <v>10013</v>
      </c>
      <c r="F1558" s="2" t="s">
        <v>35</v>
      </c>
      <c r="G1558" s="2" t="s">
        <v>36</v>
      </c>
      <c r="H1558" s="2">
        <v>1</v>
      </c>
      <c r="I1558" s="2" t="s">
        <v>17</v>
      </c>
      <c r="J1558" s="2" t="str">
        <f>VLOOKUP(E1558,[1]LL_Hub!$A$1:$B$13,2,FALSE)</f>
        <v>New York</v>
      </c>
      <c r="K1558" t="str">
        <f>VLOOKUP(D1558,'[2]product Table data'!$A$2:$B$12,2,FALSE)</f>
        <v>Female</v>
      </c>
      <c r="L1558" t="str">
        <f>VLOOKUP($D1558,'[2]product Table data'!$A$2:$G$12,L$1,FALSE)</f>
        <v>Casual n Light</v>
      </c>
      <c r="M1558" t="str">
        <f>VLOOKUP($D1558,'[2]product Table data'!$A$2:$G$12,M$1,FALSE)</f>
        <v>Honduras</v>
      </c>
      <c r="N1558" t="str">
        <f>VLOOKUP($D1558,'[2]product Table data'!$A$2:$G$12,N$1,FALSE)</f>
        <v>Central America</v>
      </c>
      <c r="O1558">
        <f>VLOOKUP($D1558,'[2]product Table data'!$A$2:$G$12,O$1,FALSE)</f>
        <v>30</v>
      </c>
      <c r="P1558">
        <f>VLOOKUP($D1558,'[2]product Table data'!$A$2:$G$12,P$1,FALSE)</f>
        <v>45</v>
      </c>
      <c r="Q1558">
        <f t="shared" si="125"/>
        <v>15</v>
      </c>
      <c r="R1558" t="str">
        <f t="shared" si="126"/>
        <v>-</v>
      </c>
      <c r="S1558" t="str">
        <f t="shared" si="127"/>
        <v>Style Risk</v>
      </c>
      <c r="T1558" t="str">
        <f t="shared" si="128"/>
        <v>-</v>
      </c>
      <c r="U1558" t="str">
        <f t="shared" si="129"/>
        <v>High Value</v>
      </c>
    </row>
    <row r="1559" spans="1:21" hidden="1" x14ac:dyDescent="0.2">
      <c r="A1559" s="2">
        <v>1557</v>
      </c>
      <c r="B1559" s="2" t="s">
        <v>9</v>
      </c>
      <c r="C1559" s="2" t="s">
        <v>2196</v>
      </c>
      <c r="D1559" s="2" t="s">
        <v>505</v>
      </c>
      <c r="E1559" s="2">
        <v>10013</v>
      </c>
      <c r="F1559" s="2" t="s">
        <v>35</v>
      </c>
      <c r="G1559" s="2" t="s">
        <v>36</v>
      </c>
      <c r="H1559" s="2">
        <v>1</v>
      </c>
      <c r="I1559" s="2" t="s">
        <v>17</v>
      </c>
      <c r="J1559" s="2" t="str">
        <f>VLOOKUP(E1559,[1]LL_Hub!$A$1:$B$13,2,FALSE)</f>
        <v>New York</v>
      </c>
      <c r="K1559" t="str">
        <f>VLOOKUP(D1559,'[2]product Table data'!$A$2:$B$12,2,FALSE)</f>
        <v>Female</v>
      </c>
      <c r="L1559" t="str">
        <f>VLOOKUP($D1559,'[2]product Table data'!$A$2:$G$12,L$1,FALSE)</f>
        <v>Casual n Light</v>
      </c>
      <c r="M1559" t="str">
        <f>VLOOKUP($D1559,'[2]product Table data'!$A$2:$G$12,M$1,FALSE)</f>
        <v>Honduras</v>
      </c>
      <c r="N1559" t="str">
        <f>VLOOKUP($D1559,'[2]product Table data'!$A$2:$G$12,N$1,FALSE)</f>
        <v>Central America</v>
      </c>
      <c r="O1559">
        <f>VLOOKUP($D1559,'[2]product Table data'!$A$2:$G$12,O$1,FALSE)</f>
        <v>30</v>
      </c>
      <c r="P1559">
        <f>VLOOKUP($D1559,'[2]product Table data'!$A$2:$G$12,P$1,FALSE)</f>
        <v>45</v>
      </c>
      <c r="Q1559">
        <f t="shared" si="125"/>
        <v>15</v>
      </c>
      <c r="R1559" t="str">
        <f t="shared" si="126"/>
        <v>-</v>
      </c>
      <c r="S1559" t="str">
        <f t="shared" si="127"/>
        <v>Style Risk</v>
      </c>
      <c r="T1559" t="str">
        <f t="shared" si="128"/>
        <v>-</v>
      </c>
      <c r="U1559" t="str">
        <f t="shared" si="129"/>
        <v>High Value</v>
      </c>
    </row>
    <row r="1560" spans="1:21" hidden="1" x14ac:dyDescent="0.2">
      <c r="A1560" s="2">
        <v>1558</v>
      </c>
      <c r="B1560" s="2" t="s">
        <v>9</v>
      </c>
      <c r="C1560" s="2" t="s">
        <v>2197</v>
      </c>
      <c r="D1560" s="2" t="s">
        <v>505</v>
      </c>
      <c r="E1560" s="2">
        <v>10013</v>
      </c>
      <c r="F1560" s="2" t="s">
        <v>35</v>
      </c>
      <c r="G1560" s="2" t="s">
        <v>36</v>
      </c>
      <c r="H1560" s="2">
        <v>1</v>
      </c>
      <c r="I1560" s="2" t="s">
        <v>17</v>
      </c>
      <c r="J1560" s="2" t="str">
        <f>VLOOKUP(E1560,[1]LL_Hub!$A$1:$B$13,2,FALSE)</f>
        <v>New York</v>
      </c>
      <c r="K1560" t="str">
        <f>VLOOKUP(D1560,'[2]product Table data'!$A$2:$B$12,2,FALSE)</f>
        <v>Female</v>
      </c>
      <c r="L1560" t="str">
        <f>VLOOKUP($D1560,'[2]product Table data'!$A$2:$G$12,L$1,FALSE)</f>
        <v>Casual n Light</v>
      </c>
      <c r="M1560" t="str">
        <f>VLOOKUP($D1560,'[2]product Table data'!$A$2:$G$12,M$1,FALSE)</f>
        <v>Honduras</v>
      </c>
      <c r="N1560" t="str">
        <f>VLOOKUP($D1560,'[2]product Table data'!$A$2:$G$12,N$1,FALSE)</f>
        <v>Central America</v>
      </c>
      <c r="O1560">
        <f>VLOOKUP($D1560,'[2]product Table data'!$A$2:$G$12,O$1,FALSE)</f>
        <v>30</v>
      </c>
      <c r="P1560">
        <f>VLOOKUP($D1560,'[2]product Table data'!$A$2:$G$12,P$1,FALSE)</f>
        <v>45</v>
      </c>
      <c r="Q1560">
        <f t="shared" si="125"/>
        <v>15</v>
      </c>
      <c r="R1560" t="str">
        <f t="shared" si="126"/>
        <v>-</v>
      </c>
      <c r="S1560" t="str">
        <f t="shared" si="127"/>
        <v>Style Risk</v>
      </c>
      <c r="T1560" t="str">
        <f t="shared" si="128"/>
        <v>-</v>
      </c>
      <c r="U1560" t="str">
        <f t="shared" si="129"/>
        <v>High Value</v>
      </c>
    </row>
    <row r="1561" spans="1:21" hidden="1" x14ac:dyDescent="0.2">
      <c r="A1561" s="2">
        <v>1559</v>
      </c>
      <c r="B1561" s="2" t="s">
        <v>9</v>
      </c>
      <c r="C1561" s="2" t="s">
        <v>2198</v>
      </c>
      <c r="D1561" s="2" t="s">
        <v>505</v>
      </c>
      <c r="E1561" s="2">
        <v>10013</v>
      </c>
      <c r="F1561" s="2" t="s">
        <v>35</v>
      </c>
      <c r="G1561" s="2" t="s">
        <v>36</v>
      </c>
      <c r="H1561" s="2">
        <v>1</v>
      </c>
      <c r="I1561" s="2" t="s">
        <v>17</v>
      </c>
      <c r="J1561" s="2" t="str">
        <f>VLOOKUP(E1561,[1]LL_Hub!$A$1:$B$13,2,FALSE)</f>
        <v>New York</v>
      </c>
      <c r="K1561" t="str">
        <f>VLOOKUP(D1561,'[2]product Table data'!$A$2:$B$12,2,FALSE)</f>
        <v>Female</v>
      </c>
      <c r="L1561" t="str">
        <f>VLOOKUP($D1561,'[2]product Table data'!$A$2:$G$12,L$1,FALSE)</f>
        <v>Casual n Light</v>
      </c>
      <c r="M1561" t="str">
        <f>VLOOKUP($D1561,'[2]product Table data'!$A$2:$G$12,M$1,FALSE)</f>
        <v>Honduras</v>
      </c>
      <c r="N1561" t="str">
        <f>VLOOKUP($D1561,'[2]product Table data'!$A$2:$G$12,N$1,FALSE)</f>
        <v>Central America</v>
      </c>
      <c r="O1561">
        <f>VLOOKUP($D1561,'[2]product Table data'!$A$2:$G$12,O$1,FALSE)</f>
        <v>30</v>
      </c>
      <c r="P1561">
        <f>VLOOKUP($D1561,'[2]product Table data'!$A$2:$G$12,P$1,FALSE)</f>
        <v>45</v>
      </c>
      <c r="Q1561">
        <f t="shared" si="125"/>
        <v>15</v>
      </c>
      <c r="R1561" t="str">
        <f t="shared" si="126"/>
        <v>-</v>
      </c>
      <c r="S1561" t="str">
        <f t="shared" si="127"/>
        <v>Style Risk</v>
      </c>
      <c r="T1561" t="str">
        <f t="shared" si="128"/>
        <v>-</v>
      </c>
      <c r="U1561" t="str">
        <f t="shared" si="129"/>
        <v>High Value</v>
      </c>
    </row>
    <row r="1562" spans="1:21" hidden="1" x14ac:dyDescent="0.2">
      <c r="A1562" s="2">
        <v>1560</v>
      </c>
      <c r="B1562" s="2" t="s">
        <v>9</v>
      </c>
      <c r="C1562" s="2" t="s">
        <v>2199</v>
      </c>
      <c r="D1562" s="2" t="s">
        <v>505</v>
      </c>
      <c r="E1562" s="2">
        <v>10013</v>
      </c>
      <c r="F1562" s="2" t="s">
        <v>35</v>
      </c>
      <c r="G1562" s="2" t="s">
        <v>36</v>
      </c>
      <c r="H1562" s="2">
        <v>1</v>
      </c>
      <c r="I1562" s="2" t="s">
        <v>17</v>
      </c>
      <c r="J1562" s="2" t="str">
        <f>VLOOKUP(E1562,[1]LL_Hub!$A$1:$B$13,2,FALSE)</f>
        <v>New York</v>
      </c>
      <c r="K1562" t="str">
        <f>VLOOKUP(D1562,'[2]product Table data'!$A$2:$B$12,2,FALSE)</f>
        <v>Female</v>
      </c>
      <c r="L1562" t="str">
        <f>VLOOKUP($D1562,'[2]product Table data'!$A$2:$G$12,L$1,FALSE)</f>
        <v>Casual n Light</v>
      </c>
      <c r="M1562" t="str">
        <f>VLOOKUP($D1562,'[2]product Table data'!$A$2:$G$12,M$1,FALSE)</f>
        <v>Honduras</v>
      </c>
      <c r="N1562" t="str">
        <f>VLOOKUP($D1562,'[2]product Table data'!$A$2:$G$12,N$1,FALSE)</f>
        <v>Central America</v>
      </c>
      <c r="O1562">
        <f>VLOOKUP($D1562,'[2]product Table data'!$A$2:$G$12,O$1,FALSE)</f>
        <v>30</v>
      </c>
      <c r="P1562">
        <f>VLOOKUP($D1562,'[2]product Table data'!$A$2:$G$12,P$1,FALSE)</f>
        <v>45</v>
      </c>
      <c r="Q1562">
        <f t="shared" si="125"/>
        <v>15</v>
      </c>
      <c r="R1562" t="str">
        <f t="shared" si="126"/>
        <v>-</v>
      </c>
      <c r="S1562" t="str">
        <f t="shared" si="127"/>
        <v>Style Risk</v>
      </c>
      <c r="T1562" t="str">
        <f t="shared" si="128"/>
        <v>-</v>
      </c>
      <c r="U1562" t="str">
        <f t="shared" si="129"/>
        <v>High Value</v>
      </c>
    </row>
    <row r="1563" spans="1:21" hidden="1" x14ac:dyDescent="0.2">
      <c r="A1563" s="2">
        <v>1561</v>
      </c>
      <c r="B1563" s="2" t="s">
        <v>9</v>
      </c>
      <c r="C1563" s="2" t="s">
        <v>2200</v>
      </c>
      <c r="D1563" s="2" t="s">
        <v>505</v>
      </c>
      <c r="E1563" s="2">
        <v>10013</v>
      </c>
      <c r="F1563" s="2" t="s">
        <v>35</v>
      </c>
      <c r="G1563" s="2" t="s">
        <v>36</v>
      </c>
      <c r="H1563" s="2">
        <v>1</v>
      </c>
      <c r="I1563" s="2" t="s">
        <v>17</v>
      </c>
      <c r="J1563" s="2" t="str">
        <f>VLOOKUP(E1563,[1]LL_Hub!$A$1:$B$13,2,FALSE)</f>
        <v>New York</v>
      </c>
      <c r="K1563" t="str">
        <f>VLOOKUP(D1563,'[2]product Table data'!$A$2:$B$12,2,FALSE)</f>
        <v>Female</v>
      </c>
      <c r="L1563" t="str">
        <f>VLOOKUP($D1563,'[2]product Table data'!$A$2:$G$12,L$1,FALSE)</f>
        <v>Casual n Light</v>
      </c>
      <c r="M1563" t="str">
        <f>VLOOKUP($D1563,'[2]product Table data'!$A$2:$G$12,M$1,FALSE)</f>
        <v>Honduras</v>
      </c>
      <c r="N1563" t="str">
        <f>VLOOKUP($D1563,'[2]product Table data'!$A$2:$G$12,N$1,FALSE)</f>
        <v>Central America</v>
      </c>
      <c r="O1563">
        <f>VLOOKUP($D1563,'[2]product Table data'!$A$2:$G$12,O$1,FALSE)</f>
        <v>30</v>
      </c>
      <c r="P1563">
        <f>VLOOKUP($D1563,'[2]product Table data'!$A$2:$G$12,P$1,FALSE)</f>
        <v>45</v>
      </c>
      <c r="Q1563">
        <f t="shared" si="125"/>
        <v>15</v>
      </c>
      <c r="R1563" t="str">
        <f t="shared" si="126"/>
        <v>-</v>
      </c>
      <c r="S1563" t="str">
        <f t="shared" si="127"/>
        <v>Style Risk</v>
      </c>
      <c r="T1563" t="str">
        <f t="shared" si="128"/>
        <v>-</v>
      </c>
      <c r="U1563" t="str">
        <f t="shared" si="129"/>
        <v>High Value</v>
      </c>
    </row>
    <row r="1564" spans="1:21" hidden="1" x14ac:dyDescent="0.2">
      <c r="A1564" s="2">
        <v>1562</v>
      </c>
      <c r="B1564" s="2" t="s">
        <v>9</v>
      </c>
      <c r="C1564" s="2" t="s">
        <v>2201</v>
      </c>
      <c r="D1564" s="2" t="s">
        <v>505</v>
      </c>
      <c r="E1564" s="2">
        <v>10013</v>
      </c>
      <c r="F1564" s="2" t="s">
        <v>35</v>
      </c>
      <c r="G1564" s="2" t="s">
        <v>36</v>
      </c>
      <c r="H1564" s="2">
        <v>1</v>
      </c>
      <c r="I1564" s="2" t="s">
        <v>17</v>
      </c>
      <c r="J1564" s="2" t="str">
        <f>VLOOKUP(E1564,[1]LL_Hub!$A$1:$B$13,2,FALSE)</f>
        <v>New York</v>
      </c>
      <c r="K1564" t="str">
        <f>VLOOKUP(D1564,'[2]product Table data'!$A$2:$B$12,2,FALSE)</f>
        <v>Female</v>
      </c>
      <c r="L1564" t="str">
        <f>VLOOKUP($D1564,'[2]product Table data'!$A$2:$G$12,L$1,FALSE)</f>
        <v>Casual n Light</v>
      </c>
      <c r="M1564" t="str">
        <f>VLOOKUP($D1564,'[2]product Table data'!$A$2:$G$12,M$1,FALSE)</f>
        <v>Honduras</v>
      </c>
      <c r="N1564" t="str">
        <f>VLOOKUP($D1564,'[2]product Table data'!$A$2:$G$12,N$1,FALSE)</f>
        <v>Central America</v>
      </c>
      <c r="O1564">
        <f>VLOOKUP($D1564,'[2]product Table data'!$A$2:$G$12,O$1,FALSE)</f>
        <v>30</v>
      </c>
      <c r="P1564">
        <f>VLOOKUP($D1564,'[2]product Table data'!$A$2:$G$12,P$1,FALSE)</f>
        <v>45</v>
      </c>
      <c r="Q1564">
        <f t="shared" si="125"/>
        <v>15</v>
      </c>
      <c r="R1564" t="str">
        <f t="shared" si="126"/>
        <v>-</v>
      </c>
      <c r="S1564" t="str">
        <f t="shared" si="127"/>
        <v>Style Risk</v>
      </c>
      <c r="T1564" t="str">
        <f t="shared" si="128"/>
        <v>-</v>
      </c>
      <c r="U1564" t="str">
        <f t="shared" si="129"/>
        <v>High Value</v>
      </c>
    </row>
    <row r="1565" spans="1:21" hidden="1" x14ac:dyDescent="0.2">
      <c r="A1565" s="2">
        <v>1563</v>
      </c>
      <c r="B1565" s="2" t="s">
        <v>9</v>
      </c>
      <c r="C1565" s="2" t="s">
        <v>2202</v>
      </c>
      <c r="D1565" s="2" t="s">
        <v>505</v>
      </c>
      <c r="E1565" s="2">
        <v>10013</v>
      </c>
      <c r="F1565" s="2" t="s">
        <v>35</v>
      </c>
      <c r="G1565" s="2" t="s">
        <v>36</v>
      </c>
      <c r="H1565" s="2">
        <v>1</v>
      </c>
      <c r="I1565" s="2" t="s">
        <v>17</v>
      </c>
      <c r="J1565" s="2" t="str">
        <f>VLOOKUP(E1565,[1]LL_Hub!$A$1:$B$13,2,FALSE)</f>
        <v>New York</v>
      </c>
      <c r="K1565" t="str">
        <f>VLOOKUP(D1565,'[2]product Table data'!$A$2:$B$12,2,FALSE)</f>
        <v>Female</v>
      </c>
      <c r="L1565" t="str">
        <f>VLOOKUP($D1565,'[2]product Table data'!$A$2:$G$12,L$1,FALSE)</f>
        <v>Casual n Light</v>
      </c>
      <c r="M1565" t="str">
        <f>VLOOKUP($D1565,'[2]product Table data'!$A$2:$G$12,M$1,FALSE)</f>
        <v>Honduras</v>
      </c>
      <c r="N1565" t="str">
        <f>VLOOKUP($D1565,'[2]product Table data'!$A$2:$G$12,N$1,FALSE)</f>
        <v>Central America</v>
      </c>
      <c r="O1565">
        <f>VLOOKUP($D1565,'[2]product Table data'!$A$2:$G$12,O$1,FALSE)</f>
        <v>30</v>
      </c>
      <c r="P1565">
        <f>VLOOKUP($D1565,'[2]product Table data'!$A$2:$G$12,P$1,FALSE)</f>
        <v>45</v>
      </c>
      <c r="Q1565">
        <f t="shared" si="125"/>
        <v>15</v>
      </c>
      <c r="R1565" t="str">
        <f t="shared" si="126"/>
        <v>-</v>
      </c>
      <c r="S1565" t="str">
        <f t="shared" si="127"/>
        <v>Style Risk</v>
      </c>
      <c r="T1565" t="str">
        <f t="shared" si="128"/>
        <v>-</v>
      </c>
      <c r="U1565" t="str">
        <f t="shared" si="129"/>
        <v>High Value</v>
      </c>
    </row>
    <row r="1566" spans="1:21" hidden="1" x14ac:dyDescent="0.2">
      <c r="A1566" s="2">
        <v>1564</v>
      </c>
      <c r="B1566" s="2" t="s">
        <v>9</v>
      </c>
      <c r="C1566" s="2" t="s">
        <v>2203</v>
      </c>
      <c r="D1566" s="2" t="s">
        <v>505</v>
      </c>
      <c r="E1566" s="2">
        <v>10013</v>
      </c>
      <c r="F1566" s="2" t="s">
        <v>35</v>
      </c>
      <c r="G1566" s="2" t="s">
        <v>36</v>
      </c>
      <c r="H1566" s="2">
        <v>1</v>
      </c>
      <c r="I1566" s="2" t="s">
        <v>17</v>
      </c>
      <c r="J1566" s="2" t="str">
        <f>VLOOKUP(E1566,[1]LL_Hub!$A$1:$B$13,2,FALSE)</f>
        <v>New York</v>
      </c>
      <c r="K1566" t="str">
        <f>VLOOKUP(D1566,'[2]product Table data'!$A$2:$B$12,2,FALSE)</f>
        <v>Female</v>
      </c>
      <c r="L1566" t="str">
        <f>VLOOKUP($D1566,'[2]product Table data'!$A$2:$G$12,L$1,FALSE)</f>
        <v>Casual n Light</v>
      </c>
      <c r="M1566" t="str">
        <f>VLOOKUP($D1566,'[2]product Table data'!$A$2:$G$12,M$1,FALSE)</f>
        <v>Honduras</v>
      </c>
      <c r="N1566" t="str">
        <f>VLOOKUP($D1566,'[2]product Table data'!$A$2:$G$12,N$1,FALSE)</f>
        <v>Central America</v>
      </c>
      <c r="O1566">
        <f>VLOOKUP($D1566,'[2]product Table data'!$A$2:$G$12,O$1,FALSE)</f>
        <v>30</v>
      </c>
      <c r="P1566">
        <f>VLOOKUP($D1566,'[2]product Table data'!$A$2:$G$12,P$1,FALSE)</f>
        <v>45</v>
      </c>
      <c r="Q1566">
        <f t="shared" si="125"/>
        <v>15</v>
      </c>
      <c r="R1566" t="str">
        <f t="shared" si="126"/>
        <v>-</v>
      </c>
      <c r="S1566" t="str">
        <f t="shared" si="127"/>
        <v>Style Risk</v>
      </c>
      <c r="T1566" t="str">
        <f t="shared" si="128"/>
        <v>-</v>
      </c>
      <c r="U1566" t="str">
        <f t="shared" si="129"/>
        <v>High Value</v>
      </c>
    </row>
    <row r="1567" spans="1:21" hidden="1" x14ac:dyDescent="0.2">
      <c r="A1567" s="2">
        <v>1565</v>
      </c>
      <c r="B1567" s="2" t="s">
        <v>9</v>
      </c>
      <c r="C1567" s="2" t="s">
        <v>2204</v>
      </c>
      <c r="D1567" s="2" t="s">
        <v>505</v>
      </c>
      <c r="E1567" s="2">
        <v>10013</v>
      </c>
      <c r="F1567" s="2" t="s">
        <v>35</v>
      </c>
      <c r="G1567" s="2" t="s">
        <v>36</v>
      </c>
      <c r="H1567" s="2">
        <v>1</v>
      </c>
      <c r="I1567" s="2" t="s">
        <v>17</v>
      </c>
      <c r="J1567" s="2" t="str">
        <f>VLOOKUP(E1567,[1]LL_Hub!$A$1:$B$13,2,FALSE)</f>
        <v>New York</v>
      </c>
      <c r="K1567" t="str">
        <f>VLOOKUP(D1567,'[2]product Table data'!$A$2:$B$12,2,FALSE)</f>
        <v>Female</v>
      </c>
      <c r="L1567" t="str">
        <f>VLOOKUP($D1567,'[2]product Table data'!$A$2:$G$12,L$1,FALSE)</f>
        <v>Casual n Light</v>
      </c>
      <c r="M1567" t="str">
        <f>VLOOKUP($D1567,'[2]product Table data'!$A$2:$G$12,M$1,FALSE)</f>
        <v>Honduras</v>
      </c>
      <c r="N1567" t="str">
        <f>VLOOKUP($D1567,'[2]product Table data'!$A$2:$G$12,N$1,FALSE)</f>
        <v>Central America</v>
      </c>
      <c r="O1567">
        <f>VLOOKUP($D1567,'[2]product Table data'!$A$2:$G$12,O$1,FALSE)</f>
        <v>30</v>
      </c>
      <c r="P1567">
        <f>VLOOKUP($D1567,'[2]product Table data'!$A$2:$G$12,P$1,FALSE)</f>
        <v>45</v>
      </c>
      <c r="Q1567">
        <f t="shared" si="125"/>
        <v>15</v>
      </c>
      <c r="R1567" t="str">
        <f t="shared" si="126"/>
        <v>-</v>
      </c>
      <c r="S1567" t="str">
        <f t="shared" si="127"/>
        <v>Style Risk</v>
      </c>
      <c r="T1567" t="str">
        <f t="shared" si="128"/>
        <v>-</v>
      </c>
      <c r="U1567" t="str">
        <f t="shared" si="129"/>
        <v>High Value</v>
      </c>
    </row>
    <row r="1568" spans="1:21" hidden="1" x14ac:dyDescent="0.2">
      <c r="A1568" s="2">
        <v>1566</v>
      </c>
      <c r="B1568" s="2" t="s">
        <v>9</v>
      </c>
      <c r="C1568" s="2" t="s">
        <v>2205</v>
      </c>
      <c r="D1568" s="2" t="s">
        <v>505</v>
      </c>
      <c r="E1568" s="2">
        <v>10013</v>
      </c>
      <c r="F1568" s="2" t="s">
        <v>35</v>
      </c>
      <c r="G1568" s="2" t="s">
        <v>36</v>
      </c>
      <c r="H1568" s="2">
        <v>1</v>
      </c>
      <c r="I1568" s="2" t="s">
        <v>17</v>
      </c>
      <c r="J1568" s="2" t="str">
        <f>VLOOKUP(E1568,[1]LL_Hub!$A$1:$B$13,2,FALSE)</f>
        <v>New York</v>
      </c>
      <c r="K1568" t="str">
        <f>VLOOKUP(D1568,'[2]product Table data'!$A$2:$B$12,2,FALSE)</f>
        <v>Female</v>
      </c>
      <c r="L1568" t="str">
        <f>VLOOKUP($D1568,'[2]product Table data'!$A$2:$G$12,L$1,FALSE)</f>
        <v>Casual n Light</v>
      </c>
      <c r="M1568" t="str">
        <f>VLOOKUP($D1568,'[2]product Table data'!$A$2:$G$12,M$1,FALSE)</f>
        <v>Honduras</v>
      </c>
      <c r="N1568" t="str">
        <f>VLOOKUP($D1568,'[2]product Table data'!$A$2:$G$12,N$1,FALSE)</f>
        <v>Central America</v>
      </c>
      <c r="O1568">
        <f>VLOOKUP($D1568,'[2]product Table data'!$A$2:$G$12,O$1,FALSE)</f>
        <v>30</v>
      </c>
      <c r="P1568">
        <f>VLOOKUP($D1568,'[2]product Table data'!$A$2:$G$12,P$1,FALSE)</f>
        <v>45</v>
      </c>
      <c r="Q1568">
        <f t="shared" si="125"/>
        <v>15</v>
      </c>
      <c r="R1568" t="str">
        <f t="shared" si="126"/>
        <v>-</v>
      </c>
      <c r="S1568" t="str">
        <f t="shared" si="127"/>
        <v>Style Risk</v>
      </c>
      <c r="T1568" t="str">
        <f t="shared" si="128"/>
        <v>-</v>
      </c>
      <c r="U1568" t="str">
        <f t="shared" si="129"/>
        <v>High Value</v>
      </c>
    </row>
    <row r="1569" spans="1:21" hidden="1" x14ac:dyDescent="0.2">
      <c r="A1569" s="2">
        <v>1567</v>
      </c>
      <c r="B1569" s="2" t="s">
        <v>9</v>
      </c>
      <c r="C1569" s="2" t="s">
        <v>2206</v>
      </c>
      <c r="D1569" s="2" t="s">
        <v>505</v>
      </c>
      <c r="E1569" s="2">
        <v>10013</v>
      </c>
      <c r="F1569" s="2" t="s">
        <v>35</v>
      </c>
      <c r="G1569" s="2" t="s">
        <v>36</v>
      </c>
      <c r="H1569" s="2">
        <v>1</v>
      </c>
      <c r="I1569" s="2" t="s">
        <v>17</v>
      </c>
      <c r="J1569" s="2" t="str">
        <f>VLOOKUP(E1569,[1]LL_Hub!$A$1:$B$13,2,FALSE)</f>
        <v>New York</v>
      </c>
      <c r="K1569" t="str">
        <f>VLOOKUP(D1569,'[2]product Table data'!$A$2:$B$12,2,FALSE)</f>
        <v>Female</v>
      </c>
      <c r="L1569" t="str">
        <f>VLOOKUP($D1569,'[2]product Table data'!$A$2:$G$12,L$1,FALSE)</f>
        <v>Casual n Light</v>
      </c>
      <c r="M1569" t="str">
        <f>VLOOKUP($D1569,'[2]product Table data'!$A$2:$G$12,M$1,FALSE)</f>
        <v>Honduras</v>
      </c>
      <c r="N1569" t="str">
        <f>VLOOKUP($D1569,'[2]product Table data'!$A$2:$G$12,N$1,FALSE)</f>
        <v>Central America</v>
      </c>
      <c r="O1569">
        <f>VLOOKUP($D1569,'[2]product Table data'!$A$2:$G$12,O$1,FALSE)</f>
        <v>30</v>
      </c>
      <c r="P1569">
        <f>VLOOKUP($D1569,'[2]product Table data'!$A$2:$G$12,P$1,FALSE)</f>
        <v>45</v>
      </c>
      <c r="Q1569">
        <f t="shared" si="125"/>
        <v>15</v>
      </c>
      <c r="R1569" t="str">
        <f t="shared" si="126"/>
        <v>-</v>
      </c>
      <c r="S1569" t="str">
        <f t="shared" si="127"/>
        <v>Style Risk</v>
      </c>
      <c r="T1569" t="str">
        <f t="shared" si="128"/>
        <v>-</v>
      </c>
      <c r="U1569" t="str">
        <f t="shared" si="129"/>
        <v>High Value</v>
      </c>
    </row>
    <row r="1570" spans="1:21" hidden="1" x14ac:dyDescent="0.2">
      <c r="A1570" s="2">
        <v>1568</v>
      </c>
      <c r="B1570" s="2" t="s">
        <v>9</v>
      </c>
      <c r="C1570" s="2" t="s">
        <v>2207</v>
      </c>
      <c r="D1570" s="2" t="s">
        <v>505</v>
      </c>
      <c r="E1570" s="2">
        <v>10013</v>
      </c>
      <c r="F1570" s="2" t="s">
        <v>35</v>
      </c>
      <c r="G1570" s="2" t="s">
        <v>36</v>
      </c>
      <c r="H1570" s="2">
        <v>1</v>
      </c>
      <c r="I1570" s="2" t="s">
        <v>17</v>
      </c>
      <c r="J1570" s="2" t="str">
        <f>VLOOKUP(E1570,[1]LL_Hub!$A$1:$B$13,2,FALSE)</f>
        <v>New York</v>
      </c>
      <c r="K1570" t="str">
        <f>VLOOKUP(D1570,'[2]product Table data'!$A$2:$B$12,2,FALSE)</f>
        <v>Female</v>
      </c>
      <c r="L1570" t="str">
        <f>VLOOKUP($D1570,'[2]product Table data'!$A$2:$G$12,L$1,FALSE)</f>
        <v>Casual n Light</v>
      </c>
      <c r="M1570" t="str">
        <f>VLOOKUP($D1570,'[2]product Table data'!$A$2:$G$12,M$1,FALSE)</f>
        <v>Honduras</v>
      </c>
      <c r="N1570" t="str">
        <f>VLOOKUP($D1570,'[2]product Table data'!$A$2:$G$12,N$1,FALSE)</f>
        <v>Central America</v>
      </c>
      <c r="O1570">
        <f>VLOOKUP($D1570,'[2]product Table data'!$A$2:$G$12,O$1,FALSE)</f>
        <v>30</v>
      </c>
      <c r="P1570">
        <f>VLOOKUP($D1570,'[2]product Table data'!$A$2:$G$12,P$1,FALSE)</f>
        <v>45</v>
      </c>
      <c r="Q1570">
        <f t="shared" si="125"/>
        <v>15</v>
      </c>
      <c r="R1570" t="str">
        <f t="shared" si="126"/>
        <v>-</v>
      </c>
      <c r="S1570" t="str">
        <f t="shared" si="127"/>
        <v>Style Risk</v>
      </c>
      <c r="T1570" t="str">
        <f t="shared" si="128"/>
        <v>-</v>
      </c>
      <c r="U1570" t="str">
        <f t="shared" si="129"/>
        <v>High Value</v>
      </c>
    </row>
    <row r="1571" spans="1:21" hidden="1" x14ac:dyDescent="0.2">
      <c r="A1571" s="2">
        <v>1569</v>
      </c>
      <c r="B1571" s="2" t="s">
        <v>9</v>
      </c>
      <c r="C1571" s="2" t="s">
        <v>2208</v>
      </c>
      <c r="D1571" s="2" t="s">
        <v>505</v>
      </c>
      <c r="E1571" s="2">
        <v>10013</v>
      </c>
      <c r="F1571" s="2" t="s">
        <v>35</v>
      </c>
      <c r="G1571" s="2" t="s">
        <v>36</v>
      </c>
      <c r="H1571" s="2">
        <v>1</v>
      </c>
      <c r="I1571" s="2" t="s">
        <v>17</v>
      </c>
      <c r="J1571" s="2" t="str">
        <f>VLOOKUP(E1571,[1]LL_Hub!$A$1:$B$13,2,FALSE)</f>
        <v>New York</v>
      </c>
      <c r="K1571" t="str">
        <f>VLOOKUP(D1571,'[2]product Table data'!$A$2:$B$12,2,FALSE)</f>
        <v>Female</v>
      </c>
      <c r="L1571" t="str">
        <f>VLOOKUP($D1571,'[2]product Table data'!$A$2:$G$12,L$1,FALSE)</f>
        <v>Casual n Light</v>
      </c>
      <c r="M1571" t="str">
        <f>VLOOKUP($D1571,'[2]product Table data'!$A$2:$G$12,M$1,FALSE)</f>
        <v>Honduras</v>
      </c>
      <c r="N1571" t="str">
        <f>VLOOKUP($D1571,'[2]product Table data'!$A$2:$G$12,N$1,FALSE)</f>
        <v>Central America</v>
      </c>
      <c r="O1571">
        <f>VLOOKUP($D1571,'[2]product Table data'!$A$2:$G$12,O$1,FALSE)</f>
        <v>30</v>
      </c>
      <c r="P1571">
        <f>VLOOKUP($D1571,'[2]product Table data'!$A$2:$G$12,P$1,FALSE)</f>
        <v>45</v>
      </c>
      <c r="Q1571">
        <f t="shared" si="125"/>
        <v>15</v>
      </c>
      <c r="R1571" t="str">
        <f t="shared" si="126"/>
        <v>-</v>
      </c>
      <c r="S1571" t="str">
        <f t="shared" si="127"/>
        <v>Style Risk</v>
      </c>
      <c r="T1571" t="str">
        <f t="shared" si="128"/>
        <v>-</v>
      </c>
      <c r="U1571" t="str">
        <f t="shared" si="129"/>
        <v>High Value</v>
      </c>
    </row>
    <row r="1572" spans="1:21" hidden="1" x14ac:dyDescent="0.2">
      <c r="A1572" s="2">
        <v>1570</v>
      </c>
      <c r="B1572" s="2" t="s">
        <v>9</v>
      </c>
      <c r="C1572" s="2" t="s">
        <v>2209</v>
      </c>
      <c r="D1572" s="2" t="s">
        <v>505</v>
      </c>
      <c r="E1572" s="2">
        <v>10013</v>
      </c>
      <c r="F1572" s="2" t="s">
        <v>35</v>
      </c>
      <c r="G1572" s="2" t="s">
        <v>36</v>
      </c>
      <c r="H1572" s="2">
        <v>1</v>
      </c>
      <c r="I1572" s="2" t="s">
        <v>17</v>
      </c>
      <c r="J1572" s="2" t="str">
        <f>VLOOKUP(E1572,[1]LL_Hub!$A$1:$B$13,2,FALSE)</f>
        <v>New York</v>
      </c>
      <c r="K1572" t="str">
        <f>VLOOKUP(D1572,'[2]product Table data'!$A$2:$B$12,2,FALSE)</f>
        <v>Female</v>
      </c>
      <c r="L1572" t="str">
        <f>VLOOKUP($D1572,'[2]product Table data'!$A$2:$G$12,L$1,FALSE)</f>
        <v>Casual n Light</v>
      </c>
      <c r="M1572" t="str">
        <f>VLOOKUP($D1572,'[2]product Table data'!$A$2:$G$12,M$1,FALSE)</f>
        <v>Honduras</v>
      </c>
      <c r="N1572" t="str">
        <f>VLOOKUP($D1572,'[2]product Table data'!$A$2:$G$12,N$1,FALSE)</f>
        <v>Central America</v>
      </c>
      <c r="O1572">
        <f>VLOOKUP($D1572,'[2]product Table data'!$A$2:$G$12,O$1,FALSE)</f>
        <v>30</v>
      </c>
      <c r="P1572">
        <f>VLOOKUP($D1572,'[2]product Table data'!$A$2:$G$12,P$1,FALSE)</f>
        <v>45</v>
      </c>
      <c r="Q1572">
        <f t="shared" si="125"/>
        <v>15</v>
      </c>
      <c r="R1572" t="str">
        <f t="shared" si="126"/>
        <v>-</v>
      </c>
      <c r="S1572" t="str">
        <f t="shared" si="127"/>
        <v>Style Risk</v>
      </c>
      <c r="T1572" t="str">
        <f t="shared" si="128"/>
        <v>-</v>
      </c>
      <c r="U1572" t="str">
        <f t="shared" si="129"/>
        <v>High Value</v>
      </c>
    </row>
    <row r="1573" spans="1:21" hidden="1" x14ac:dyDescent="0.2">
      <c r="A1573" s="2">
        <v>1571</v>
      </c>
      <c r="B1573" s="2" t="s">
        <v>9</v>
      </c>
      <c r="C1573" s="2" t="s">
        <v>2210</v>
      </c>
      <c r="D1573" s="2" t="s">
        <v>505</v>
      </c>
      <c r="E1573" s="2">
        <v>10013</v>
      </c>
      <c r="F1573" s="2" t="s">
        <v>35</v>
      </c>
      <c r="G1573" s="2" t="s">
        <v>36</v>
      </c>
      <c r="H1573" s="2">
        <v>1</v>
      </c>
      <c r="I1573" s="2" t="s">
        <v>17</v>
      </c>
      <c r="J1573" s="2" t="str">
        <f>VLOOKUP(E1573,[1]LL_Hub!$A$1:$B$13,2,FALSE)</f>
        <v>New York</v>
      </c>
      <c r="K1573" t="str">
        <f>VLOOKUP(D1573,'[2]product Table data'!$A$2:$B$12,2,FALSE)</f>
        <v>Female</v>
      </c>
      <c r="L1573" t="str">
        <f>VLOOKUP($D1573,'[2]product Table data'!$A$2:$G$12,L$1,FALSE)</f>
        <v>Casual n Light</v>
      </c>
      <c r="M1573" t="str">
        <f>VLOOKUP($D1573,'[2]product Table data'!$A$2:$G$12,M$1,FALSE)</f>
        <v>Honduras</v>
      </c>
      <c r="N1573" t="str">
        <f>VLOOKUP($D1573,'[2]product Table data'!$A$2:$G$12,N$1,FALSE)</f>
        <v>Central America</v>
      </c>
      <c r="O1573">
        <f>VLOOKUP($D1573,'[2]product Table data'!$A$2:$G$12,O$1,FALSE)</f>
        <v>30</v>
      </c>
      <c r="P1573">
        <f>VLOOKUP($D1573,'[2]product Table data'!$A$2:$G$12,P$1,FALSE)</f>
        <v>45</v>
      </c>
      <c r="Q1573">
        <f t="shared" si="125"/>
        <v>15</v>
      </c>
      <c r="R1573" t="str">
        <f t="shared" si="126"/>
        <v>-</v>
      </c>
      <c r="S1573" t="str">
        <f t="shared" si="127"/>
        <v>Style Risk</v>
      </c>
      <c r="T1573" t="str">
        <f t="shared" si="128"/>
        <v>-</v>
      </c>
      <c r="U1573" t="str">
        <f t="shared" si="129"/>
        <v>High Value</v>
      </c>
    </row>
    <row r="1574" spans="1:21" hidden="1" x14ac:dyDescent="0.2">
      <c r="A1574" s="2">
        <v>1572</v>
      </c>
      <c r="B1574" s="2" t="s">
        <v>9</v>
      </c>
      <c r="C1574" s="2" t="s">
        <v>2211</v>
      </c>
      <c r="D1574" s="2" t="s">
        <v>505</v>
      </c>
      <c r="E1574" s="2">
        <v>10013</v>
      </c>
      <c r="F1574" s="2" t="s">
        <v>35</v>
      </c>
      <c r="G1574" s="2" t="s">
        <v>36</v>
      </c>
      <c r="H1574" s="2">
        <v>1</v>
      </c>
      <c r="I1574" s="2" t="s">
        <v>17</v>
      </c>
      <c r="J1574" s="2" t="str">
        <f>VLOOKUP(E1574,[1]LL_Hub!$A$1:$B$13,2,FALSE)</f>
        <v>New York</v>
      </c>
      <c r="K1574" t="str">
        <f>VLOOKUP(D1574,'[2]product Table data'!$A$2:$B$12,2,FALSE)</f>
        <v>Female</v>
      </c>
      <c r="L1574" t="str">
        <f>VLOOKUP($D1574,'[2]product Table data'!$A$2:$G$12,L$1,FALSE)</f>
        <v>Casual n Light</v>
      </c>
      <c r="M1574" t="str">
        <f>VLOOKUP($D1574,'[2]product Table data'!$A$2:$G$12,M$1,FALSE)</f>
        <v>Honduras</v>
      </c>
      <c r="N1574" t="str">
        <f>VLOOKUP($D1574,'[2]product Table data'!$A$2:$G$12,N$1,FALSE)</f>
        <v>Central America</v>
      </c>
      <c r="O1574">
        <f>VLOOKUP($D1574,'[2]product Table data'!$A$2:$G$12,O$1,FALSE)</f>
        <v>30</v>
      </c>
      <c r="P1574">
        <f>VLOOKUP($D1574,'[2]product Table data'!$A$2:$G$12,P$1,FALSE)</f>
        <v>45</v>
      </c>
      <c r="Q1574">
        <f t="shared" si="125"/>
        <v>15</v>
      </c>
      <c r="R1574" t="str">
        <f t="shared" si="126"/>
        <v>-</v>
      </c>
      <c r="S1574" t="str">
        <f t="shared" si="127"/>
        <v>Style Risk</v>
      </c>
      <c r="T1574" t="str">
        <f t="shared" si="128"/>
        <v>-</v>
      </c>
      <c r="U1574" t="str">
        <f t="shared" si="129"/>
        <v>High Value</v>
      </c>
    </row>
    <row r="1575" spans="1:21" hidden="1" x14ac:dyDescent="0.2">
      <c r="A1575" s="2">
        <v>1573</v>
      </c>
      <c r="B1575" s="2" t="s">
        <v>9</v>
      </c>
      <c r="C1575" s="2" t="s">
        <v>2212</v>
      </c>
      <c r="D1575" s="2" t="s">
        <v>505</v>
      </c>
      <c r="E1575" s="2">
        <v>10013</v>
      </c>
      <c r="F1575" s="2" t="s">
        <v>35</v>
      </c>
      <c r="G1575" s="2" t="s">
        <v>36</v>
      </c>
      <c r="H1575" s="2">
        <v>1</v>
      </c>
      <c r="I1575" s="2" t="s">
        <v>17</v>
      </c>
      <c r="J1575" s="2" t="str">
        <f>VLOOKUP(E1575,[1]LL_Hub!$A$1:$B$13,2,FALSE)</f>
        <v>New York</v>
      </c>
      <c r="K1575" t="str">
        <f>VLOOKUP(D1575,'[2]product Table data'!$A$2:$B$12,2,FALSE)</f>
        <v>Female</v>
      </c>
      <c r="L1575" t="str">
        <f>VLOOKUP($D1575,'[2]product Table data'!$A$2:$G$12,L$1,FALSE)</f>
        <v>Casual n Light</v>
      </c>
      <c r="M1575" t="str">
        <f>VLOOKUP($D1575,'[2]product Table data'!$A$2:$G$12,M$1,FALSE)</f>
        <v>Honduras</v>
      </c>
      <c r="N1575" t="str">
        <f>VLOOKUP($D1575,'[2]product Table data'!$A$2:$G$12,N$1,FALSE)</f>
        <v>Central America</v>
      </c>
      <c r="O1575">
        <f>VLOOKUP($D1575,'[2]product Table data'!$A$2:$G$12,O$1,FALSE)</f>
        <v>30</v>
      </c>
      <c r="P1575">
        <f>VLOOKUP($D1575,'[2]product Table data'!$A$2:$G$12,P$1,FALSE)</f>
        <v>45</v>
      </c>
      <c r="Q1575">
        <f t="shared" si="125"/>
        <v>15</v>
      </c>
      <c r="R1575" t="str">
        <f t="shared" si="126"/>
        <v>-</v>
      </c>
      <c r="S1575" t="str">
        <f t="shared" si="127"/>
        <v>Style Risk</v>
      </c>
      <c r="T1575" t="str">
        <f t="shared" si="128"/>
        <v>-</v>
      </c>
      <c r="U1575" t="str">
        <f t="shared" si="129"/>
        <v>High Value</v>
      </c>
    </row>
    <row r="1576" spans="1:21" hidden="1" x14ac:dyDescent="0.2">
      <c r="A1576" s="2">
        <v>1574</v>
      </c>
      <c r="B1576" s="2" t="s">
        <v>9</v>
      </c>
      <c r="C1576" s="2" t="s">
        <v>2213</v>
      </c>
      <c r="D1576" s="2" t="s">
        <v>505</v>
      </c>
      <c r="E1576" s="2">
        <v>10013</v>
      </c>
      <c r="F1576" s="2" t="s">
        <v>35</v>
      </c>
      <c r="G1576" s="2" t="s">
        <v>36</v>
      </c>
      <c r="H1576" s="2">
        <v>1</v>
      </c>
      <c r="I1576" s="2" t="s">
        <v>17</v>
      </c>
      <c r="J1576" s="2" t="str">
        <f>VLOOKUP(E1576,[1]LL_Hub!$A$1:$B$13,2,FALSE)</f>
        <v>New York</v>
      </c>
      <c r="K1576" t="str">
        <f>VLOOKUP(D1576,'[2]product Table data'!$A$2:$B$12,2,FALSE)</f>
        <v>Female</v>
      </c>
      <c r="L1576" t="str">
        <f>VLOOKUP($D1576,'[2]product Table data'!$A$2:$G$12,L$1,FALSE)</f>
        <v>Casual n Light</v>
      </c>
      <c r="M1576" t="str">
        <f>VLOOKUP($D1576,'[2]product Table data'!$A$2:$G$12,M$1,FALSE)</f>
        <v>Honduras</v>
      </c>
      <c r="N1576" t="str">
        <f>VLOOKUP($D1576,'[2]product Table data'!$A$2:$G$12,N$1,FALSE)</f>
        <v>Central America</v>
      </c>
      <c r="O1576">
        <f>VLOOKUP($D1576,'[2]product Table data'!$A$2:$G$12,O$1,FALSE)</f>
        <v>30</v>
      </c>
      <c r="P1576">
        <f>VLOOKUP($D1576,'[2]product Table data'!$A$2:$G$12,P$1,FALSE)</f>
        <v>45</v>
      </c>
      <c r="Q1576">
        <f t="shared" si="125"/>
        <v>15</v>
      </c>
      <c r="R1576" t="str">
        <f t="shared" si="126"/>
        <v>-</v>
      </c>
      <c r="S1576" t="str">
        <f t="shared" si="127"/>
        <v>Style Risk</v>
      </c>
      <c r="T1576" t="str">
        <f t="shared" si="128"/>
        <v>-</v>
      </c>
      <c r="U1576" t="str">
        <f t="shared" si="129"/>
        <v>High Value</v>
      </c>
    </row>
    <row r="1577" spans="1:21" hidden="1" x14ac:dyDescent="0.2">
      <c r="A1577" s="2">
        <v>1575</v>
      </c>
      <c r="B1577" s="2" t="s">
        <v>9</v>
      </c>
      <c r="C1577" s="2" t="s">
        <v>2214</v>
      </c>
      <c r="D1577" s="2" t="s">
        <v>505</v>
      </c>
      <c r="E1577" s="2">
        <v>10013</v>
      </c>
      <c r="F1577" s="2" t="s">
        <v>35</v>
      </c>
      <c r="G1577" s="2" t="s">
        <v>36</v>
      </c>
      <c r="H1577" s="2">
        <v>1</v>
      </c>
      <c r="I1577" s="2" t="s">
        <v>17</v>
      </c>
      <c r="J1577" s="2" t="str">
        <f>VLOOKUP(E1577,[1]LL_Hub!$A$1:$B$13,2,FALSE)</f>
        <v>New York</v>
      </c>
      <c r="K1577" t="str">
        <f>VLOOKUP(D1577,'[2]product Table data'!$A$2:$B$12,2,FALSE)</f>
        <v>Female</v>
      </c>
      <c r="L1577" t="str">
        <f>VLOOKUP($D1577,'[2]product Table data'!$A$2:$G$12,L$1,FALSE)</f>
        <v>Casual n Light</v>
      </c>
      <c r="M1577" t="str">
        <f>VLOOKUP($D1577,'[2]product Table data'!$A$2:$G$12,M$1,FALSE)</f>
        <v>Honduras</v>
      </c>
      <c r="N1577" t="str">
        <f>VLOOKUP($D1577,'[2]product Table data'!$A$2:$G$12,N$1,FALSE)</f>
        <v>Central America</v>
      </c>
      <c r="O1577">
        <f>VLOOKUP($D1577,'[2]product Table data'!$A$2:$G$12,O$1,FALSE)</f>
        <v>30</v>
      </c>
      <c r="P1577">
        <f>VLOOKUP($D1577,'[2]product Table data'!$A$2:$G$12,P$1,FALSE)</f>
        <v>45</v>
      </c>
      <c r="Q1577">
        <f t="shared" si="125"/>
        <v>15</v>
      </c>
      <c r="R1577" t="str">
        <f t="shared" si="126"/>
        <v>-</v>
      </c>
      <c r="S1577" t="str">
        <f t="shared" si="127"/>
        <v>Style Risk</v>
      </c>
      <c r="T1577" t="str">
        <f t="shared" si="128"/>
        <v>-</v>
      </c>
      <c r="U1577" t="str">
        <f t="shared" si="129"/>
        <v>High Value</v>
      </c>
    </row>
    <row r="1578" spans="1:21" hidden="1" x14ac:dyDescent="0.2">
      <c r="A1578" s="2">
        <v>1576</v>
      </c>
      <c r="B1578" s="2" t="s">
        <v>9</v>
      </c>
      <c r="C1578" s="2" t="s">
        <v>2215</v>
      </c>
      <c r="D1578" s="2" t="s">
        <v>505</v>
      </c>
      <c r="E1578" s="2">
        <v>10013</v>
      </c>
      <c r="F1578" s="2" t="s">
        <v>35</v>
      </c>
      <c r="G1578" s="2" t="s">
        <v>36</v>
      </c>
      <c r="H1578" s="2">
        <v>1</v>
      </c>
      <c r="I1578" s="2" t="s">
        <v>17</v>
      </c>
      <c r="J1578" s="2" t="str">
        <f>VLOOKUP(E1578,[1]LL_Hub!$A$1:$B$13,2,FALSE)</f>
        <v>New York</v>
      </c>
      <c r="K1578" t="str">
        <f>VLOOKUP(D1578,'[2]product Table data'!$A$2:$B$12,2,FALSE)</f>
        <v>Female</v>
      </c>
      <c r="L1578" t="str">
        <f>VLOOKUP($D1578,'[2]product Table data'!$A$2:$G$12,L$1,FALSE)</f>
        <v>Casual n Light</v>
      </c>
      <c r="M1578" t="str">
        <f>VLOOKUP($D1578,'[2]product Table data'!$A$2:$G$12,M$1,FALSE)</f>
        <v>Honduras</v>
      </c>
      <c r="N1578" t="str">
        <f>VLOOKUP($D1578,'[2]product Table data'!$A$2:$G$12,N$1,FALSE)</f>
        <v>Central America</v>
      </c>
      <c r="O1578">
        <f>VLOOKUP($D1578,'[2]product Table data'!$A$2:$G$12,O$1,FALSE)</f>
        <v>30</v>
      </c>
      <c r="P1578">
        <f>VLOOKUP($D1578,'[2]product Table data'!$A$2:$G$12,P$1,FALSE)</f>
        <v>45</v>
      </c>
      <c r="Q1578">
        <f t="shared" si="125"/>
        <v>15</v>
      </c>
      <c r="R1578" t="str">
        <f t="shared" si="126"/>
        <v>-</v>
      </c>
      <c r="S1578" t="str">
        <f t="shared" si="127"/>
        <v>Style Risk</v>
      </c>
      <c r="T1578" t="str">
        <f t="shared" si="128"/>
        <v>-</v>
      </c>
      <c r="U1578" t="str">
        <f t="shared" si="129"/>
        <v>High Value</v>
      </c>
    </row>
    <row r="1579" spans="1:21" hidden="1" x14ac:dyDescent="0.2">
      <c r="A1579" s="2">
        <v>1577</v>
      </c>
      <c r="B1579" s="2" t="s">
        <v>9</v>
      </c>
      <c r="C1579" s="2" t="s">
        <v>2216</v>
      </c>
      <c r="D1579" s="2" t="s">
        <v>505</v>
      </c>
      <c r="E1579" s="2">
        <v>10013</v>
      </c>
      <c r="F1579" s="2" t="s">
        <v>35</v>
      </c>
      <c r="G1579" s="2" t="s">
        <v>36</v>
      </c>
      <c r="H1579" s="2">
        <v>1</v>
      </c>
      <c r="I1579" s="2" t="s">
        <v>17</v>
      </c>
      <c r="J1579" s="2" t="str">
        <f>VLOOKUP(E1579,[1]LL_Hub!$A$1:$B$13,2,FALSE)</f>
        <v>New York</v>
      </c>
      <c r="K1579" t="str">
        <f>VLOOKUP(D1579,'[2]product Table data'!$A$2:$B$12,2,FALSE)</f>
        <v>Female</v>
      </c>
      <c r="L1579" t="str">
        <f>VLOOKUP($D1579,'[2]product Table data'!$A$2:$G$12,L$1,FALSE)</f>
        <v>Casual n Light</v>
      </c>
      <c r="M1579" t="str">
        <f>VLOOKUP($D1579,'[2]product Table data'!$A$2:$G$12,M$1,FALSE)</f>
        <v>Honduras</v>
      </c>
      <c r="N1579" t="str">
        <f>VLOOKUP($D1579,'[2]product Table data'!$A$2:$G$12,N$1,FALSE)</f>
        <v>Central America</v>
      </c>
      <c r="O1579">
        <f>VLOOKUP($D1579,'[2]product Table data'!$A$2:$G$12,O$1,FALSE)</f>
        <v>30</v>
      </c>
      <c r="P1579">
        <f>VLOOKUP($D1579,'[2]product Table data'!$A$2:$G$12,P$1,FALSE)</f>
        <v>45</v>
      </c>
      <c r="Q1579">
        <f t="shared" si="125"/>
        <v>15</v>
      </c>
      <c r="R1579" t="str">
        <f t="shared" si="126"/>
        <v>-</v>
      </c>
      <c r="S1579" t="str">
        <f t="shared" si="127"/>
        <v>Style Risk</v>
      </c>
      <c r="T1579" t="str">
        <f t="shared" si="128"/>
        <v>-</v>
      </c>
      <c r="U1579" t="str">
        <f t="shared" si="129"/>
        <v>High Value</v>
      </c>
    </row>
    <row r="1580" spans="1:21" hidden="1" x14ac:dyDescent="0.2">
      <c r="A1580" s="2">
        <v>1578</v>
      </c>
      <c r="B1580" s="2" t="s">
        <v>9</v>
      </c>
      <c r="C1580" s="2" t="s">
        <v>2217</v>
      </c>
      <c r="D1580" s="2" t="s">
        <v>505</v>
      </c>
      <c r="E1580" s="2">
        <v>10013</v>
      </c>
      <c r="F1580" s="2" t="s">
        <v>35</v>
      </c>
      <c r="G1580" s="2" t="s">
        <v>36</v>
      </c>
      <c r="H1580" s="2">
        <v>1</v>
      </c>
      <c r="I1580" s="2" t="s">
        <v>17</v>
      </c>
      <c r="J1580" s="2" t="str">
        <f>VLOOKUP(E1580,[1]LL_Hub!$A$1:$B$13,2,FALSE)</f>
        <v>New York</v>
      </c>
      <c r="K1580" t="str">
        <f>VLOOKUP(D1580,'[2]product Table data'!$A$2:$B$12,2,FALSE)</f>
        <v>Female</v>
      </c>
      <c r="L1580" t="str">
        <f>VLOOKUP($D1580,'[2]product Table data'!$A$2:$G$12,L$1,FALSE)</f>
        <v>Casual n Light</v>
      </c>
      <c r="M1580" t="str">
        <f>VLOOKUP($D1580,'[2]product Table data'!$A$2:$G$12,M$1,FALSE)</f>
        <v>Honduras</v>
      </c>
      <c r="N1580" t="str">
        <f>VLOOKUP($D1580,'[2]product Table data'!$A$2:$G$12,N$1,FALSE)</f>
        <v>Central America</v>
      </c>
      <c r="O1580">
        <f>VLOOKUP($D1580,'[2]product Table data'!$A$2:$G$12,O$1,FALSE)</f>
        <v>30</v>
      </c>
      <c r="P1580">
        <f>VLOOKUP($D1580,'[2]product Table data'!$A$2:$G$12,P$1,FALSE)</f>
        <v>45</v>
      </c>
      <c r="Q1580">
        <f t="shared" si="125"/>
        <v>15</v>
      </c>
      <c r="R1580" t="str">
        <f t="shared" si="126"/>
        <v>-</v>
      </c>
      <c r="S1580" t="str">
        <f t="shared" si="127"/>
        <v>Style Risk</v>
      </c>
      <c r="T1580" t="str">
        <f t="shared" si="128"/>
        <v>-</v>
      </c>
      <c r="U1580" t="str">
        <f t="shared" si="129"/>
        <v>High Value</v>
      </c>
    </row>
    <row r="1581" spans="1:21" hidden="1" x14ac:dyDescent="0.2">
      <c r="A1581" s="2">
        <v>1579</v>
      </c>
      <c r="B1581" s="2" t="s">
        <v>9</v>
      </c>
      <c r="C1581" s="2" t="s">
        <v>2218</v>
      </c>
      <c r="D1581" s="2" t="s">
        <v>505</v>
      </c>
      <c r="E1581" s="2">
        <v>10013</v>
      </c>
      <c r="F1581" s="2" t="s">
        <v>35</v>
      </c>
      <c r="G1581" s="2" t="s">
        <v>36</v>
      </c>
      <c r="H1581" s="2">
        <v>1</v>
      </c>
      <c r="I1581" s="2" t="s">
        <v>17</v>
      </c>
      <c r="J1581" s="2" t="str">
        <f>VLOOKUP(E1581,[1]LL_Hub!$A$1:$B$13,2,FALSE)</f>
        <v>New York</v>
      </c>
      <c r="K1581" t="str">
        <f>VLOOKUP(D1581,'[2]product Table data'!$A$2:$B$12,2,FALSE)</f>
        <v>Female</v>
      </c>
      <c r="L1581" t="str">
        <f>VLOOKUP($D1581,'[2]product Table data'!$A$2:$G$12,L$1,FALSE)</f>
        <v>Casual n Light</v>
      </c>
      <c r="M1581" t="str">
        <f>VLOOKUP($D1581,'[2]product Table data'!$A$2:$G$12,M$1,FALSE)</f>
        <v>Honduras</v>
      </c>
      <c r="N1581" t="str">
        <f>VLOOKUP($D1581,'[2]product Table data'!$A$2:$G$12,N$1,FALSE)</f>
        <v>Central America</v>
      </c>
      <c r="O1581">
        <f>VLOOKUP($D1581,'[2]product Table data'!$A$2:$G$12,O$1,FALSE)</f>
        <v>30</v>
      </c>
      <c r="P1581">
        <f>VLOOKUP($D1581,'[2]product Table data'!$A$2:$G$12,P$1,FALSE)</f>
        <v>45</v>
      </c>
      <c r="Q1581">
        <f t="shared" si="125"/>
        <v>15</v>
      </c>
      <c r="R1581" t="str">
        <f t="shared" si="126"/>
        <v>-</v>
      </c>
      <c r="S1581" t="str">
        <f t="shared" si="127"/>
        <v>Style Risk</v>
      </c>
      <c r="T1581" t="str">
        <f t="shared" si="128"/>
        <v>-</v>
      </c>
      <c r="U1581" t="str">
        <f t="shared" si="129"/>
        <v>High Value</v>
      </c>
    </row>
    <row r="1582" spans="1:21" hidden="1" x14ac:dyDescent="0.2">
      <c r="A1582" s="2">
        <v>1580</v>
      </c>
      <c r="B1582" s="2" t="s">
        <v>9</v>
      </c>
      <c r="C1582" s="2" t="s">
        <v>2219</v>
      </c>
      <c r="D1582" s="2" t="s">
        <v>505</v>
      </c>
      <c r="E1582" s="2">
        <v>10013</v>
      </c>
      <c r="F1582" s="2" t="s">
        <v>35</v>
      </c>
      <c r="G1582" s="2" t="s">
        <v>36</v>
      </c>
      <c r="H1582" s="2">
        <v>1</v>
      </c>
      <c r="I1582" s="2" t="s">
        <v>17</v>
      </c>
      <c r="J1582" s="2" t="str">
        <f>VLOOKUP(E1582,[1]LL_Hub!$A$1:$B$13,2,FALSE)</f>
        <v>New York</v>
      </c>
      <c r="K1582" t="str">
        <f>VLOOKUP(D1582,'[2]product Table data'!$A$2:$B$12,2,FALSE)</f>
        <v>Female</v>
      </c>
      <c r="L1582" t="str">
        <f>VLOOKUP($D1582,'[2]product Table data'!$A$2:$G$12,L$1,FALSE)</f>
        <v>Casual n Light</v>
      </c>
      <c r="M1582" t="str">
        <f>VLOOKUP($D1582,'[2]product Table data'!$A$2:$G$12,M$1,FALSE)</f>
        <v>Honduras</v>
      </c>
      <c r="N1582" t="str">
        <f>VLOOKUP($D1582,'[2]product Table data'!$A$2:$G$12,N$1,FALSE)</f>
        <v>Central America</v>
      </c>
      <c r="O1582">
        <f>VLOOKUP($D1582,'[2]product Table data'!$A$2:$G$12,O$1,FALSE)</f>
        <v>30</v>
      </c>
      <c r="P1582">
        <f>VLOOKUP($D1582,'[2]product Table data'!$A$2:$G$12,P$1,FALSE)</f>
        <v>45</v>
      </c>
      <c r="Q1582">
        <f t="shared" si="125"/>
        <v>15</v>
      </c>
      <c r="R1582" t="str">
        <f t="shared" si="126"/>
        <v>-</v>
      </c>
      <c r="S1582" t="str">
        <f t="shared" si="127"/>
        <v>Style Risk</v>
      </c>
      <c r="T1582" t="str">
        <f t="shared" si="128"/>
        <v>-</v>
      </c>
      <c r="U1582" t="str">
        <f t="shared" si="129"/>
        <v>High Value</v>
      </c>
    </row>
    <row r="1583" spans="1:21" hidden="1" x14ac:dyDescent="0.2">
      <c r="A1583" s="2">
        <v>1581</v>
      </c>
      <c r="B1583" s="2" t="s">
        <v>9</v>
      </c>
      <c r="C1583" s="2" t="s">
        <v>2220</v>
      </c>
      <c r="D1583" s="2" t="s">
        <v>505</v>
      </c>
      <c r="E1583" s="2">
        <v>10013</v>
      </c>
      <c r="F1583" s="2" t="s">
        <v>35</v>
      </c>
      <c r="G1583" s="2" t="s">
        <v>36</v>
      </c>
      <c r="H1583" s="2">
        <v>1</v>
      </c>
      <c r="I1583" s="2" t="s">
        <v>17</v>
      </c>
      <c r="J1583" s="2" t="str">
        <f>VLOOKUP(E1583,[1]LL_Hub!$A$1:$B$13,2,FALSE)</f>
        <v>New York</v>
      </c>
      <c r="K1583" t="str">
        <f>VLOOKUP(D1583,'[2]product Table data'!$A$2:$B$12,2,FALSE)</f>
        <v>Female</v>
      </c>
      <c r="L1583" t="str">
        <f>VLOOKUP($D1583,'[2]product Table data'!$A$2:$G$12,L$1,FALSE)</f>
        <v>Casual n Light</v>
      </c>
      <c r="M1583" t="str">
        <f>VLOOKUP($D1583,'[2]product Table data'!$A$2:$G$12,M$1,FALSE)</f>
        <v>Honduras</v>
      </c>
      <c r="N1583" t="str">
        <f>VLOOKUP($D1583,'[2]product Table data'!$A$2:$G$12,N$1,FALSE)</f>
        <v>Central America</v>
      </c>
      <c r="O1583">
        <f>VLOOKUP($D1583,'[2]product Table data'!$A$2:$G$12,O$1,FALSE)</f>
        <v>30</v>
      </c>
      <c r="P1583">
        <f>VLOOKUP($D1583,'[2]product Table data'!$A$2:$G$12,P$1,FALSE)</f>
        <v>45</v>
      </c>
      <c r="Q1583">
        <f t="shared" si="125"/>
        <v>15</v>
      </c>
      <c r="R1583" t="str">
        <f t="shared" si="126"/>
        <v>-</v>
      </c>
      <c r="S1583" t="str">
        <f t="shared" si="127"/>
        <v>Style Risk</v>
      </c>
      <c r="T1583" t="str">
        <f t="shared" si="128"/>
        <v>-</v>
      </c>
      <c r="U1583" t="str">
        <f t="shared" si="129"/>
        <v>High Value</v>
      </c>
    </row>
    <row r="1584" spans="1:21" hidden="1" x14ac:dyDescent="0.2">
      <c r="A1584" s="2">
        <v>1582</v>
      </c>
      <c r="B1584" s="2" t="s">
        <v>9</v>
      </c>
      <c r="C1584" s="2" t="s">
        <v>2221</v>
      </c>
      <c r="D1584" s="2" t="s">
        <v>505</v>
      </c>
      <c r="E1584" s="2">
        <v>10013</v>
      </c>
      <c r="F1584" s="2" t="s">
        <v>35</v>
      </c>
      <c r="G1584" s="2" t="s">
        <v>36</v>
      </c>
      <c r="H1584" s="2">
        <v>1</v>
      </c>
      <c r="I1584" s="2" t="s">
        <v>17</v>
      </c>
      <c r="J1584" s="2" t="str">
        <f>VLOOKUP(E1584,[1]LL_Hub!$A$1:$B$13,2,FALSE)</f>
        <v>New York</v>
      </c>
      <c r="K1584" t="str">
        <f>VLOOKUP(D1584,'[2]product Table data'!$A$2:$B$12,2,FALSE)</f>
        <v>Female</v>
      </c>
      <c r="L1584" t="str">
        <f>VLOOKUP($D1584,'[2]product Table data'!$A$2:$G$12,L$1,FALSE)</f>
        <v>Casual n Light</v>
      </c>
      <c r="M1584" t="str">
        <f>VLOOKUP($D1584,'[2]product Table data'!$A$2:$G$12,M$1,FALSE)</f>
        <v>Honduras</v>
      </c>
      <c r="N1584" t="str">
        <f>VLOOKUP($D1584,'[2]product Table data'!$A$2:$G$12,N$1,FALSE)</f>
        <v>Central America</v>
      </c>
      <c r="O1584">
        <f>VLOOKUP($D1584,'[2]product Table data'!$A$2:$G$12,O$1,FALSE)</f>
        <v>30</v>
      </c>
      <c r="P1584">
        <f>VLOOKUP($D1584,'[2]product Table data'!$A$2:$G$12,P$1,FALSE)</f>
        <v>45</v>
      </c>
      <c r="Q1584">
        <f t="shared" si="125"/>
        <v>15</v>
      </c>
      <c r="R1584" t="str">
        <f t="shared" si="126"/>
        <v>-</v>
      </c>
      <c r="S1584" t="str">
        <f t="shared" si="127"/>
        <v>Style Risk</v>
      </c>
      <c r="T1584" t="str">
        <f t="shared" si="128"/>
        <v>-</v>
      </c>
      <c r="U1584" t="str">
        <f t="shared" si="129"/>
        <v>High Value</v>
      </c>
    </row>
    <row r="1585" spans="1:21" hidden="1" x14ac:dyDescent="0.2">
      <c r="A1585" s="2">
        <v>1583</v>
      </c>
      <c r="B1585" s="2" t="s">
        <v>9</v>
      </c>
      <c r="C1585" s="2" t="s">
        <v>2222</v>
      </c>
      <c r="D1585" s="2" t="s">
        <v>505</v>
      </c>
      <c r="E1585" s="2">
        <v>10013</v>
      </c>
      <c r="F1585" s="2" t="s">
        <v>35</v>
      </c>
      <c r="G1585" s="2" t="s">
        <v>36</v>
      </c>
      <c r="H1585" s="2">
        <v>1</v>
      </c>
      <c r="I1585" s="2" t="s">
        <v>17</v>
      </c>
      <c r="J1585" s="2" t="str">
        <f>VLOOKUP(E1585,[1]LL_Hub!$A$1:$B$13,2,FALSE)</f>
        <v>New York</v>
      </c>
      <c r="K1585" t="str">
        <f>VLOOKUP(D1585,'[2]product Table data'!$A$2:$B$12,2,FALSE)</f>
        <v>Female</v>
      </c>
      <c r="L1585" t="str">
        <f>VLOOKUP($D1585,'[2]product Table data'!$A$2:$G$12,L$1,FALSE)</f>
        <v>Casual n Light</v>
      </c>
      <c r="M1585" t="str">
        <f>VLOOKUP($D1585,'[2]product Table data'!$A$2:$G$12,M$1,FALSE)</f>
        <v>Honduras</v>
      </c>
      <c r="N1585" t="str">
        <f>VLOOKUP($D1585,'[2]product Table data'!$A$2:$G$12,N$1,FALSE)</f>
        <v>Central America</v>
      </c>
      <c r="O1585">
        <f>VLOOKUP($D1585,'[2]product Table data'!$A$2:$G$12,O$1,FALSE)</f>
        <v>30</v>
      </c>
      <c r="P1585">
        <f>VLOOKUP($D1585,'[2]product Table data'!$A$2:$G$12,P$1,FALSE)</f>
        <v>45</v>
      </c>
      <c r="Q1585">
        <f t="shared" si="125"/>
        <v>15</v>
      </c>
      <c r="R1585" t="str">
        <f t="shared" si="126"/>
        <v>-</v>
      </c>
      <c r="S1585" t="str">
        <f t="shared" si="127"/>
        <v>Style Risk</v>
      </c>
      <c r="T1585" t="str">
        <f t="shared" si="128"/>
        <v>-</v>
      </c>
      <c r="U1585" t="str">
        <f t="shared" si="129"/>
        <v>High Value</v>
      </c>
    </row>
    <row r="1586" spans="1:21" hidden="1" x14ac:dyDescent="0.2">
      <c r="A1586" s="2">
        <v>1584</v>
      </c>
      <c r="B1586" s="2" t="s">
        <v>9</v>
      </c>
      <c r="C1586" s="2" t="s">
        <v>2223</v>
      </c>
      <c r="D1586" s="2" t="s">
        <v>505</v>
      </c>
      <c r="E1586" s="2">
        <v>10013</v>
      </c>
      <c r="F1586" s="2" t="s">
        <v>35</v>
      </c>
      <c r="G1586" s="2" t="s">
        <v>36</v>
      </c>
      <c r="H1586" s="2">
        <v>1</v>
      </c>
      <c r="I1586" s="2" t="s">
        <v>17</v>
      </c>
      <c r="J1586" s="2" t="str">
        <f>VLOOKUP(E1586,[1]LL_Hub!$A$1:$B$13,2,FALSE)</f>
        <v>New York</v>
      </c>
      <c r="K1586" t="str">
        <f>VLOOKUP(D1586,'[2]product Table data'!$A$2:$B$12,2,FALSE)</f>
        <v>Female</v>
      </c>
      <c r="L1586" t="str">
        <f>VLOOKUP($D1586,'[2]product Table data'!$A$2:$G$12,L$1,FALSE)</f>
        <v>Casual n Light</v>
      </c>
      <c r="M1586" t="str">
        <f>VLOOKUP($D1586,'[2]product Table data'!$A$2:$G$12,M$1,FALSE)</f>
        <v>Honduras</v>
      </c>
      <c r="N1586" t="str">
        <f>VLOOKUP($D1586,'[2]product Table data'!$A$2:$G$12,N$1,FALSE)</f>
        <v>Central America</v>
      </c>
      <c r="O1586">
        <f>VLOOKUP($D1586,'[2]product Table data'!$A$2:$G$12,O$1,FALSE)</f>
        <v>30</v>
      </c>
      <c r="P1586">
        <f>VLOOKUP($D1586,'[2]product Table data'!$A$2:$G$12,P$1,FALSE)</f>
        <v>45</v>
      </c>
      <c r="Q1586">
        <f t="shared" si="125"/>
        <v>15</v>
      </c>
      <c r="R1586" t="str">
        <f t="shared" si="126"/>
        <v>-</v>
      </c>
      <c r="S1586" t="str">
        <f t="shared" si="127"/>
        <v>Style Risk</v>
      </c>
      <c r="T1586" t="str">
        <f t="shared" si="128"/>
        <v>-</v>
      </c>
      <c r="U1586" t="str">
        <f t="shared" si="129"/>
        <v>High Value</v>
      </c>
    </row>
    <row r="1587" spans="1:21" hidden="1" x14ac:dyDescent="0.2">
      <c r="A1587" s="2">
        <v>1585</v>
      </c>
      <c r="B1587" s="2" t="s">
        <v>9</v>
      </c>
      <c r="C1587" s="2" t="s">
        <v>2224</v>
      </c>
      <c r="D1587" s="2" t="s">
        <v>505</v>
      </c>
      <c r="E1587" s="2">
        <v>10013</v>
      </c>
      <c r="F1587" s="2" t="s">
        <v>35</v>
      </c>
      <c r="G1587" s="2" t="s">
        <v>36</v>
      </c>
      <c r="H1587" s="2">
        <v>1</v>
      </c>
      <c r="I1587" s="2" t="s">
        <v>17</v>
      </c>
      <c r="J1587" s="2" t="str">
        <f>VLOOKUP(E1587,[1]LL_Hub!$A$1:$B$13,2,FALSE)</f>
        <v>New York</v>
      </c>
      <c r="K1587" t="str">
        <f>VLOOKUP(D1587,'[2]product Table data'!$A$2:$B$12,2,FALSE)</f>
        <v>Female</v>
      </c>
      <c r="L1587" t="str">
        <f>VLOOKUP($D1587,'[2]product Table data'!$A$2:$G$12,L$1,FALSE)</f>
        <v>Casual n Light</v>
      </c>
      <c r="M1587" t="str">
        <f>VLOOKUP($D1587,'[2]product Table data'!$A$2:$G$12,M$1,FALSE)</f>
        <v>Honduras</v>
      </c>
      <c r="N1587" t="str">
        <f>VLOOKUP($D1587,'[2]product Table data'!$A$2:$G$12,N$1,FALSE)</f>
        <v>Central America</v>
      </c>
      <c r="O1587">
        <f>VLOOKUP($D1587,'[2]product Table data'!$A$2:$G$12,O$1,FALSE)</f>
        <v>30</v>
      </c>
      <c r="P1587">
        <f>VLOOKUP($D1587,'[2]product Table data'!$A$2:$G$12,P$1,FALSE)</f>
        <v>45</v>
      </c>
      <c r="Q1587">
        <f t="shared" si="125"/>
        <v>15</v>
      </c>
      <c r="R1587" t="str">
        <f t="shared" si="126"/>
        <v>-</v>
      </c>
      <c r="S1587" t="str">
        <f t="shared" si="127"/>
        <v>Style Risk</v>
      </c>
      <c r="T1587" t="str">
        <f t="shared" si="128"/>
        <v>-</v>
      </c>
      <c r="U1587" t="str">
        <f t="shared" si="129"/>
        <v>High Value</v>
      </c>
    </row>
    <row r="1588" spans="1:21" hidden="1" x14ac:dyDescent="0.2">
      <c r="A1588" s="2">
        <v>1586</v>
      </c>
      <c r="B1588" s="2" t="s">
        <v>9</v>
      </c>
      <c r="C1588" s="2" t="s">
        <v>2225</v>
      </c>
      <c r="D1588" s="2" t="s">
        <v>505</v>
      </c>
      <c r="E1588" s="2">
        <v>10013</v>
      </c>
      <c r="F1588" s="2" t="s">
        <v>35</v>
      </c>
      <c r="G1588" s="2" t="s">
        <v>36</v>
      </c>
      <c r="H1588" s="2">
        <v>1</v>
      </c>
      <c r="I1588" s="2" t="s">
        <v>17</v>
      </c>
      <c r="J1588" s="2" t="str">
        <f>VLOOKUP(E1588,[1]LL_Hub!$A$1:$B$13,2,FALSE)</f>
        <v>New York</v>
      </c>
      <c r="K1588" t="str">
        <f>VLOOKUP(D1588,'[2]product Table data'!$A$2:$B$12,2,FALSE)</f>
        <v>Female</v>
      </c>
      <c r="L1588" t="str">
        <f>VLOOKUP($D1588,'[2]product Table data'!$A$2:$G$12,L$1,FALSE)</f>
        <v>Casual n Light</v>
      </c>
      <c r="M1588" t="str">
        <f>VLOOKUP($D1588,'[2]product Table data'!$A$2:$G$12,M$1,FALSE)</f>
        <v>Honduras</v>
      </c>
      <c r="N1588" t="str">
        <f>VLOOKUP($D1588,'[2]product Table data'!$A$2:$G$12,N$1,FALSE)</f>
        <v>Central America</v>
      </c>
      <c r="O1588">
        <f>VLOOKUP($D1588,'[2]product Table data'!$A$2:$G$12,O$1,FALSE)</f>
        <v>30</v>
      </c>
      <c r="P1588">
        <f>VLOOKUP($D1588,'[2]product Table data'!$A$2:$G$12,P$1,FALSE)</f>
        <v>45</v>
      </c>
      <c r="Q1588">
        <f t="shared" si="125"/>
        <v>15</v>
      </c>
      <c r="R1588" t="str">
        <f t="shared" si="126"/>
        <v>-</v>
      </c>
      <c r="S1588" t="str">
        <f t="shared" si="127"/>
        <v>Style Risk</v>
      </c>
      <c r="T1588" t="str">
        <f t="shared" si="128"/>
        <v>-</v>
      </c>
      <c r="U1588" t="str">
        <f t="shared" si="129"/>
        <v>High Value</v>
      </c>
    </row>
    <row r="1589" spans="1:21" hidden="1" x14ac:dyDescent="0.2">
      <c r="A1589" s="2">
        <v>1587</v>
      </c>
      <c r="B1589" s="2" t="s">
        <v>9</v>
      </c>
      <c r="C1589" s="2" t="s">
        <v>2226</v>
      </c>
      <c r="D1589" s="2" t="s">
        <v>505</v>
      </c>
      <c r="E1589" s="2">
        <v>10013</v>
      </c>
      <c r="F1589" s="2" t="s">
        <v>35</v>
      </c>
      <c r="G1589" s="2" t="s">
        <v>36</v>
      </c>
      <c r="H1589" s="2">
        <v>1</v>
      </c>
      <c r="I1589" s="2" t="s">
        <v>17</v>
      </c>
      <c r="J1589" s="2" t="str">
        <f>VLOOKUP(E1589,[1]LL_Hub!$A$1:$B$13,2,FALSE)</f>
        <v>New York</v>
      </c>
      <c r="K1589" t="str">
        <f>VLOOKUP(D1589,'[2]product Table data'!$A$2:$B$12,2,FALSE)</f>
        <v>Female</v>
      </c>
      <c r="L1589" t="str">
        <f>VLOOKUP($D1589,'[2]product Table data'!$A$2:$G$12,L$1,FALSE)</f>
        <v>Casual n Light</v>
      </c>
      <c r="M1589" t="str">
        <f>VLOOKUP($D1589,'[2]product Table data'!$A$2:$G$12,M$1,FALSE)</f>
        <v>Honduras</v>
      </c>
      <c r="N1589" t="str">
        <f>VLOOKUP($D1589,'[2]product Table data'!$A$2:$G$12,N$1,FALSE)</f>
        <v>Central America</v>
      </c>
      <c r="O1589">
        <f>VLOOKUP($D1589,'[2]product Table data'!$A$2:$G$12,O$1,FALSE)</f>
        <v>30</v>
      </c>
      <c r="P1589">
        <f>VLOOKUP($D1589,'[2]product Table data'!$A$2:$G$12,P$1,FALSE)</f>
        <v>45</v>
      </c>
      <c r="Q1589">
        <f t="shared" si="125"/>
        <v>15</v>
      </c>
      <c r="R1589" t="str">
        <f t="shared" si="126"/>
        <v>-</v>
      </c>
      <c r="S1589" t="str">
        <f t="shared" si="127"/>
        <v>Style Risk</v>
      </c>
      <c r="T1589" t="str">
        <f t="shared" si="128"/>
        <v>-</v>
      </c>
      <c r="U1589" t="str">
        <f t="shared" si="129"/>
        <v>High Value</v>
      </c>
    </row>
    <row r="1590" spans="1:21" hidden="1" x14ac:dyDescent="0.2">
      <c r="A1590" s="2">
        <v>1588</v>
      </c>
      <c r="B1590" s="2" t="s">
        <v>9</v>
      </c>
      <c r="C1590" s="2" t="s">
        <v>2227</v>
      </c>
      <c r="D1590" s="2" t="s">
        <v>505</v>
      </c>
      <c r="E1590" s="2">
        <v>10013</v>
      </c>
      <c r="F1590" s="2" t="s">
        <v>35</v>
      </c>
      <c r="G1590" s="2" t="s">
        <v>36</v>
      </c>
      <c r="H1590" s="2">
        <v>1</v>
      </c>
      <c r="I1590" s="2" t="s">
        <v>17</v>
      </c>
      <c r="J1590" s="2" t="str">
        <f>VLOOKUP(E1590,[1]LL_Hub!$A$1:$B$13,2,FALSE)</f>
        <v>New York</v>
      </c>
      <c r="K1590" t="str">
        <f>VLOOKUP(D1590,'[2]product Table data'!$A$2:$B$12,2,FALSE)</f>
        <v>Female</v>
      </c>
      <c r="L1590" t="str">
        <f>VLOOKUP($D1590,'[2]product Table data'!$A$2:$G$12,L$1,FALSE)</f>
        <v>Casual n Light</v>
      </c>
      <c r="M1590" t="str">
        <f>VLOOKUP($D1590,'[2]product Table data'!$A$2:$G$12,M$1,FALSE)</f>
        <v>Honduras</v>
      </c>
      <c r="N1590" t="str">
        <f>VLOOKUP($D1590,'[2]product Table data'!$A$2:$G$12,N$1,FALSE)</f>
        <v>Central America</v>
      </c>
      <c r="O1590">
        <f>VLOOKUP($D1590,'[2]product Table data'!$A$2:$G$12,O$1,FALSE)</f>
        <v>30</v>
      </c>
      <c r="P1590">
        <f>VLOOKUP($D1590,'[2]product Table data'!$A$2:$G$12,P$1,FALSE)</f>
        <v>45</v>
      </c>
      <c r="Q1590">
        <f t="shared" si="125"/>
        <v>15</v>
      </c>
      <c r="R1590" t="str">
        <f t="shared" si="126"/>
        <v>-</v>
      </c>
      <c r="S1590" t="str">
        <f t="shared" si="127"/>
        <v>Style Risk</v>
      </c>
      <c r="T1590" t="str">
        <f t="shared" si="128"/>
        <v>-</v>
      </c>
      <c r="U1590" t="str">
        <f t="shared" si="129"/>
        <v>High Value</v>
      </c>
    </row>
    <row r="1591" spans="1:21" hidden="1" x14ac:dyDescent="0.2">
      <c r="A1591" s="2">
        <v>1589</v>
      </c>
      <c r="B1591" s="2" t="s">
        <v>9</v>
      </c>
      <c r="C1591" s="2" t="s">
        <v>2228</v>
      </c>
      <c r="D1591" s="2" t="s">
        <v>505</v>
      </c>
      <c r="E1591" s="2">
        <v>10013</v>
      </c>
      <c r="F1591" s="2" t="s">
        <v>35</v>
      </c>
      <c r="G1591" s="2" t="s">
        <v>36</v>
      </c>
      <c r="H1591" s="2">
        <v>1</v>
      </c>
      <c r="I1591" s="2" t="s">
        <v>17</v>
      </c>
      <c r="J1591" s="2" t="str">
        <f>VLOOKUP(E1591,[1]LL_Hub!$A$1:$B$13,2,FALSE)</f>
        <v>New York</v>
      </c>
      <c r="K1591" t="str">
        <f>VLOOKUP(D1591,'[2]product Table data'!$A$2:$B$12,2,FALSE)</f>
        <v>Female</v>
      </c>
      <c r="L1591" t="str">
        <f>VLOOKUP($D1591,'[2]product Table data'!$A$2:$G$12,L$1,FALSE)</f>
        <v>Casual n Light</v>
      </c>
      <c r="M1591" t="str">
        <f>VLOOKUP($D1591,'[2]product Table data'!$A$2:$G$12,M$1,FALSE)</f>
        <v>Honduras</v>
      </c>
      <c r="N1591" t="str">
        <f>VLOOKUP($D1591,'[2]product Table data'!$A$2:$G$12,N$1,FALSE)</f>
        <v>Central America</v>
      </c>
      <c r="O1591">
        <f>VLOOKUP($D1591,'[2]product Table data'!$A$2:$G$12,O$1,FALSE)</f>
        <v>30</v>
      </c>
      <c r="P1591">
        <f>VLOOKUP($D1591,'[2]product Table data'!$A$2:$G$12,P$1,FALSE)</f>
        <v>45</v>
      </c>
      <c r="Q1591">
        <f t="shared" si="125"/>
        <v>15</v>
      </c>
      <c r="R1591" t="str">
        <f t="shared" si="126"/>
        <v>-</v>
      </c>
      <c r="S1591" t="str">
        <f t="shared" si="127"/>
        <v>Style Risk</v>
      </c>
      <c r="T1591" t="str">
        <f t="shared" si="128"/>
        <v>-</v>
      </c>
      <c r="U1591" t="str">
        <f t="shared" si="129"/>
        <v>High Value</v>
      </c>
    </row>
    <row r="1592" spans="1:21" hidden="1" x14ac:dyDescent="0.2">
      <c r="A1592" s="2">
        <v>1590</v>
      </c>
      <c r="B1592" s="2" t="s">
        <v>9</v>
      </c>
      <c r="C1592" s="2" t="s">
        <v>2229</v>
      </c>
      <c r="D1592" s="2" t="s">
        <v>505</v>
      </c>
      <c r="E1592" s="2">
        <v>10013</v>
      </c>
      <c r="F1592" s="2" t="s">
        <v>35</v>
      </c>
      <c r="G1592" s="2" t="s">
        <v>36</v>
      </c>
      <c r="H1592" s="2">
        <v>1</v>
      </c>
      <c r="I1592" s="2" t="s">
        <v>17</v>
      </c>
      <c r="J1592" s="2" t="str">
        <f>VLOOKUP(E1592,[1]LL_Hub!$A$1:$B$13,2,FALSE)</f>
        <v>New York</v>
      </c>
      <c r="K1592" t="str">
        <f>VLOOKUP(D1592,'[2]product Table data'!$A$2:$B$12,2,FALSE)</f>
        <v>Female</v>
      </c>
      <c r="L1592" t="str">
        <f>VLOOKUP($D1592,'[2]product Table data'!$A$2:$G$12,L$1,FALSE)</f>
        <v>Casual n Light</v>
      </c>
      <c r="M1592" t="str">
        <f>VLOOKUP($D1592,'[2]product Table data'!$A$2:$G$12,M$1,FALSE)</f>
        <v>Honduras</v>
      </c>
      <c r="N1592" t="str">
        <f>VLOOKUP($D1592,'[2]product Table data'!$A$2:$G$12,N$1,FALSE)</f>
        <v>Central America</v>
      </c>
      <c r="O1592">
        <f>VLOOKUP($D1592,'[2]product Table data'!$A$2:$G$12,O$1,FALSE)</f>
        <v>30</v>
      </c>
      <c r="P1592">
        <f>VLOOKUP($D1592,'[2]product Table data'!$A$2:$G$12,P$1,FALSE)</f>
        <v>45</v>
      </c>
      <c r="Q1592">
        <f t="shared" si="125"/>
        <v>15</v>
      </c>
      <c r="R1592" t="str">
        <f t="shared" si="126"/>
        <v>-</v>
      </c>
      <c r="S1592" t="str">
        <f t="shared" si="127"/>
        <v>Style Risk</v>
      </c>
      <c r="T1592" t="str">
        <f t="shared" si="128"/>
        <v>-</v>
      </c>
      <c r="U1592" t="str">
        <f t="shared" si="129"/>
        <v>High Value</v>
      </c>
    </row>
    <row r="1593" spans="1:21" hidden="1" x14ac:dyDescent="0.2">
      <c r="A1593" s="2">
        <v>1591</v>
      </c>
      <c r="B1593" s="2" t="s">
        <v>9</v>
      </c>
      <c r="C1593" s="2" t="s">
        <v>2230</v>
      </c>
      <c r="D1593" s="2" t="s">
        <v>566</v>
      </c>
      <c r="E1593" s="2">
        <v>80208</v>
      </c>
      <c r="F1593" s="2" t="s">
        <v>496</v>
      </c>
      <c r="G1593" s="2" t="s">
        <v>36</v>
      </c>
      <c r="H1593" s="2">
        <v>1</v>
      </c>
      <c r="I1593" s="2" t="s">
        <v>39</v>
      </c>
      <c r="J1593" s="2" t="str">
        <f>VLOOKUP(E1593,[1]LL_Hub!$A$1:$B$13,2,FALSE)</f>
        <v>Denver</v>
      </c>
      <c r="K1593" t="str">
        <f>VLOOKUP(D1593,'[2]product Table data'!$A$2:$B$12,2,FALSE)</f>
        <v>Female</v>
      </c>
      <c r="L1593" t="str">
        <f>VLOOKUP($D1593,'[2]product Table data'!$A$2:$G$12,L$1,FALSE)</f>
        <v>Casual n Light</v>
      </c>
      <c r="M1593" t="str">
        <f>VLOOKUP($D1593,'[2]product Table data'!$A$2:$G$12,M$1,FALSE)</f>
        <v>Guatemala</v>
      </c>
      <c r="N1593" t="str">
        <f>VLOOKUP($D1593,'[2]product Table data'!$A$2:$G$12,N$1,FALSE)</f>
        <v>Central America</v>
      </c>
      <c r="O1593">
        <f>VLOOKUP($D1593,'[2]product Table data'!$A$2:$G$12,O$1,FALSE)</f>
        <v>25</v>
      </c>
      <c r="P1593">
        <f>VLOOKUP($D1593,'[2]product Table data'!$A$2:$G$12,P$1,FALSE)</f>
        <v>30</v>
      </c>
      <c r="Q1593">
        <f t="shared" si="125"/>
        <v>5</v>
      </c>
      <c r="R1593" t="str">
        <f t="shared" si="126"/>
        <v>Hub Risk</v>
      </c>
      <c r="S1593" t="str">
        <f t="shared" si="127"/>
        <v>Style Risk</v>
      </c>
      <c r="T1593" t="str">
        <f t="shared" si="128"/>
        <v>Risk</v>
      </c>
      <c r="U1593" t="str">
        <f t="shared" si="129"/>
        <v>Low Value</v>
      </c>
    </row>
    <row r="1594" spans="1:21" hidden="1" x14ac:dyDescent="0.2">
      <c r="A1594" s="2">
        <v>1592</v>
      </c>
      <c r="B1594" s="2" t="s">
        <v>9</v>
      </c>
      <c r="C1594" s="2" t="s">
        <v>2231</v>
      </c>
      <c r="D1594" s="2" t="s">
        <v>566</v>
      </c>
      <c r="E1594" s="2">
        <v>80208</v>
      </c>
      <c r="F1594" s="2" t="s">
        <v>496</v>
      </c>
      <c r="G1594" s="2" t="s">
        <v>36</v>
      </c>
      <c r="H1594" s="2">
        <v>1</v>
      </c>
      <c r="I1594" s="2" t="s">
        <v>39</v>
      </c>
      <c r="J1594" s="2" t="str">
        <f>VLOOKUP(E1594,[1]LL_Hub!$A$1:$B$13,2,FALSE)</f>
        <v>Denver</v>
      </c>
      <c r="K1594" t="str">
        <f>VLOOKUP(D1594,'[2]product Table data'!$A$2:$B$12,2,FALSE)</f>
        <v>Female</v>
      </c>
      <c r="L1594" t="str">
        <f>VLOOKUP($D1594,'[2]product Table data'!$A$2:$G$12,L$1,FALSE)</f>
        <v>Casual n Light</v>
      </c>
      <c r="M1594" t="str">
        <f>VLOOKUP($D1594,'[2]product Table data'!$A$2:$G$12,M$1,FALSE)</f>
        <v>Guatemala</v>
      </c>
      <c r="N1594" t="str">
        <f>VLOOKUP($D1594,'[2]product Table data'!$A$2:$G$12,N$1,FALSE)</f>
        <v>Central America</v>
      </c>
      <c r="O1594">
        <f>VLOOKUP($D1594,'[2]product Table data'!$A$2:$G$12,O$1,FALSE)</f>
        <v>25</v>
      </c>
      <c r="P1594">
        <f>VLOOKUP($D1594,'[2]product Table data'!$A$2:$G$12,P$1,FALSE)</f>
        <v>30</v>
      </c>
      <c r="Q1594">
        <f t="shared" si="125"/>
        <v>5</v>
      </c>
      <c r="R1594" t="str">
        <f t="shared" si="126"/>
        <v>Hub Risk</v>
      </c>
      <c r="S1594" t="str">
        <f t="shared" si="127"/>
        <v>Style Risk</v>
      </c>
      <c r="T1594" t="str">
        <f t="shared" si="128"/>
        <v>Risk</v>
      </c>
      <c r="U1594" t="str">
        <f t="shared" si="129"/>
        <v>Low Value</v>
      </c>
    </row>
    <row r="1595" spans="1:21" hidden="1" x14ac:dyDescent="0.2">
      <c r="A1595" s="2">
        <v>1593</v>
      </c>
      <c r="B1595" s="2" t="s">
        <v>9</v>
      </c>
      <c r="C1595" s="2" t="s">
        <v>2232</v>
      </c>
      <c r="D1595" s="2" t="s">
        <v>566</v>
      </c>
      <c r="E1595" s="2">
        <v>80208</v>
      </c>
      <c r="F1595" s="2" t="s">
        <v>35</v>
      </c>
      <c r="G1595" s="2" t="s">
        <v>36</v>
      </c>
      <c r="H1595" s="2">
        <v>1</v>
      </c>
      <c r="I1595" s="2" t="s">
        <v>39</v>
      </c>
      <c r="J1595" s="2" t="str">
        <f>VLOOKUP(E1595,[1]LL_Hub!$A$1:$B$13,2,FALSE)</f>
        <v>Denver</v>
      </c>
      <c r="K1595" t="str">
        <f>VLOOKUP(D1595,'[2]product Table data'!$A$2:$B$12,2,FALSE)</f>
        <v>Female</v>
      </c>
      <c r="L1595" t="str">
        <f>VLOOKUP($D1595,'[2]product Table data'!$A$2:$G$12,L$1,FALSE)</f>
        <v>Casual n Light</v>
      </c>
      <c r="M1595" t="str">
        <f>VLOOKUP($D1595,'[2]product Table data'!$A$2:$G$12,M$1,FALSE)</f>
        <v>Guatemala</v>
      </c>
      <c r="N1595" t="str">
        <f>VLOOKUP($D1595,'[2]product Table data'!$A$2:$G$12,N$1,FALSE)</f>
        <v>Central America</v>
      </c>
      <c r="O1595">
        <f>VLOOKUP($D1595,'[2]product Table data'!$A$2:$G$12,O$1,FALSE)</f>
        <v>25</v>
      </c>
      <c r="P1595">
        <f>VLOOKUP($D1595,'[2]product Table data'!$A$2:$G$12,P$1,FALSE)</f>
        <v>30</v>
      </c>
      <c r="Q1595">
        <f t="shared" si="125"/>
        <v>5</v>
      </c>
      <c r="R1595" t="str">
        <f t="shared" si="126"/>
        <v>Hub Risk</v>
      </c>
      <c r="S1595" t="str">
        <f t="shared" si="127"/>
        <v>Style Risk</v>
      </c>
      <c r="T1595" t="str">
        <f t="shared" si="128"/>
        <v>Risk</v>
      </c>
      <c r="U1595" t="str">
        <f t="shared" si="129"/>
        <v>Low Value</v>
      </c>
    </row>
    <row r="1596" spans="1:21" hidden="1" x14ac:dyDescent="0.2">
      <c r="A1596" s="2">
        <v>1594</v>
      </c>
      <c r="B1596" s="2" t="s">
        <v>9</v>
      </c>
      <c r="C1596" s="2" t="s">
        <v>2233</v>
      </c>
      <c r="D1596" s="2" t="s">
        <v>566</v>
      </c>
      <c r="E1596" s="2">
        <v>80208</v>
      </c>
      <c r="F1596" s="2" t="s">
        <v>35</v>
      </c>
      <c r="G1596" s="2" t="s">
        <v>36</v>
      </c>
      <c r="H1596" s="2">
        <v>1</v>
      </c>
      <c r="I1596" s="2" t="s">
        <v>39</v>
      </c>
      <c r="J1596" s="2" t="str">
        <f>VLOOKUP(E1596,[1]LL_Hub!$A$1:$B$13,2,FALSE)</f>
        <v>Denver</v>
      </c>
      <c r="K1596" t="str">
        <f>VLOOKUP(D1596,'[2]product Table data'!$A$2:$B$12,2,FALSE)</f>
        <v>Female</v>
      </c>
      <c r="L1596" t="str">
        <f>VLOOKUP($D1596,'[2]product Table data'!$A$2:$G$12,L$1,FALSE)</f>
        <v>Casual n Light</v>
      </c>
      <c r="M1596" t="str">
        <f>VLOOKUP($D1596,'[2]product Table data'!$A$2:$G$12,M$1,FALSE)</f>
        <v>Guatemala</v>
      </c>
      <c r="N1596" t="str">
        <f>VLOOKUP($D1596,'[2]product Table data'!$A$2:$G$12,N$1,FALSE)</f>
        <v>Central America</v>
      </c>
      <c r="O1596">
        <f>VLOOKUP($D1596,'[2]product Table data'!$A$2:$G$12,O$1,FALSE)</f>
        <v>25</v>
      </c>
      <c r="P1596">
        <f>VLOOKUP($D1596,'[2]product Table data'!$A$2:$G$12,P$1,FALSE)</f>
        <v>30</v>
      </c>
      <c r="Q1596">
        <f t="shared" si="125"/>
        <v>5</v>
      </c>
      <c r="R1596" t="str">
        <f t="shared" si="126"/>
        <v>Hub Risk</v>
      </c>
      <c r="S1596" t="str">
        <f t="shared" si="127"/>
        <v>Style Risk</v>
      </c>
      <c r="T1596" t="str">
        <f t="shared" si="128"/>
        <v>Risk</v>
      </c>
      <c r="U1596" t="str">
        <f t="shared" si="129"/>
        <v>Low Value</v>
      </c>
    </row>
    <row r="1597" spans="1:21" hidden="1" x14ac:dyDescent="0.2">
      <c r="A1597" s="2">
        <v>1595</v>
      </c>
      <c r="B1597" s="2" t="s">
        <v>9</v>
      </c>
      <c r="C1597" s="2" t="s">
        <v>2234</v>
      </c>
      <c r="D1597" s="2" t="s">
        <v>566</v>
      </c>
      <c r="E1597" s="2">
        <v>80208</v>
      </c>
      <c r="F1597" s="2" t="s">
        <v>35</v>
      </c>
      <c r="G1597" s="2" t="s">
        <v>36</v>
      </c>
      <c r="H1597" s="2">
        <v>1</v>
      </c>
      <c r="I1597" s="2" t="s">
        <v>39</v>
      </c>
      <c r="J1597" s="2" t="str">
        <f>VLOOKUP(E1597,[1]LL_Hub!$A$1:$B$13,2,FALSE)</f>
        <v>Denver</v>
      </c>
      <c r="K1597" t="str">
        <f>VLOOKUP(D1597,'[2]product Table data'!$A$2:$B$12,2,FALSE)</f>
        <v>Female</v>
      </c>
      <c r="L1597" t="str">
        <f>VLOOKUP($D1597,'[2]product Table data'!$A$2:$G$12,L$1,FALSE)</f>
        <v>Casual n Light</v>
      </c>
      <c r="M1597" t="str">
        <f>VLOOKUP($D1597,'[2]product Table data'!$A$2:$G$12,M$1,FALSE)</f>
        <v>Guatemala</v>
      </c>
      <c r="N1597" t="str">
        <f>VLOOKUP($D1597,'[2]product Table data'!$A$2:$G$12,N$1,FALSE)</f>
        <v>Central America</v>
      </c>
      <c r="O1597">
        <f>VLOOKUP($D1597,'[2]product Table data'!$A$2:$G$12,O$1,FALSE)</f>
        <v>25</v>
      </c>
      <c r="P1597">
        <f>VLOOKUP($D1597,'[2]product Table data'!$A$2:$G$12,P$1,FALSE)</f>
        <v>30</v>
      </c>
      <c r="Q1597">
        <f t="shared" si="125"/>
        <v>5</v>
      </c>
      <c r="R1597" t="str">
        <f t="shared" si="126"/>
        <v>Hub Risk</v>
      </c>
      <c r="S1597" t="str">
        <f t="shared" si="127"/>
        <v>Style Risk</v>
      </c>
      <c r="T1597" t="str">
        <f t="shared" si="128"/>
        <v>Risk</v>
      </c>
      <c r="U1597" t="str">
        <f t="shared" si="129"/>
        <v>Low Value</v>
      </c>
    </row>
    <row r="1598" spans="1:21" hidden="1" x14ac:dyDescent="0.2">
      <c r="A1598" s="2">
        <v>1596</v>
      </c>
      <c r="B1598" s="2" t="s">
        <v>9</v>
      </c>
      <c r="C1598" s="2" t="s">
        <v>2235</v>
      </c>
      <c r="D1598" s="2" t="s">
        <v>566</v>
      </c>
      <c r="E1598" s="2">
        <v>80208</v>
      </c>
      <c r="F1598" s="2" t="s">
        <v>35</v>
      </c>
      <c r="G1598" s="2" t="s">
        <v>36</v>
      </c>
      <c r="H1598" s="2">
        <v>1</v>
      </c>
      <c r="I1598" s="2" t="s">
        <v>39</v>
      </c>
      <c r="J1598" s="2" t="str">
        <f>VLOOKUP(E1598,[1]LL_Hub!$A$1:$B$13,2,FALSE)</f>
        <v>Denver</v>
      </c>
      <c r="K1598" t="str">
        <f>VLOOKUP(D1598,'[2]product Table data'!$A$2:$B$12,2,FALSE)</f>
        <v>Female</v>
      </c>
      <c r="L1598" t="str">
        <f>VLOOKUP($D1598,'[2]product Table data'!$A$2:$G$12,L$1,FALSE)</f>
        <v>Casual n Light</v>
      </c>
      <c r="M1598" t="str">
        <f>VLOOKUP($D1598,'[2]product Table data'!$A$2:$G$12,M$1,FALSE)</f>
        <v>Guatemala</v>
      </c>
      <c r="N1598" t="str">
        <f>VLOOKUP($D1598,'[2]product Table data'!$A$2:$G$12,N$1,FALSE)</f>
        <v>Central America</v>
      </c>
      <c r="O1598">
        <f>VLOOKUP($D1598,'[2]product Table data'!$A$2:$G$12,O$1,FALSE)</f>
        <v>25</v>
      </c>
      <c r="P1598">
        <f>VLOOKUP($D1598,'[2]product Table data'!$A$2:$G$12,P$1,FALSE)</f>
        <v>30</v>
      </c>
      <c r="Q1598">
        <f t="shared" si="125"/>
        <v>5</v>
      </c>
      <c r="R1598" t="str">
        <f t="shared" si="126"/>
        <v>Hub Risk</v>
      </c>
      <c r="S1598" t="str">
        <f t="shared" si="127"/>
        <v>Style Risk</v>
      </c>
      <c r="T1598" t="str">
        <f t="shared" si="128"/>
        <v>Risk</v>
      </c>
      <c r="U1598" t="str">
        <f t="shared" si="129"/>
        <v>Low Value</v>
      </c>
    </row>
    <row r="1599" spans="1:21" hidden="1" x14ac:dyDescent="0.2">
      <c r="A1599" s="2">
        <v>1597</v>
      </c>
      <c r="B1599" s="2" t="s">
        <v>9</v>
      </c>
      <c r="C1599" s="2" t="s">
        <v>2236</v>
      </c>
      <c r="D1599" s="2" t="s">
        <v>566</v>
      </c>
      <c r="E1599" s="2">
        <v>80208</v>
      </c>
      <c r="F1599" s="2" t="s">
        <v>35</v>
      </c>
      <c r="G1599" s="2" t="s">
        <v>36</v>
      </c>
      <c r="H1599" s="2">
        <v>1</v>
      </c>
      <c r="I1599" s="2" t="s">
        <v>39</v>
      </c>
      <c r="J1599" s="2" t="str">
        <f>VLOOKUP(E1599,[1]LL_Hub!$A$1:$B$13,2,FALSE)</f>
        <v>Denver</v>
      </c>
      <c r="K1599" t="str">
        <f>VLOOKUP(D1599,'[2]product Table data'!$A$2:$B$12,2,FALSE)</f>
        <v>Female</v>
      </c>
      <c r="L1599" t="str">
        <f>VLOOKUP($D1599,'[2]product Table data'!$A$2:$G$12,L$1,FALSE)</f>
        <v>Casual n Light</v>
      </c>
      <c r="M1599" t="str">
        <f>VLOOKUP($D1599,'[2]product Table data'!$A$2:$G$12,M$1,FALSE)</f>
        <v>Guatemala</v>
      </c>
      <c r="N1599" t="str">
        <f>VLOOKUP($D1599,'[2]product Table data'!$A$2:$G$12,N$1,FALSE)</f>
        <v>Central America</v>
      </c>
      <c r="O1599">
        <f>VLOOKUP($D1599,'[2]product Table data'!$A$2:$G$12,O$1,FALSE)</f>
        <v>25</v>
      </c>
      <c r="P1599">
        <f>VLOOKUP($D1599,'[2]product Table data'!$A$2:$G$12,P$1,FALSE)</f>
        <v>30</v>
      </c>
      <c r="Q1599">
        <f t="shared" si="125"/>
        <v>5</v>
      </c>
      <c r="R1599" t="str">
        <f t="shared" si="126"/>
        <v>Hub Risk</v>
      </c>
      <c r="S1599" t="str">
        <f t="shared" si="127"/>
        <v>Style Risk</v>
      </c>
      <c r="T1599" t="str">
        <f t="shared" si="128"/>
        <v>Risk</v>
      </c>
      <c r="U1599" t="str">
        <f t="shared" si="129"/>
        <v>Low Value</v>
      </c>
    </row>
    <row r="1600" spans="1:21" hidden="1" x14ac:dyDescent="0.2">
      <c r="A1600" s="2">
        <v>1598</v>
      </c>
      <c r="B1600" s="2" t="s">
        <v>9</v>
      </c>
      <c r="C1600" s="2" t="s">
        <v>2237</v>
      </c>
      <c r="D1600" s="2" t="s">
        <v>566</v>
      </c>
      <c r="E1600" s="2">
        <v>80208</v>
      </c>
      <c r="F1600" s="2" t="s">
        <v>35</v>
      </c>
      <c r="G1600" s="2" t="s">
        <v>36</v>
      </c>
      <c r="H1600" s="2">
        <v>1</v>
      </c>
      <c r="I1600" s="2" t="s">
        <v>39</v>
      </c>
      <c r="J1600" s="2" t="str">
        <f>VLOOKUP(E1600,[1]LL_Hub!$A$1:$B$13,2,FALSE)</f>
        <v>Denver</v>
      </c>
      <c r="K1600" t="str">
        <f>VLOOKUP(D1600,'[2]product Table data'!$A$2:$B$12,2,FALSE)</f>
        <v>Female</v>
      </c>
      <c r="L1600" t="str">
        <f>VLOOKUP($D1600,'[2]product Table data'!$A$2:$G$12,L$1,FALSE)</f>
        <v>Casual n Light</v>
      </c>
      <c r="M1600" t="str">
        <f>VLOOKUP($D1600,'[2]product Table data'!$A$2:$G$12,M$1,FALSE)</f>
        <v>Guatemala</v>
      </c>
      <c r="N1600" t="str">
        <f>VLOOKUP($D1600,'[2]product Table data'!$A$2:$G$12,N$1,FALSE)</f>
        <v>Central America</v>
      </c>
      <c r="O1600">
        <f>VLOOKUP($D1600,'[2]product Table data'!$A$2:$G$12,O$1,FALSE)</f>
        <v>25</v>
      </c>
      <c r="P1600">
        <f>VLOOKUP($D1600,'[2]product Table data'!$A$2:$G$12,P$1,FALSE)</f>
        <v>30</v>
      </c>
      <c r="Q1600">
        <f t="shared" si="125"/>
        <v>5</v>
      </c>
      <c r="R1600" t="str">
        <f t="shared" si="126"/>
        <v>Hub Risk</v>
      </c>
      <c r="S1600" t="str">
        <f t="shared" si="127"/>
        <v>Style Risk</v>
      </c>
      <c r="T1600" t="str">
        <f t="shared" si="128"/>
        <v>Risk</v>
      </c>
      <c r="U1600" t="str">
        <f t="shared" si="129"/>
        <v>Low Value</v>
      </c>
    </row>
    <row r="1601" spans="1:21" hidden="1" x14ac:dyDescent="0.2">
      <c r="A1601" s="2">
        <v>1599</v>
      </c>
      <c r="B1601" s="2" t="s">
        <v>9</v>
      </c>
      <c r="C1601" s="2" t="s">
        <v>2238</v>
      </c>
      <c r="D1601" s="2" t="s">
        <v>566</v>
      </c>
      <c r="E1601" s="2">
        <v>80208</v>
      </c>
      <c r="F1601" s="2" t="s">
        <v>35</v>
      </c>
      <c r="G1601" s="2" t="s">
        <v>36</v>
      </c>
      <c r="H1601" s="2">
        <v>1</v>
      </c>
      <c r="I1601" s="2" t="s">
        <v>39</v>
      </c>
      <c r="J1601" s="2" t="str">
        <f>VLOOKUP(E1601,[1]LL_Hub!$A$1:$B$13,2,FALSE)</f>
        <v>Denver</v>
      </c>
      <c r="K1601" t="str">
        <f>VLOOKUP(D1601,'[2]product Table data'!$A$2:$B$12,2,FALSE)</f>
        <v>Female</v>
      </c>
      <c r="L1601" t="str">
        <f>VLOOKUP($D1601,'[2]product Table data'!$A$2:$G$12,L$1,FALSE)</f>
        <v>Casual n Light</v>
      </c>
      <c r="M1601" t="str">
        <f>VLOOKUP($D1601,'[2]product Table data'!$A$2:$G$12,M$1,FALSE)</f>
        <v>Guatemala</v>
      </c>
      <c r="N1601" t="str">
        <f>VLOOKUP($D1601,'[2]product Table data'!$A$2:$G$12,N$1,FALSE)</f>
        <v>Central America</v>
      </c>
      <c r="O1601">
        <f>VLOOKUP($D1601,'[2]product Table data'!$A$2:$G$12,O$1,FALSE)</f>
        <v>25</v>
      </c>
      <c r="P1601">
        <f>VLOOKUP($D1601,'[2]product Table data'!$A$2:$G$12,P$1,FALSE)</f>
        <v>30</v>
      </c>
      <c r="Q1601">
        <f t="shared" si="125"/>
        <v>5</v>
      </c>
      <c r="R1601" t="str">
        <f t="shared" si="126"/>
        <v>Hub Risk</v>
      </c>
      <c r="S1601" t="str">
        <f t="shared" si="127"/>
        <v>Style Risk</v>
      </c>
      <c r="T1601" t="str">
        <f t="shared" si="128"/>
        <v>Risk</v>
      </c>
      <c r="U1601" t="str">
        <f t="shared" si="129"/>
        <v>Low Value</v>
      </c>
    </row>
    <row r="1602" spans="1:21" hidden="1" x14ac:dyDescent="0.2">
      <c r="A1602" s="2">
        <v>1600</v>
      </c>
      <c r="B1602" s="2" t="s">
        <v>9</v>
      </c>
      <c r="C1602" s="2" t="s">
        <v>2239</v>
      </c>
      <c r="D1602" s="2" t="s">
        <v>566</v>
      </c>
      <c r="E1602" s="2">
        <v>80208</v>
      </c>
      <c r="F1602" s="2" t="s">
        <v>35</v>
      </c>
      <c r="G1602" s="2" t="s">
        <v>36</v>
      </c>
      <c r="H1602" s="2">
        <v>1</v>
      </c>
      <c r="I1602" s="2" t="s">
        <v>39</v>
      </c>
      <c r="J1602" s="2" t="str">
        <f>VLOOKUP(E1602,[1]LL_Hub!$A$1:$B$13,2,FALSE)</f>
        <v>Denver</v>
      </c>
      <c r="K1602" t="str">
        <f>VLOOKUP(D1602,'[2]product Table data'!$A$2:$B$12,2,FALSE)</f>
        <v>Female</v>
      </c>
      <c r="L1602" t="str">
        <f>VLOOKUP($D1602,'[2]product Table data'!$A$2:$G$12,L$1,FALSE)</f>
        <v>Casual n Light</v>
      </c>
      <c r="M1602" t="str">
        <f>VLOOKUP($D1602,'[2]product Table data'!$A$2:$G$12,M$1,FALSE)</f>
        <v>Guatemala</v>
      </c>
      <c r="N1602" t="str">
        <f>VLOOKUP($D1602,'[2]product Table data'!$A$2:$G$12,N$1,FALSE)</f>
        <v>Central America</v>
      </c>
      <c r="O1602">
        <f>VLOOKUP($D1602,'[2]product Table data'!$A$2:$G$12,O$1,FALSE)</f>
        <v>25</v>
      </c>
      <c r="P1602">
        <f>VLOOKUP($D1602,'[2]product Table data'!$A$2:$G$12,P$1,FALSE)</f>
        <v>30</v>
      </c>
      <c r="Q1602">
        <f t="shared" si="125"/>
        <v>5</v>
      </c>
      <c r="R1602" t="str">
        <f t="shared" si="126"/>
        <v>Hub Risk</v>
      </c>
      <c r="S1602" t="str">
        <f t="shared" si="127"/>
        <v>Style Risk</v>
      </c>
      <c r="T1602" t="str">
        <f t="shared" si="128"/>
        <v>Risk</v>
      </c>
      <c r="U1602" t="str">
        <f t="shared" si="129"/>
        <v>Low Value</v>
      </c>
    </row>
    <row r="1603" spans="1:21" hidden="1" x14ac:dyDescent="0.2">
      <c r="A1603" s="2">
        <v>1601</v>
      </c>
      <c r="B1603" s="2" t="s">
        <v>9</v>
      </c>
      <c r="C1603" s="2" t="s">
        <v>2240</v>
      </c>
      <c r="D1603" s="2" t="s">
        <v>566</v>
      </c>
      <c r="E1603" s="2">
        <v>80208</v>
      </c>
      <c r="F1603" s="2" t="s">
        <v>35</v>
      </c>
      <c r="G1603" s="2" t="s">
        <v>36</v>
      </c>
      <c r="H1603" s="2">
        <v>1</v>
      </c>
      <c r="I1603" s="2" t="s">
        <v>39</v>
      </c>
      <c r="J1603" s="2" t="str">
        <f>VLOOKUP(E1603,[1]LL_Hub!$A$1:$B$13,2,FALSE)</f>
        <v>Denver</v>
      </c>
      <c r="K1603" t="str">
        <f>VLOOKUP(D1603,'[2]product Table data'!$A$2:$B$12,2,FALSE)</f>
        <v>Female</v>
      </c>
      <c r="L1603" t="str">
        <f>VLOOKUP($D1603,'[2]product Table data'!$A$2:$G$12,L$1,FALSE)</f>
        <v>Casual n Light</v>
      </c>
      <c r="M1603" t="str">
        <f>VLOOKUP($D1603,'[2]product Table data'!$A$2:$G$12,M$1,FALSE)</f>
        <v>Guatemala</v>
      </c>
      <c r="N1603" t="str">
        <f>VLOOKUP($D1603,'[2]product Table data'!$A$2:$G$12,N$1,FALSE)</f>
        <v>Central America</v>
      </c>
      <c r="O1603">
        <f>VLOOKUP($D1603,'[2]product Table data'!$A$2:$G$12,O$1,FALSE)</f>
        <v>25</v>
      </c>
      <c r="P1603">
        <f>VLOOKUP($D1603,'[2]product Table data'!$A$2:$G$12,P$1,FALSE)</f>
        <v>30</v>
      </c>
      <c r="Q1603">
        <f t="shared" si="125"/>
        <v>5</v>
      </c>
      <c r="R1603" t="str">
        <f t="shared" si="126"/>
        <v>Hub Risk</v>
      </c>
      <c r="S1603" t="str">
        <f t="shared" si="127"/>
        <v>Style Risk</v>
      </c>
      <c r="T1603" t="str">
        <f t="shared" si="128"/>
        <v>Risk</v>
      </c>
      <c r="U1603" t="str">
        <f t="shared" si="129"/>
        <v>Low Value</v>
      </c>
    </row>
    <row r="1604" spans="1:21" hidden="1" x14ac:dyDescent="0.2">
      <c r="A1604" s="2">
        <v>1602</v>
      </c>
      <c r="B1604" s="2" t="s">
        <v>9</v>
      </c>
      <c r="C1604" s="2" t="s">
        <v>2241</v>
      </c>
      <c r="D1604" s="2" t="s">
        <v>566</v>
      </c>
      <c r="E1604" s="2">
        <v>80208</v>
      </c>
      <c r="F1604" s="2" t="s">
        <v>35</v>
      </c>
      <c r="G1604" s="2" t="s">
        <v>36</v>
      </c>
      <c r="H1604" s="2">
        <v>1</v>
      </c>
      <c r="I1604" s="2" t="s">
        <v>39</v>
      </c>
      <c r="J1604" s="2" t="str">
        <f>VLOOKUP(E1604,[1]LL_Hub!$A$1:$B$13,2,FALSE)</f>
        <v>Denver</v>
      </c>
      <c r="K1604" t="str">
        <f>VLOOKUP(D1604,'[2]product Table data'!$A$2:$B$12,2,FALSE)</f>
        <v>Female</v>
      </c>
      <c r="L1604" t="str">
        <f>VLOOKUP($D1604,'[2]product Table data'!$A$2:$G$12,L$1,FALSE)</f>
        <v>Casual n Light</v>
      </c>
      <c r="M1604" t="str">
        <f>VLOOKUP($D1604,'[2]product Table data'!$A$2:$G$12,M$1,FALSE)</f>
        <v>Guatemala</v>
      </c>
      <c r="N1604" t="str">
        <f>VLOOKUP($D1604,'[2]product Table data'!$A$2:$G$12,N$1,FALSE)</f>
        <v>Central America</v>
      </c>
      <c r="O1604">
        <f>VLOOKUP($D1604,'[2]product Table data'!$A$2:$G$12,O$1,FALSE)</f>
        <v>25</v>
      </c>
      <c r="P1604">
        <f>VLOOKUP($D1604,'[2]product Table data'!$A$2:$G$12,P$1,FALSE)</f>
        <v>30</v>
      </c>
      <c r="Q1604">
        <f t="shared" ref="Q1604:Q1630" si="130">P1604-O1604</f>
        <v>5</v>
      </c>
      <c r="R1604" t="str">
        <f t="shared" ref="R1604:R1630" si="131">IF(OR(J1604="Los Angeles",J1604="Denver"),"Hub Risk","-")</f>
        <v>Hub Risk</v>
      </c>
      <c r="S1604" t="str">
        <f t="shared" ref="S1604:S1630" si="132">IF(OR(L1604="Casual n Light",L1604="Fancy Sheek"),"Style Risk","-")</f>
        <v>Style Risk</v>
      </c>
      <c r="T1604" t="str">
        <f t="shared" ref="T1604:T1630" si="133">IF(AND(R1604="Hub Risk", S1604="Style Risk"), "Risk", "-")</f>
        <v>Risk</v>
      </c>
      <c r="U1604" t="str">
        <f t="shared" ref="U1604:U1630" si="134">IF(Q1604&lt;=5, "Low Value", "High Value")</f>
        <v>Low Value</v>
      </c>
    </row>
    <row r="1605" spans="1:21" hidden="1" x14ac:dyDescent="0.2">
      <c r="A1605" s="2">
        <v>1603</v>
      </c>
      <c r="B1605" s="2" t="s">
        <v>9</v>
      </c>
      <c r="C1605" s="2" t="s">
        <v>2242</v>
      </c>
      <c r="D1605" s="2" t="s">
        <v>566</v>
      </c>
      <c r="E1605" s="2">
        <v>80208</v>
      </c>
      <c r="F1605" s="2" t="s">
        <v>35</v>
      </c>
      <c r="G1605" s="2" t="s">
        <v>36</v>
      </c>
      <c r="H1605" s="2">
        <v>1</v>
      </c>
      <c r="I1605" s="2" t="s">
        <v>39</v>
      </c>
      <c r="J1605" s="2" t="str">
        <f>VLOOKUP(E1605,[1]LL_Hub!$A$1:$B$13,2,FALSE)</f>
        <v>Denver</v>
      </c>
      <c r="K1605" t="str">
        <f>VLOOKUP(D1605,'[2]product Table data'!$A$2:$B$12,2,FALSE)</f>
        <v>Female</v>
      </c>
      <c r="L1605" t="str">
        <f>VLOOKUP($D1605,'[2]product Table data'!$A$2:$G$12,L$1,FALSE)</f>
        <v>Casual n Light</v>
      </c>
      <c r="M1605" t="str">
        <f>VLOOKUP($D1605,'[2]product Table data'!$A$2:$G$12,M$1,FALSE)</f>
        <v>Guatemala</v>
      </c>
      <c r="N1605" t="str">
        <f>VLOOKUP($D1605,'[2]product Table data'!$A$2:$G$12,N$1,FALSE)</f>
        <v>Central America</v>
      </c>
      <c r="O1605">
        <f>VLOOKUP($D1605,'[2]product Table data'!$A$2:$G$12,O$1,FALSE)</f>
        <v>25</v>
      </c>
      <c r="P1605">
        <f>VLOOKUP($D1605,'[2]product Table data'!$A$2:$G$12,P$1,FALSE)</f>
        <v>30</v>
      </c>
      <c r="Q1605">
        <f t="shared" si="130"/>
        <v>5</v>
      </c>
      <c r="R1605" t="str">
        <f t="shared" si="131"/>
        <v>Hub Risk</v>
      </c>
      <c r="S1605" t="str">
        <f t="shared" si="132"/>
        <v>Style Risk</v>
      </c>
      <c r="T1605" t="str">
        <f t="shared" si="133"/>
        <v>Risk</v>
      </c>
      <c r="U1605" t="str">
        <f t="shared" si="134"/>
        <v>Low Value</v>
      </c>
    </row>
    <row r="1606" spans="1:21" hidden="1" x14ac:dyDescent="0.2">
      <c r="A1606" s="2">
        <v>1604</v>
      </c>
      <c r="B1606" s="2" t="s">
        <v>9</v>
      </c>
      <c r="C1606" s="2" t="s">
        <v>2243</v>
      </c>
      <c r="D1606" s="2" t="s">
        <v>566</v>
      </c>
      <c r="E1606" s="2">
        <v>80208</v>
      </c>
      <c r="F1606" s="2" t="s">
        <v>35</v>
      </c>
      <c r="G1606" s="2" t="s">
        <v>36</v>
      </c>
      <c r="H1606" s="2">
        <v>1</v>
      </c>
      <c r="I1606" s="2" t="s">
        <v>39</v>
      </c>
      <c r="J1606" s="2" t="str">
        <f>VLOOKUP(E1606,[1]LL_Hub!$A$1:$B$13,2,FALSE)</f>
        <v>Denver</v>
      </c>
      <c r="K1606" t="str">
        <f>VLOOKUP(D1606,'[2]product Table data'!$A$2:$B$12,2,FALSE)</f>
        <v>Female</v>
      </c>
      <c r="L1606" t="str">
        <f>VLOOKUP($D1606,'[2]product Table data'!$A$2:$G$12,L$1,FALSE)</f>
        <v>Casual n Light</v>
      </c>
      <c r="M1606" t="str">
        <f>VLOOKUP($D1606,'[2]product Table data'!$A$2:$G$12,M$1,FALSE)</f>
        <v>Guatemala</v>
      </c>
      <c r="N1606" t="str">
        <f>VLOOKUP($D1606,'[2]product Table data'!$A$2:$G$12,N$1,FALSE)</f>
        <v>Central America</v>
      </c>
      <c r="O1606">
        <f>VLOOKUP($D1606,'[2]product Table data'!$A$2:$G$12,O$1,FALSE)</f>
        <v>25</v>
      </c>
      <c r="P1606">
        <f>VLOOKUP($D1606,'[2]product Table data'!$A$2:$G$12,P$1,FALSE)</f>
        <v>30</v>
      </c>
      <c r="Q1606">
        <f t="shared" si="130"/>
        <v>5</v>
      </c>
      <c r="R1606" t="str">
        <f t="shared" si="131"/>
        <v>Hub Risk</v>
      </c>
      <c r="S1606" t="str">
        <f t="shared" si="132"/>
        <v>Style Risk</v>
      </c>
      <c r="T1606" t="str">
        <f t="shared" si="133"/>
        <v>Risk</v>
      </c>
      <c r="U1606" t="str">
        <f t="shared" si="134"/>
        <v>Low Value</v>
      </c>
    </row>
    <row r="1607" spans="1:21" hidden="1" x14ac:dyDescent="0.2">
      <c r="A1607" s="2">
        <v>1605</v>
      </c>
      <c r="B1607" s="2" t="s">
        <v>9</v>
      </c>
      <c r="C1607" s="2" t="s">
        <v>2244</v>
      </c>
      <c r="D1607" s="2" t="s">
        <v>566</v>
      </c>
      <c r="E1607" s="2">
        <v>80208</v>
      </c>
      <c r="F1607" s="2" t="s">
        <v>35</v>
      </c>
      <c r="G1607" s="2" t="s">
        <v>36</v>
      </c>
      <c r="H1607" s="2">
        <v>1</v>
      </c>
      <c r="I1607" s="2" t="s">
        <v>39</v>
      </c>
      <c r="J1607" s="2" t="str">
        <f>VLOOKUP(E1607,[1]LL_Hub!$A$1:$B$13,2,FALSE)</f>
        <v>Denver</v>
      </c>
      <c r="K1607" t="str">
        <f>VLOOKUP(D1607,'[2]product Table data'!$A$2:$B$12,2,FALSE)</f>
        <v>Female</v>
      </c>
      <c r="L1607" t="str">
        <f>VLOOKUP($D1607,'[2]product Table data'!$A$2:$G$12,L$1,FALSE)</f>
        <v>Casual n Light</v>
      </c>
      <c r="M1607" t="str">
        <f>VLOOKUP($D1607,'[2]product Table data'!$A$2:$G$12,M$1,FALSE)</f>
        <v>Guatemala</v>
      </c>
      <c r="N1607" t="str">
        <f>VLOOKUP($D1607,'[2]product Table data'!$A$2:$G$12,N$1,FALSE)</f>
        <v>Central America</v>
      </c>
      <c r="O1607">
        <f>VLOOKUP($D1607,'[2]product Table data'!$A$2:$G$12,O$1,FALSE)</f>
        <v>25</v>
      </c>
      <c r="P1607">
        <f>VLOOKUP($D1607,'[2]product Table data'!$A$2:$G$12,P$1,FALSE)</f>
        <v>30</v>
      </c>
      <c r="Q1607">
        <f t="shared" si="130"/>
        <v>5</v>
      </c>
      <c r="R1607" t="str">
        <f t="shared" si="131"/>
        <v>Hub Risk</v>
      </c>
      <c r="S1607" t="str">
        <f t="shared" si="132"/>
        <v>Style Risk</v>
      </c>
      <c r="T1607" t="str">
        <f t="shared" si="133"/>
        <v>Risk</v>
      </c>
      <c r="U1607" t="str">
        <f t="shared" si="134"/>
        <v>Low Value</v>
      </c>
    </row>
    <row r="1608" spans="1:21" hidden="1" x14ac:dyDescent="0.2">
      <c r="A1608" s="2">
        <v>1606</v>
      </c>
      <c r="B1608" s="2" t="s">
        <v>9</v>
      </c>
      <c r="C1608" s="2" t="s">
        <v>2245</v>
      </c>
      <c r="D1608" s="2" t="s">
        <v>566</v>
      </c>
      <c r="E1608" s="2">
        <v>80208</v>
      </c>
      <c r="F1608" s="2" t="s">
        <v>35</v>
      </c>
      <c r="G1608" s="2" t="s">
        <v>36</v>
      </c>
      <c r="H1608" s="2">
        <v>1</v>
      </c>
      <c r="I1608" s="2" t="s">
        <v>39</v>
      </c>
      <c r="J1608" s="2" t="str">
        <f>VLOOKUP(E1608,[1]LL_Hub!$A$1:$B$13,2,FALSE)</f>
        <v>Denver</v>
      </c>
      <c r="K1608" t="str">
        <f>VLOOKUP(D1608,'[2]product Table data'!$A$2:$B$12,2,FALSE)</f>
        <v>Female</v>
      </c>
      <c r="L1608" t="str">
        <f>VLOOKUP($D1608,'[2]product Table data'!$A$2:$G$12,L$1,FALSE)</f>
        <v>Casual n Light</v>
      </c>
      <c r="M1608" t="str">
        <f>VLOOKUP($D1608,'[2]product Table data'!$A$2:$G$12,M$1,FALSE)</f>
        <v>Guatemala</v>
      </c>
      <c r="N1608" t="str">
        <f>VLOOKUP($D1608,'[2]product Table data'!$A$2:$G$12,N$1,FALSE)</f>
        <v>Central America</v>
      </c>
      <c r="O1608">
        <f>VLOOKUP($D1608,'[2]product Table data'!$A$2:$G$12,O$1,FALSE)</f>
        <v>25</v>
      </c>
      <c r="P1608">
        <f>VLOOKUP($D1608,'[2]product Table data'!$A$2:$G$12,P$1,FALSE)</f>
        <v>30</v>
      </c>
      <c r="Q1608">
        <f t="shared" si="130"/>
        <v>5</v>
      </c>
      <c r="R1608" t="str">
        <f t="shared" si="131"/>
        <v>Hub Risk</v>
      </c>
      <c r="S1608" t="str">
        <f t="shared" si="132"/>
        <v>Style Risk</v>
      </c>
      <c r="T1608" t="str">
        <f t="shared" si="133"/>
        <v>Risk</v>
      </c>
      <c r="U1608" t="str">
        <f t="shared" si="134"/>
        <v>Low Value</v>
      </c>
    </row>
    <row r="1609" spans="1:21" hidden="1" x14ac:dyDescent="0.2">
      <c r="A1609" s="2">
        <v>1607</v>
      </c>
      <c r="B1609" s="2" t="s">
        <v>9</v>
      </c>
      <c r="C1609" s="2" t="s">
        <v>2246</v>
      </c>
      <c r="D1609" s="2" t="s">
        <v>566</v>
      </c>
      <c r="E1609" s="2">
        <v>80208</v>
      </c>
      <c r="F1609" s="2" t="s">
        <v>35</v>
      </c>
      <c r="G1609" s="2" t="s">
        <v>36</v>
      </c>
      <c r="H1609" s="2">
        <v>1</v>
      </c>
      <c r="I1609" s="2" t="s">
        <v>39</v>
      </c>
      <c r="J1609" s="2" t="str">
        <f>VLOOKUP(E1609,[1]LL_Hub!$A$1:$B$13,2,FALSE)</f>
        <v>Denver</v>
      </c>
      <c r="K1609" t="str">
        <f>VLOOKUP(D1609,'[2]product Table data'!$A$2:$B$12,2,FALSE)</f>
        <v>Female</v>
      </c>
      <c r="L1609" t="str">
        <f>VLOOKUP($D1609,'[2]product Table data'!$A$2:$G$12,L$1,FALSE)</f>
        <v>Casual n Light</v>
      </c>
      <c r="M1609" t="str">
        <f>VLOOKUP($D1609,'[2]product Table data'!$A$2:$G$12,M$1,FALSE)</f>
        <v>Guatemala</v>
      </c>
      <c r="N1609" t="str">
        <f>VLOOKUP($D1609,'[2]product Table data'!$A$2:$G$12,N$1,FALSE)</f>
        <v>Central America</v>
      </c>
      <c r="O1609">
        <f>VLOOKUP($D1609,'[2]product Table data'!$A$2:$G$12,O$1,FALSE)</f>
        <v>25</v>
      </c>
      <c r="P1609">
        <f>VLOOKUP($D1609,'[2]product Table data'!$A$2:$G$12,P$1,FALSE)</f>
        <v>30</v>
      </c>
      <c r="Q1609">
        <f t="shared" si="130"/>
        <v>5</v>
      </c>
      <c r="R1609" t="str">
        <f t="shared" si="131"/>
        <v>Hub Risk</v>
      </c>
      <c r="S1609" t="str">
        <f t="shared" si="132"/>
        <v>Style Risk</v>
      </c>
      <c r="T1609" t="str">
        <f t="shared" si="133"/>
        <v>Risk</v>
      </c>
      <c r="U1609" t="str">
        <f t="shared" si="134"/>
        <v>Low Value</v>
      </c>
    </row>
    <row r="1610" spans="1:21" hidden="1" x14ac:dyDescent="0.2">
      <c r="A1610" s="2">
        <v>1608</v>
      </c>
      <c r="B1610" s="2" t="s">
        <v>9</v>
      </c>
      <c r="C1610" s="2" t="s">
        <v>2247</v>
      </c>
      <c r="D1610" s="2" t="s">
        <v>566</v>
      </c>
      <c r="E1610" s="2">
        <v>80208</v>
      </c>
      <c r="F1610" s="2" t="s">
        <v>35</v>
      </c>
      <c r="G1610" s="2" t="s">
        <v>36</v>
      </c>
      <c r="H1610" s="2">
        <v>1</v>
      </c>
      <c r="I1610" s="2" t="s">
        <v>39</v>
      </c>
      <c r="J1610" s="2" t="str">
        <f>VLOOKUP(E1610,[1]LL_Hub!$A$1:$B$13,2,FALSE)</f>
        <v>Denver</v>
      </c>
      <c r="K1610" t="str">
        <f>VLOOKUP(D1610,'[2]product Table data'!$A$2:$B$12,2,FALSE)</f>
        <v>Female</v>
      </c>
      <c r="L1610" t="str">
        <f>VLOOKUP($D1610,'[2]product Table data'!$A$2:$G$12,L$1,FALSE)</f>
        <v>Casual n Light</v>
      </c>
      <c r="M1610" t="str">
        <f>VLOOKUP($D1610,'[2]product Table data'!$A$2:$G$12,M$1,FALSE)</f>
        <v>Guatemala</v>
      </c>
      <c r="N1610" t="str">
        <f>VLOOKUP($D1610,'[2]product Table data'!$A$2:$G$12,N$1,FALSE)</f>
        <v>Central America</v>
      </c>
      <c r="O1610">
        <f>VLOOKUP($D1610,'[2]product Table data'!$A$2:$G$12,O$1,FALSE)</f>
        <v>25</v>
      </c>
      <c r="P1610">
        <f>VLOOKUP($D1610,'[2]product Table data'!$A$2:$G$12,P$1,FALSE)</f>
        <v>30</v>
      </c>
      <c r="Q1610">
        <f t="shared" si="130"/>
        <v>5</v>
      </c>
      <c r="R1610" t="str">
        <f t="shared" si="131"/>
        <v>Hub Risk</v>
      </c>
      <c r="S1610" t="str">
        <f t="shared" si="132"/>
        <v>Style Risk</v>
      </c>
      <c r="T1610" t="str">
        <f t="shared" si="133"/>
        <v>Risk</v>
      </c>
      <c r="U1610" t="str">
        <f t="shared" si="134"/>
        <v>Low Value</v>
      </c>
    </row>
    <row r="1611" spans="1:21" hidden="1" x14ac:dyDescent="0.2">
      <c r="A1611" s="2">
        <v>1609</v>
      </c>
      <c r="B1611" s="2" t="s">
        <v>9</v>
      </c>
      <c r="C1611" s="2" t="s">
        <v>2248</v>
      </c>
      <c r="D1611" s="2" t="s">
        <v>566</v>
      </c>
      <c r="E1611" s="2">
        <v>80208</v>
      </c>
      <c r="F1611" s="2" t="s">
        <v>35</v>
      </c>
      <c r="G1611" s="2" t="s">
        <v>36</v>
      </c>
      <c r="H1611" s="2">
        <v>1</v>
      </c>
      <c r="I1611" s="2" t="s">
        <v>39</v>
      </c>
      <c r="J1611" s="2" t="str">
        <f>VLOOKUP(E1611,[1]LL_Hub!$A$1:$B$13,2,FALSE)</f>
        <v>Denver</v>
      </c>
      <c r="K1611" t="str">
        <f>VLOOKUP(D1611,'[2]product Table data'!$A$2:$B$12,2,FALSE)</f>
        <v>Female</v>
      </c>
      <c r="L1611" t="str">
        <f>VLOOKUP($D1611,'[2]product Table data'!$A$2:$G$12,L$1,FALSE)</f>
        <v>Casual n Light</v>
      </c>
      <c r="M1611" t="str">
        <f>VLOOKUP($D1611,'[2]product Table data'!$A$2:$G$12,M$1,FALSE)</f>
        <v>Guatemala</v>
      </c>
      <c r="N1611" t="str">
        <f>VLOOKUP($D1611,'[2]product Table data'!$A$2:$G$12,N$1,FALSE)</f>
        <v>Central America</v>
      </c>
      <c r="O1611">
        <f>VLOOKUP($D1611,'[2]product Table data'!$A$2:$G$12,O$1,FALSE)</f>
        <v>25</v>
      </c>
      <c r="P1611">
        <f>VLOOKUP($D1611,'[2]product Table data'!$A$2:$G$12,P$1,FALSE)</f>
        <v>30</v>
      </c>
      <c r="Q1611">
        <f t="shared" si="130"/>
        <v>5</v>
      </c>
      <c r="R1611" t="str">
        <f t="shared" si="131"/>
        <v>Hub Risk</v>
      </c>
      <c r="S1611" t="str">
        <f t="shared" si="132"/>
        <v>Style Risk</v>
      </c>
      <c r="T1611" t="str">
        <f t="shared" si="133"/>
        <v>Risk</v>
      </c>
      <c r="U1611" t="str">
        <f t="shared" si="134"/>
        <v>Low Value</v>
      </c>
    </row>
    <row r="1612" spans="1:21" hidden="1" x14ac:dyDescent="0.2">
      <c r="A1612" s="2">
        <v>1610</v>
      </c>
      <c r="B1612" s="2" t="s">
        <v>9</v>
      </c>
      <c r="C1612" s="2" t="s">
        <v>2249</v>
      </c>
      <c r="D1612" s="2" t="s">
        <v>566</v>
      </c>
      <c r="E1612" s="2">
        <v>80208</v>
      </c>
      <c r="F1612" s="2" t="s">
        <v>35</v>
      </c>
      <c r="G1612" s="2" t="s">
        <v>36</v>
      </c>
      <c r="H1612" s="2">
        <v>1</v>
      </c>
      <c r="I1612" s="2" t="s">
        <v>39</v>
      </c>
      <c r="J1612" s="2" t="str">
        <f>VLOOKUP(E1612,[1]LL_Hub!$A$1:$B$13,2,FALSE)</f>
        <v>Denver</v>
      </c>
      <c r="K1612" t="str">
        <f>VLOOKUP(D1612,'[2]product Table data'!$A$2:$B$12,2,FALSE)</f>
        <v>Female</v>
      </c>
      <c r="L1612" t="str">
        <f>VLOOKUP($D1612,'[2]product Table data'!$A$2:$G$12,L$1,FALSE)</f>
        <v>Casual n Light</v>
      </c>
      <c r="M1612" t="str">
        <f>VLOOKUP($D1612,'[2]product Table data'!$A$2:$G$12,M$1,FALSE)</f>
        <v>Guatemala</v>
      </c>
      <c r="N1612" t="str">
        <f>VLOOKUP($D1612,'[2]product Table data'!$A$2:$G$12,N$1,FALSE)</f>
        <v>Central America</v>
      </c>
      <c r="O1612">
        <f>VLOOKUP($D1612,'[2]product Table data'!$A$2:$G$12,O$1,FALSE)</f>
        <v>25</v>
      </c>
      <c r="P1612">
        <f>VLOOKUP($D1612,'[2]product Table data'!$A$2:$G$12,P$1,FALSE)</f>
        <v>30</v>
      </c>
      <c r="Q1612">
        <f t="shared" si="130"/>
        <v>5</v>
      </c>
      <c r="R1612" t="str">
        <f t="shared" si="131"/>
        <v>Hub Risk</v>
      </c>
      <c r="S1612" t="str">
        <f t="shared" si="132"/>
        <v>Style Risk</v>
      </c>
      <c r="T1612" t="str">
        <f t="shared" si="133"/>
        <v>Risk</v>
      </c>
      <c r="U1612" t="str">
        <f t="shared" si="134"/>
        <v>Low Value</v>
      </c>
    </row>
    <row r="1613" spans="1:21" hidden="1" x14ac:dyDescent="0.2">
      <c r="A1613" s="2">
        <v>1611</v>
      </c>
      <c r="B1613" s="2" t="s">
        <v>9</v>
      </c>
      <c r="C1613" s="2" t="s">
        <v>2250</v>
      </c>
      <c r="D1613" s="2" t="s">
        <v>566</v>
      </c>
      <c r="E1613" s="2">
        <v>80208</v>
      </c>
      <c r="F1613" s="2" t="s">
        <v>35</v>
      </c>
      <c r="G1613" s="2" t="s">
        <v>36</v>
      </c>
      <c r="H1613" s="2">
        <v>1</v>
      </c>
      <c r="I1613" s="2" t="s">
        <v>39</v>
      </c>
      <c r="J1613" s="2" t="str">
        <f>VLOOKUP(E1613,[1]LL_Hub!$A$1:$B$13,2,FALSE)</f>
        <v>Denver</v>
      </c>
      <c r="K1613" t="str">
        <f>VLOOKUP(D1613,'[2]product Table data'!$A$2:$B$12,2,FALSE)</f>
        <v>Female</v>
      </c>
      <c r="L1613" t="str">
        <f>VLOOKUP($D1613,'[2]product Table data'!$A$2:$G$12,L$1,FALSE)</f>
        <v>Casual n Light</v>
      </c>
      <c r="M1613" t="str">
        <f>VLOOKUP($D1613,'[2]product Table data'!$A$2:$G$12,M$1,FALSE)</f>
        <v>Guatemala</v>
      </c>
      <c r="N1613" t="str">
        <f>VLOOKUP($D1613,'[2]product Table data'!$A$2:$G$12,N$1,FALSE)</f>
        <v>Central America</v>
      </c>
      <c r="O1613">
        <f>VLOOKUP($D1613,'[2]product Table data'!$A$2:$G$12,O$1,FALSE)</f>
        <v>25</v>
      </c>
      <c r="P1613">
        <f>VLOOKUP($D1613,'[2]product Table data'!$A$2:$G$12,P$1,FALSE)</f>
        <v>30</v>
      </c>
      <c r="Q1613">
        <f t="shared" si="130"/>
        <v>5</v>
      </c>
      <c r="R1613" t="str">
        <f t="shared" si="131"/>
        <v>Hub Risk</v>
      </c>
      <c r="S1613" t="str">
        <f t="shared" si="132"/>
        <v>Style Risk</v>
      </c>
      <c r="T1613" t="str">
        <f t="shared" si="133"/>
        <v>Risk</v>
      </c>
      <c r="U1613" t="str">
        <f t="shared" si="134"/>
        <v>Low Value</v>
      </c>
    </row>
    <row r="1614" spans="1:21" hidden="1" x14ac:dyDescent="0.2">
      <c r="A1614" s="2">
        <v>1612</v>
      </c>
      <c r="B1614" s="2" t="s">
        <v>9</v>
      </c>
      <c r="C1614" s="2" t="s">
        <v>2251</v>
      </c>
      <c r="D1614" s="2" t="s">
        <v>566</v>
      </c>
      <c r="E1614" s="2">
        <v>80208</v>
      </c>
      <c r="F1614" s="2" t="s">
        <v>35</v>
      </c>
      <c r="G1614" s="2" t="s">
        <v>36</v>
      </c>
      <c r="H1614" s="2">
        <v>1</v>
      </c>
      <c r="I1614" s="2" t="s">
        <v>39</v>
      </c>
      <c r="J1614" s="2" t="str">
        <f>VLOOKUP(E1614,[1]LL_Hub!$A$1:$B$13,2,FALSE)</f>
        <v>Denver</v>
      </c>
      <c r="K1614" t="str">
        <f>VLOOKUP(D1614,'[2]product Table data'!$A$2:$B$12,2,FALSE)</f>
        <v>Female</v>
      </c>
      <c r="L1614" t="str">
        <f>VLOOKUP($D1614,'[2]product Table data'!$A$2:$G$12,L$1,FALSE)</f>
        <v>Casual n Light</v>
      </c>
      <c r="M1614" t="str">
        <f>VLOOKUP($D1614,'[2]product Table data'!$A$2:$G$12,M$1,FALSE)</f>
        <v>Guatemala</v>
      </c>
      <c r="N1614" t="str">
        <f>VLOOKUP($D1614,'[2]product Table data'!$A$2:$G$12,N$1,FALSE)</f>
        <v>Central America</v>
      </c>
      <c r="O1614">
        <f>VLOOKUP($D1614,'[2]product Table data'!$A$2:$G$12,O$1,FALSE)</f>
        <v>25</v>
      </c>
      <c r="P1614">
        <f>VLOOKUP($D1614,'[2]product Table data'!$A$2:$G$12,P$1,FALSE)</f>
        <v>30</v>
      </c>
      <c r="Q1614">
        <f t="shared" si="130"/>
        <v>5</v>
      </c>
      <c r="R1614" t="str">
        <f t="shared" si="131"/>
        <v>Hub Risk</v>
      </c>
      <c r="S1614" t="str">
        <f t="shared" si="132"/>
        <v>Style Risk</v>
      </c>
      <c r="T1614" t="str">
        <f t="shared" si="133"/>
        <v>Risk</v>
      </c>
      <c r="U1614" t="str">
        <f t="shared" si="134"/>
        <v>Low Value</v>
      </c>
    </row>
    <row r="1615" spans="1:21" hidden="1" x14ac:dyDescent="0.2">
      <c r="A1615" s="2">
        <v>1613</v>
      </c>
      <c r="B1615" s="2" t="s">
        <v>9</v>
      </c>
      <c r="C1615" s="2" t="s">
        <v>2252</v>
      </c>
      <c r="D1615" s="2" t="s">
        <v>566</v>
      </c>
      <c r="E1615" s="2">
        <v>80208</v>
      </c>
      <c r="F1615" s="2" t="s">
        <v>35</v>
      </c>
      <c r="G1615" s="2" t="s">
        <v>36</v>
      </c>
      <c r="H1615" s="2">
        <v>1</v>
      </c>
      <c r="I1615" s="2" t="s">
        <v>39</v>
      </c>
      <c r="J1615" s="2" t="str">
        <f>VLOOKUP(E1615,[1]LL_Hub!$A$1:$B$13,2,FALSE)</f>
        <v>Denver</v>
      </c>
      <c r="K1615" t="str">
        <f>VLOOKUP(D1615,'[2]product Table data'!$A$2:$B$12,2,FALSE)</f>
        <v>Female</v>
      </c>
      <c r="L1615" t="str">
        <f>VLOOKUP($D1615,'[2]product Table data'!$A$2:$G$12,L$1,FALSE)</f>
        <v>Casual n Light</v>
      </c>
      <c r="M1615" t="str">
        <f>VLOOKUP($D1615,'[2]product Table data'!$A$2:$G$12,M$1,FALSE)</f>
        <v>Guatemala</v>
      </c>
      <c r="N1615" t="str">
        <f>VLOOKUP($D1615,'[2]product Table data'!$A$2:$G$12,N$1,FALSE)</f>
        <v>Central America</v>
      </c>
      <c r="O1615">
        <f>VLOOKUP($D1615,'[2]product Table data'!$A$2:$G$12,O$1,FALSE)</f>
        <v>25</v>
      </c>
      <c r="P1615">
        <f>VLOOKUP($D1615,'[2]product Table data'!$A$2:$G$12,P$1,FALSE)</f>
        <v>30</v>
      </c>
      <c r="Q1615">
        <f t="shared" si="130"/>
        <v>5</v>
      </c>
      <c r="R1615" t="str">
        <f t="shared" si="131"/>
        <v>Hub Risk</v>
      </c>
      <c r="S1615" t="str">
        <f t="shared" si="132"/>
        <v>Style Risk</v>
      </c>
      <c r="T1615" t="str">
        <f t="shared" si="133"/>
        <v>Risk</v>
      </c>
      <c r="U1615" t="str">
        <f t="shared" si="134"/>
        <v>Low Value</v>
      </c>
    </row>
    <row r="1616" spans="1:21" hidden="1" x14ac:dyDescent="0.2">
      <c r="A1616" s="2">
        <v>1614</v>
      </c>
      <c r="B1616" s="2" t="s">
        <v>9</v>
      </c>
      <c r="C1616" s="2" t="s">
        <v>2253</v>
      </c>
      <c r="D1616" s="2" t="s">
        <v>566</v>
      </c>
      <c r="E1616" s="2">
        <v>80208</v>
      </c>
      <c r="F1616" s="2" t="s">
        <v>496</v>
      </c>
      <c r="G1616" s="2" t="s">
        <v>36</v>
      </c>
      <c r="H1616" s="2">
        <v>1</v>
      </c>
      <c r="I1616" s="2" t="s">
        <v>39</v>
      </c>
      <c r="J1616" s="2" t="str">
        <f>VLOOKUP(E1616,[1]LL_Hub!$A$1:$B$13,2,FALSE)</f>
        <v>Denver</v>
      </c>
      <c r="K1616" t="str">
        <f>VLOOKUP(D1616,'[2]product Table data'!$A$2:$B$12,2,FALSE)</f>
        <v>Female</v>
      </c>
      <c r="L1616" t="str">
        <f>VLOOKUP($D1616,'[2]product Table data'!$A$2:$G$12,L$1,FALSE)</f>
        <v>Casual n Light</v>
      </c>
      <c r="M1616" t="str">
        <f>VLOOKUP($D1616,'[2]product Table data'!$A$2:$G$12,M$1,FALSE)</f>
        <v>Guatemala</v>
      </c>
      <c r="N1616" t="str">
        <f>VLOOKUP($D1616,'[2]product Table data'!$A$2:$G$12,N$1,FALSE)</f>
        <v>Central America</v>
      </c>
      <c r="O1616">
        <f>VLOOKUP($D1616,'[2]product Table data'!$A$2:$G$12,O$1,FALSE)</f>
        <v>25</v>
      </c>
      <c r="P1616">
        <f>VLOOKUP($D1616,'[2]product Table data'!$A$2:$G$12,P$1,FALSE)</f>
        <v>30</v>
      </c>
      <c r="Q1616">
        <f t="shared" si="130"/>
        <v>5</v>
      </c>
      <c r="R1616" t="str">
        <f t="shared" si="131"/>
        <v>Hub Risk</v>
      </c>
      <c r="S1616" t="str">
        <f t="shared" si="132"/>
        <v>Style Risk</v>
      </c>
      <c r="T1616" t="str">
        <f t="shared" si="133"/>
        <v>Risk</v>
      </c>
      <c r="U1616" t="str">
        <f t="shared" si="134"/>
        <v>Low Value</v>
      </c>
    </row>
    <row r="1617" spans="1:21" hidden="1" x14ac:dyDescent="0.2">
      <c r="A1617" s="2">
        <v>1615</v>
      </c>
      <c r="B1617" s="2" t="s">
        <v>9</v>
      </c>
      <c r="C1617" s="2" t="s">
        <v>2254</v>
      </c>
      <c r="D1617" s="2" t="s">
        <v>566</v>
      </c>
      <c r="E1617" s="2">
        <v>80208</v>
      </c>
      <c r="F1617" s="2" t="s">
        <v>496</v>
      </c>
      <c r="G1617" s="2" t="s">
        <v>36</v>
      </c>
      <c r="H1617" s="2">
        <v>1</v>
      </c>
      <c r="I1617" s="2" t="s">
        <v>39</v>
      </c>
      <c r="J1617" s="2" t="str">
        <f>VLOOKUP(E1617,[1]LL_Hub!$A$1:$B$13,2,FALSE)</f>
        <v>Denver</v>
      </c>
      <c r="K1617" t="str">
        <f>VLOOKUP(D1617,'[2]product Table data'!$A$2:$B$12,2,FALSE)</f>
        <v>Female</v>
      </c>
      <c r="L1617" t="str">
        <f>VLOOKUP($D1617,'[2]product Table data'!$A$2:$G$12,L$1,FALSE)</f>
        <v>Casual n Light</v>
      </c>
      <c r="M1617" t="str">
        <f>VLOOKUP($D1617,'[2]product Table data'!$A$2:$G$12,M$1,FALSE)</f>
        <v>Guatemala</v>
      </c>
      <c r="N1617" t="str">
        <f>VLOOKUP($D1617,'[2]product Table data'!$A$2:$G$12,N$1,FALSE)</f>
        <v>Central America</v>
      </c>
      <c r="O1617">
        <f>VLOOKUP($D1617,'[2]product Table data'!$A$2:$G$12,O$1,FALSE)</f>
        <v>25</v>
      </c>
      <c r="P1617">
        <f>VLOOKUP($D1617,'[2]product Table data'!$A$2:$G$12,P$1,FALSE)</f>
        <v>30</v>
      </c>
      <c r="Q1617">
        <f t="shared" si="130"/>
        <v>5</v>
      </c>
      <c r="R1617" t="str">
        <f t="shared" si="131"/>
        <v>Hub Risk</v>
      </c>
      <c r="S1617" t="str">
        <f t="shared" si="132"/>
        <v>Style Risk</v>
      </c>
      <c r="T1617" t="str">
        <f t="shared" si="133"/>
        <v>Risk</v>
      </c>
      <c r="U1617" t="str">
        <f t="shared" si="134"/>
        <v>Low Value</v>
      </c>
    </row>
    <row r="1618" spans="1:21" hidden="1" x14ac:dyDescent="0.2">
      <c r="A1618" s="2">
        <v>1616</v>
      </c>
      <c r="B1618" s="2" t="s">
        <v>9</v>
      </c>
      <c r="C1618" s="2" t="s">
        <v>2255</v>
      </c>
      <c r="D1618" s="2" t="s">
        <v>566</v>
      </c>
      <c r="E1618" s="2">
        <v>80208</v>
      </c>
      <c r="F1618" s="2" t="s">
        <v>496</v>
      </c>
      <c r="G1618" s="2" t="s">
        <v>36</v>
      </c>
      <c r="H1618" s="2">
        <v>1</v>
      </c>
      <c r="I1618" s="2" t="s">
        <v>39</v>
      </c>
      <c r="J1618" s="2" t="str">
        <f>VLOOKUP(E1618,[1]LL_Hub!$A$1:$B$13,2,FALSE)</f>
        <v>Denver</v>
      </c>
      <c r="K1618" t="str">
        <f>VLOOKUP(D1618,'[2]product Table data'!$A$2:$B$12,2,FALSE)</f>
        <v>Female</v>
      </c>
      <c r="L1618" t="str">
        <f>VLOOKUP($D1618,'[2]product Table data'!$A$2:$G$12,L$1,FALSE)</f>
        <v>Casual n Light</v>
      </c>
      <c r="M1618" t="str">
        <f>VLOOKUP($D1618,'[2]product Table data'!$A$2:$G$12,M$1,FALSE)</f>
        <v>Guatemala</v>
      </c>
      <c r="N1618" t="str">
        <f>VLOOKUP($D1618,'[2]product Table data'!$A$2:$G$12,N$1,FALSE)</f>
        <v>Central America</v>
      </c>
      <c r="O1618">
        <f>VLOOKUP($D1618,'[2]product Table data'!$A$2:$G$12,O$1,FALSE)</f>
        <v>25</v>
      </c>
      <c r="P1618">
        <f>VLOOKUP($D1618,'[2]product Table data'!$A$2:$G$12,P$1,FALSE)</f>
        <v>30</v>
      </c>
      <c r="Q1618">
        <f t="shared" si="130"/>
        <v>5</v>
      </c>
      <c r="R1618" t="str">
        <f t="shared" si="131"/>
        <v>Hub Risk</v>
      </c>
      <c r="S1618" t="str">
        <f t="shared" si="132"/>
        <v>Style Risk</v>
      </c>
      <c r="T1618" t="str">
        <f t="shared" si="133"/>
        <v>Risk</v>
      </c>
      <c r="U1618" t="str">
        <f t="shared" si="134"/>
        <v>Low Value</v>
      </c>
    </row>
    <row r="1619" spans="1:21" hidden="1" x14ac:dyDescent="0.2">
      <c r="A1619" s="2">
        <v>1617</v>
      </c>
      <c r="B1619" s="2" t="s">
        <v>9</v>
      </c>
      <c r="C1619" s="2" t="s">
        <v>2256</v>
      </c>
      <c r="D1619" s="2" t="s">
        <v>566</v>
      </c>
      <c r="E1619" s="2">
        <v>80208</v>
      </c>
      <c r="F1619" s="2" t="s">
        <v>496</v>
      </c>
      <c r="G1619" s="2" t="s">
        <v>36</v>
      </c>
      <c r="H1619" s="2">
        <v>1</v>
      </c>
      <c r="I1619" s="2" t="s">
        <v>39</v>
      </c>
      <c r="J1619" s="2" t="str">
        <f>VLOOKUP(E1619,[1]LL_Hub!$A$1:$B$13,2,FALSE)</f>
        <v>Denver</v>
      </c>
      <c r="K1619" t="str">
        <f>VLOOKUP(D1619,'[2]product Table data'!$A$2:$B$12,2,FALSE)</f>
        <v>Female</v>
      </c>
      <c r="L1619" t="str">
        <f>VLOOKUP($D1619,'[2]product Table data'!$A$2:$G$12,L$1,FALSE)</f>
        <v>Casual n Light</v>
      </c>
      <c r="M1619" t="str">
        <f>VLOOKUP($D1619,'[2]product Table data'!$A$2:$G$12,M$1,FALSE)</f>
        <v>Guatemala</v>
      </c>
      <c r="N1619" t="str">
        <f>VLOOKUP($D1619,'[2]product Table data'!$A$2:$G$12,N$1,FALSE)</f>
        <v>Central America</v>
      </c>
      <c r="O1619">
        <f>VLOOKUP($D1619,'[2]product Table data'!$A$2:$G$12,O$1,FALSE)</f>
        <v>25</v>
      </c>
      <c r="P1619">
        <f>VLOOKUP($D1619,'[2]product Table data'!$A$2:$G$12,P$1,FALSE)</f>
        <v>30</v>
      </c>
      <c r="Q1619">
        <f t="shared" si="130"/>
        <v>5</v>
      </c>
      <c r="R1619" t="str">
        <f t="shared" si="131"/>
        <v>Hub Risk</v>
      </c>
      <c r="S1619" t="str">
        <f t="shared" si="132"/>
        <v>Style Risk</v>
      </c>
      <c r="T1619" t="str">
        <f t="shared" si="133"/>
        <v>Risk</v>
      </c>
      <c r="U1619" t="str">
        <f t="shared" si="134"/>
        <v>Low Value</v>
      </c>
    </row>
    <row r="1620" spans="1:21" hidden="1" x14ac:dyDescent="0.2">
      <c r="A1620" s="2">
        <v>1618</v>
      </c>
      <c r="B1620" s="2" t="s">
        <v>9</v>
      </c>
      <c r="C1620" s="2" t="s">
        <v>2257</v>
      </c>
      <c r="D1620" s="2" t="s">
        <v>566</v>
      </c>
      <c r="E1620" s="2">
        <v>80208</v>
      </c>
      <c r="F1620" s="2" t="s">
        <v>496</v>
      </c>
      <c r="G1620" s="2" t="s">
        <v>36</v>
      </c>
      <c r="H1620" s="2">
        <v>1</v>
      </c>
      <c r="I1620" s="2" t="s">
        <v>39</v>
      </c>
      <c r="J1620" s="2" t="str">
        <f>VLOOKUP(E1620,[1]LL_Hub!$A$1:$B$13,2,FALSE)</f>
        <v>Denver</v>
      </c>
      <c r="K1620" t="str">
        <f>VLOOKUP(D1620,'[2]product Table data'!$A$2:$B$12,2,FALSE)</f>
        <v>Female</v>
      </c>
      <c r="L1620" t="str">
        <f>VLOOKUP($D1620,'[2]product Table data'!$A$2:$G$12,L$1,FALSE)</f>
        <v>Casual n Light</v>
      </c>
      <c r="M1620" t="str">
        <f>VLOOKUP($D1620,'[2]product Table data'!$A$2:$G$12,M$1,FALSE)</f>
        <v>Guatemala</v>
      </c>
      <c r="N1620" t="str">
        <f>VLOOKUP($D1620,'[2]product Table data'!$A$2:$G$12,N$1,FALSE)</f>
        <v>Central America</v>
      </c>
      <c r="O1620">
        <f>VLOOKUP($D1620,'[2]product Table data'!$A$2:$G$12,O$1,FALSE)</f>
        <v>25</v>
      </c>
      <c r="P1620">
        <f>VLOOKUP($D1620,'[2]product Table data'!$A$2:$G$12,P$1,FALSE)</f>
        <v>30</v>
      </c>
      <c r="Q1620">
        <f t="shared" si="130"/>
        <v>5</v>
      </c>
      <c r="R1620" t="str">
        <f t="shared" si="131"/>
        <v>Hub Risk</v>
      </c>
      <c r="S1620" t="str">
        <f t="shared" si="132"/>
        <v>Style Risk</v>
      </c>
      <c r="T1620" t="str">
        <f t="shared" si="133"/>
        <v>Risk</v>
      </c>
      <c r="U1620" t="str">
        <f t="shared" si="134"/>
        <v>Low Value</v>
      </c>
    </row>
    <row r="1621" spans="1:21" hidden="1" x14ac:dyDescent="0.2">
      <c r="A1621" s="2">
        <v>1619</v>
      </c>
      <c r="B1621" s="2" t="s">
        <v>9</v>
      </c>
      <c r="C1621" s="2" t="s">
        <v>2258</v>
      </c>
      <c r="D1621" s="2" t="s">
        <v>566</v>
      </c>
      <c r="E1621" s="2">
        <v>80208</v>
      </c>
      <c r="F1621" s="2" t="s">
        <v>496</v>
      </c>
      <c r="G1621" s="2" t="s">
        <v>36</v>
      </c>
      <c r="H1621" s="2">
        <v>1</v>
      </c>
      <c r="I1621" s="2" t="s">
        <v>39</v>
      </c>
      <c r="J1621" s="2" t="str">
        <f>VLOOKUP(E1621,[1]LL_Hub!$A$1:$B$13,2,FALSE)</f>
        <v>Denver</v>
      </c>
      <c r="K1621" t="str">
        <f>VLOOKUP(D1621,'[2]product Table data'!$A$2:$B$12,2,FALSE)</f>
        <v>Female</v>
      </c>
      <c r="L1621" t="str">
        <f>VLOOKUP($D1621,'[2]product Table data'!$A$2:$G$12,L$1,FALSE)</f>
        <v>Casual n Light</v>
      </c>
      <c r="M1621" t="str">
        <f>VLOOKUP($D1621,'[2]product Table data'!$A$2:$G$12,M$1,FALSE)</f>
        <v>Guatemala</v>
      </c>
      <c r="N1621" t="str">
        <f>VLOOKUP($D1621,'[2]product Table data'!$A$2:$G$12,N$1,FALSE)</f>
        <v>Central America</v>
      </c>
      <c r="O1621">
        <f>VLOOKUP($D1621,'[2]product Table data'!$A$2:$G$12,O$1,FALSE)</f>
        <v>25</v>
      </c>
      <c r="P1621">
        <f>VLOOKUP($D1621,'[2]product Table data'!$A$2:$G$12,P$1,FALSE)</f>
        <v>30</v>
      </c>
      <c r="Q1621">
        <f t="shared" si="130"/>
        <v>5</v>
      </c>
      <c r="R1621" t="str">
        <f t="shared" si="131"/>
        <v>Hub Risk</v>
      </c>
      <c r="S1621" t="str">
        <f t="shared" si="132"/>
        <v>Style Risk</v>
      </c>
      <c r="T1621" t="str">
        <f t="shared" si="133"/>
        <v>Risk</v>
      </c>
      <c r="U1621" t="str">
        <f t="shared" si="134"/>
        <v>Low Value</v>
      </c>
    </row>
    <row r="1622" spans="1:21" hidden="1" x14ac:dyDescent="0.2">
      <c r="A1622" s="2">
        <v>1620</v>
      </c>
      <c r="B1622" s="2" t="s">
        <v>9</v>
      </c>
      <c r="C1622" s="2" t="s">
        <v>2259</v>
      </c>
      <c r="D1622" s="2" t="s">
        <v>566</v>
      </c>
      <c r="E1622" s="2">
        <v>80208</v>
      </c>
      <c r="F1622" s="2" t="s">
        <v>496</v>
      </c>
      <c r="G1622" s="2" t="s">
        <v>36</v>
      </c>
      <c r="H1622" s="2">
        <v>1</v>
      </c>
      <c r="I1622" s="2" t="s">
        <v>39</v>
      </c>
      <c r="J1622" s="2" t="str">
        <f>VLOOKUP(E1622,[1]LL_Hub!$A$1:$B$13,2,FALSE)</f>
        <v>Denver</v>
      </c>
      <c r="K1622" t="str">
        <f>VLOOKUP(D1622,'[2]product Table data'!$A$2:$B$12,2,FALSE)</f>
        <v>Female</v>
      </c>
      <c r="L1622" t="str">
        <f>VLOOKUP($D1622,'[2]product Table data'!$A$2:$G$12,L$1,FALSE)</f>
        <v>Casual n Light</v>
      </c>
      <c r="M1622" t="str">
        <f>VLOOKUP($D1622,'[2]product Table data'!$A$2:$G$12,M$1,FALSE)</f>
        <v>Guatemala</v>
      </c>
      <c r="N1622" t="str">
        <f>VLOOKUP($D1622,'[2]product Table data'!$A$2:$G$12,N$1,FALSE)</f>
        <v>Central America</v>
      </c>
      <c r="O1622">
        <f>VLOOKUP($D1622,'[2]product Table data'!$A$2:$G$12,O$1,FALSE)</f>
        <v>25</v>
      </c>
      <c r="P1622">
        <f>VLOOKUP($D1622,'[2]product Table data'!$A$2:$G$12,P$1,FALSE)</f>
        <v>30</v>
      </c>
      <c r="Q1622">
        <f t="shared" si="130"/>
        <v>5</v>
      </c>
      <c r="R1622" t="str">
        <f t="shared" si="131"/>
        <v>Hub Risk</v>
      </c>
      <c r="S1622" t="str">
        <f t="shared" si="132"/>
        <v>Style Risk</v>
      </c>
      <c r="T1622" t="str">
        <f t="shared" si="133"/>
        <v>Risk</v>
      </c>
      <c r="U1622" t="str">
        <f t="shared" si="134"/>
        <v>Low Value</v>
      </c>
    </row>
    <row r="1623" spans="1:21" hidden="1" x14ac:dyDescent="0.2">
      <c r="A1623" s="2">
        <v>1621</v>
      </c>
      <c r="B1623" s="2" t="s">
        <v>9</v>
      </c>
      <c r="C1623" s="2" t="s">
        <v>2260</v>
      </c>
      <c r="D1623" s="2" t="s">
        <v>566</v>
      </c>
      <c r="E1623" s="2">
        <v>80208</v>
      </c>
      <c r="F1623" s="2" t="s">
        <v>496</v>
      </c>
      <c r="G1623" s="2" t="s">
        <v>36</v>
      </c>
      <c r="H1623" s="2">
        <v>1</v>
      </c>
      <c r="I1623" s="2" t="s">
        <v>39</v>
      </c>
      <c r="J1623" s="2" t="str">
        <f>VLOOKUP(E1623,[1]LL_Hub!$A$1:$B$13,2,FALSE)</f>
        <v>Denver</v>
      </c>
      <c r="K1623" t="str">
        <f>VLOOKUP(D1623,'[2]product Table data'!$A$2:$B$12,2,FALSE)</f>
        <v>Female</v>
      </c>
      <c r="L1623" t="str">
        <f>VLOOKUP($D1623,'[2]product Table data'!$A$2:$G$12,L$1,FALSE)</f>
        <v>Casual n Light</v>
      </c>
      <c r="M1623" t="str">
        <f>VLOOKUP($D1623,'[2]product Table data'!$A$2:$G$12,M$1,FALSE)</f>
        <v>Guatemala</v>
      </c>
      <c r="N1623" t="str">
        <f>VLOOKUP($D1623,'[2]product Table data'!$A$2:$G$12,N$1,FALSE)</f>
        <v>Central America</v>
      </c>
      <c r="O1623">
        <f>VLOOKUP($D1623,'[2]product Table data'!$A$2:$G$12,O$1,FALSE)</f>
        <v>25</v>
      </c>
      <c r="P1623">
        <f>VLOOKUP($D1623,'[2]product Table data'!$A$2:$G$12,P$1,FALSE)</f>
        <v>30</v>
      </c>
      <c r="Q1623">
        <f t="shared" si="130"/>
        <v>5</v>
      </c>
      <c r="R1623" t="str">
        <f t="shared" si="131"/>
        <v>Hub Risk</v>
      </c>
      <c r="S1623" t="str">
        <f t="shared" si="132"/>
        <v>Style Risk</v>
      </c>
      <c r="T1623" t="str">
        <f t="shared" si="133"/>
        <v>Risk</v>
      </c>
      <c r="U1623" t="str">
        <f t="shared" si="134"/>
        <v>Low Value</v>
      </c>
    </row>
    <row r="1624" spans="1:21" hidden="1" x14ac:dyDescent="0.2">
      <c r="A1624" s="2">
        <v>1622</v>
      </c>
      <c r="B1624" s="2" t="s">
        <v>9</v>
      </c>
      <c r="C1624" s="2" t="s">
        <v>2261</v>
      </c>
      <c r="D1624" s="2" t="s">
        <v>566</v>
      </c>
      <c r="E1624" s="2">
        <v>80208</v>
      </c>
      <c r="F1624" s="2" t="s">
        <v>496</v>
      </c>
      <c r="G1624" s="2" t="s">
        <v>36</v>
      </c>
      <c r="H1624" s="2">
        <v>1</v>
      </c>
      <c r="I1624" s="2" t="s">
        <v>17</v>
      </c>
      <c r="J1624" s="2" t="str">
        <f>VLOOKUP(E1624,[1]LL_Hub!$A$1:$B$13,2,FALSE)</f>
        <v>Denver</v>
      </c>
      <c r="K1624" t="str">
        <f>VLOOKUP(D1624,'[2]product Table data'!$A$2:$B$12,2,FALSE)</f>
        <v>Female</v>
      </c>
      <c r="L1624" t="str">
        <f>VLOOKUP($D1624,'[2]product Table data'!$A$2:$G$12,L$1,FALSE)</f>
        <v>Casual n Light</v>
      </c>
      <c r="M1624" t="str">
        <f>VLOOKUP($D1624,'[2]product Table data'!$A$2:$G$12,M$1,FALSE)</f>
        <v>Guatemala</v>
      </c>
      <c r="N1624" t="str">
        <f>VLOOKUP($D1624,'[2]product Table data'!$A$2:$G$12,N$1,FALSE)</f>
        <v>Central America</v>
      </c>
      <c r="O1624">
        <f>VLOOKUP($D1624,'[2]product Table data'!$A$2:$G$12,O$1,FALSE)</f>
        <v>25</v>
      </c>
      <c r="P1624">
        <f>VLOOKUP($D1624,'[2]product Table data'!$A$2:$G$12,P$1,FALSE)</f>
        <v>30</v>
      </c>
      <c r="Q1624">
        <f t="shared" si="130"/>
        <v>5</v>
      </c>
      <c r="R1624" t="str">
        <f t="shared" si="131"/>
        <v>Hub Risk</v>
      </c>
      <c r="S1624" t="str">
        <f t="shared" si="132"/>
        <v>Style Risk</v>
      </c>
      <c r="T1624" t="str">
        <f t="shared" si="133"/>
        <v>Risk</v>
      </c>
      <c r="U1624" t="str">
        <f t="shared" si="134"/>
        <v>Low Value</v>
      </c>
    </row>
    <row r="1625" spans="1:21" hidden="1" x14ac:dyDescent="0.2">
      <c r="A1625" s="2">
        <v>1623</v>
      </c>
      <c r="B1625" s="2" t="s">
        <v>9</v>
      </c>
      <c r="C1625" s="2" t="s">
        <v>2262</v>
      </c>
      <c r="D1625" s="2" t="s">
        <v>566</v>
      </c>
      <c r="E1625" s="2">
        <v>80208</v>
      </c>
      <c r="F1625" s="2" t="s">
        <v>496</v>
      </c>
      <c r="G1625" s="2" t="s">
        <v>36</v>
      </c>
      <c r="H1625" s="2">
        <v>1</v>
      </c>
      <c r="I1625" s="2" t="s">
        <v>17</v>
      </c>
      <c r="J1625" s="2" t="str">
        <f>VLOOKUP(E1625,[1]LL_Hub!$A$1:$B$13,2,FALSE)</f>
        <v>Denver</v>
      </c>
      <c r="K1625" t="str">
        <f>VLOOKUP(D1625,'[2]product Table data'!$A$2:$B$12,2,FALSE)</f>
        <v>Female</v>
      </c>
      <c r="L1625" t="str">
        <f>VLOOKUP($D1625,'[2]product Table data'!$A$2:$G$12,L$1,FALSE)</f>
        <v>Casual n Light</v>
      </c>
      <c r="M1625" t="str">
        <f>VLOOKUP($D1625,'[2]product Table data'!$A$2:$G$12,M$1,FALSE)</f>
        <v>Guatemala</v>
      </c>
      <c r="N1625" t="str">
        <f>VLOOKUP($D1625,'[2]product Table data'!$A$2:$G$12,N$1,FALSE)</f>
        <v>Central America</v>
      </c>
      <c r="O1625">
        <f>VLOOKUP($D1625,'[2]product Table data'!$A$2:$G$12,O$1,FALSE)</f>
        <v>25</v>
      </c>
      <c r="P1625">
        <f>VLOOKUP($D1625,'[2]product Table data'!$A$2:$G$12,P$1,FALSE)</f>
        <v>30</v>
      </c>
      <c r="Q1625">
        <f t="shared" si="130"/>
        <v>5</v>
      </c>
      <c r="R1625" t="str">
        <f t="shared" si="131"/>
        <v>Hub Risk</v>
      </c>
      <c r="S1625" t="str">
        <f t="shared" si="132"/>
        <v>Style Risk</v>
      </c>
      <c r="T1625" t="str">
        <f t="shared" si="133"/>
        <v>Risk</v>
      </c>
      <c r="U1625" t="str">
        <f t="shared" si="134"/>
        <v>Low Value</v>
      </c>
    </row>
    <row r="1626" spans="1:21" hidden="1" x14ac:dyDescent="0.2">
      <c r="A1626" s="2">
        <v>1624</v>
      </c>
      <c r="B1626" s="2" t="s">
        <v>9</v>
      </c>
      <c r="C1626" s="2" t="s">
        <v>2263</v>
      </c>
      <c r="D1626" s="2" t="s">
        <v>566</v>
      </c>
      <c r="E1626" s="2">
        <v>80208</v>
      </c>
      <c r="F1626" s="2" t="s">
        <v>496</v>
      </c>
      <c r="G1626" s="2" t="s">
        <v>36</v>
      </c>
      <c r="H1626" s="2">
        <v>1</v>
      </c>
      <c r="I1626" s="2" t="s">
        <v>17</v>
      </c>
      <c r="J1626" s="2" t="str">
        <f>VLOOKUP(E1626,[1]LL_Hub!$A$1:$B$13,2,FALSE)</f>
        <v>Denver</v>
      </c>
      <c r="K1626" t="str">
        <f>VLOOKUP(D1626,'[2]product Table data'!$A$2:$B$12,2,FALSE)</f>
        <v>Female</v>
      </c>
      <c r="L1626" t="str">
        <f>VLOOKUP($D1626,'[2]product Table data'!$A$2:$G$12,L$1,FALSE)</f>
        <v>Casual n Light</v>
      </c>
      <c r="M1626" t="str">
        <f>VLOOKUP($D1626,'[2]product Table data'!$A$2:$G$12,M$1,FALSE)</f>
        <v>Guatemala</v>
      </c>
      <c r="N1626" t="str">
        <f>VLOOKUP($D1626,'[2]product Table data'!$A$2:$G$12,N$1,FALSE)</f>
        <v>Central America</v>
      </c>
      <c r="O1626">
        <f>VLOOKUP($D1626,'[2]product Table data'!$A$2:$G$12,O$1,FALSE)</f>
        <v>25</v>
      </c>
      <c r="P1626">
        <f>VLOOKUP($D1626,'[2]product Table data'!$A$2:$G$12,P$1,FALSE)</f>
        <v>30</v>
      </c>
      <c r="Q1626">
        <f t="shared" si="130"/>
        <v>5</v>
      </c>
      <c r="R1626" t="str">
        <f t="shared" si="131"/>
        <v>Hub Risk</v>
      </c>
      <c r="S1626" t="str">
        <f t="shared" si="132"/>
        <v>Style Risk</v>
      </c>
      <c r="T1626" t="str">
        <f t="shared" si="133"/>
        <v>Risk</v>
      </c>
      <c r="U1626" t="str">
        <f t="shared" si="134"/>
        <v>Low Value</v>
      </c>
    </row>
    <row r="1627" spans="1:21" hidden="1" x14ac:dyDescent="0.2">
      <c r="A1627" s="2">
        <v>1625</v>
      </c>
      <c r="B1627" s="2" t="s">
        <v>9</v>
      </c>
      <c r="C1627" s="2" t="s">
        <v>2264</v>
      </c>
      <c r="D1627" s="2" t="s">
        <v>566</v>
      </c>
      <c r="E1627" s="2">
        <v>80208</v>
      </c>
      <c r="F1627" s="2" t="s">
        <v>496</v>
      </c>
      <c r="G1627" s="2" t="s">
        <v>36</v>
      </c>
      <c r="H1627" s="2">
        <v>1</v>
      </c>
      <c r="I1627" s="2" t="s">
        <v>17</v>
      </c>
      <c r="J1627" s="2" t="str">
        <f>VLOOKUP(E1627,[1]LL_Hub!$A$1:$B$13,2,FALSE)</f>
        <v>Denver</v>
      </c>
      <c r="K1627" t="str">
        <f>VLOOKUP(D1627,'[2]product Table data'!$A$2:$B$12,2,FALSE)</f>
        <v>Female</v>
      </c>
      <c r="L1627" t="str">
        <f>VLOOKUP($D1627,'[2]product Table data'!$A$2:$G$12,L$1,FALSE)</f>
        <v>Casual n Light</v>
      </c>
      <c r="M1627" t="str">
        <f>VLOOKUP($D1627,'[2]product Table data'!$A$2:$G$12,M$1,FALSE)</f>
        <v>Guatemala</v>
      </c>
      <c r="N1627" t="str">
        <f>VLOOKUP($D1627,'[2]product Table data'!$A$2:$G$12,N$1,FALSE)</f>
        <v>Central America</v>
      </c>
      <c r="O1627">
        <f>VLOOKUP($D1627,'[2]product Table data'!$A$2:$G$12,O$1,FALSE)</f>
        <v>25</v>
      </c>
      <c r="P1627">
        <f>VLOOKUP($D1627,'[2]product Table data'!$A$2:$G$12,P$1,FALSE)</f>
        <v>30</v>
      </c>
      <c r="Q1627">
        <f t="shared" si="130"/>
        <v>5</v>
      </c>
      <c r="R1627" t="str">
        <f t="shared" si="131"/>
        <v>Hub Risk</v>
      </c>
      <c r="S1627" t="str">
        <f t="shared" si="132"/>
        <v>Style Risk</v>
      </c>
      <c r="T1627" t="str">
        <f t="shared" si="133"/>
        <v>Risk</v>
      </c>
      <c r="U1627" t="str">
        <f t="shared" si="134"/>
        <v>Low Value</v>
      </c>
    </row>
    <row r="1628" spans="1:21" hidden="1" x14ac:dyDescent="0.2">
      <c r="A1628" s="2">
        <v>1626</v>
      </c>
      <c r="B1628" s="2" t="s">
        <v>9</v>
      </c>
      <c r="C1628" s="2" t="s">
        <v>2265</v>
      </c>
      <c r="D1628" s="2" t="s">
        <v>566</v>
      </c>
      <c r="E1628" s="2">
        <v>80208</v>
      </c>
      <c r="F1628" s="2" t="s">
        <v>496</v>
      </c>
      <c r="G1628" s="2" t="s">
        <v>36</v>
      </c>
      <c r="H1628" s="2">
        <v>1</v>
      </c>
      <c r="I1628" s="2" t="s">
        <v>17</v>
      </c>
      <c r="J1628" s="2" t="str">
        <f>VLOOKUP(E1628,[1]LL_Hub!$A$1:$B$13,2,FALSE)</f>
        <v>Denver</v>
      </c>
      <c r="K1628" t="str">
        <f>VLOOKUP(D1628,'[2]product Table data'!$A$2:$B$12,2,FALSE)</f>
        <v>Female</v>
      </c>
      <c r="L1628" t="str">
        <f>VLOOKUP($D1628,'[2]product Table data'!$A$2:$G$12,L$1,FALSE)</f>
        <v>Casual n Light</v>
      </c>
      <c r="M1628" t="str">
        <f>VLOOKUP($D1628,'[2]product Table data'!$A$2:$G$12,M$1,FALSE)</f>
        <v>Guatemala</v>
      </c>
      <c r="N1628" t="str">
        <f>VLOOKUP($D1628,'[2]product Table data'!$A$2:$G$12,N$1,FALSE)</f>
        <v>Central America</v>
      </c>
      <c r="O1628">
        <f>VLOOKUP($D1628,'[2]product Table data'!$A$2:$G$12,O$1,FALSE)</f>
        <v>25</v>
      </c>
      <c r="P1628">
        <f>VLOOKUP($D1628,'[2]product Table data'!$A$2:$G$12,P$1,FALSE)</f>
        <v>30</v>
      </c>
      <c r="Q1628">
        <f t="shared" si="130"/>
        <v>5</v>
      </c>
      <c r="R1628" t="str">
        <f t="shared" si="131"/>
        <v>Hub Risk</v>
      </c>
      <c r="S1628" t="str">
        <f t="shared" si="132"/>
        <v>Style Risk</v>
      </c>
      <c r="T1628" t="str">
        <f t="shared" si="133"/>
        <v>Risk</v>
      </c>
      <c r="U1628" t="str">
        <f t="shared" si="134"/>
        <v>Low Value</v>
      </c>
    </row>
    <row r="1629" spans="1:21" hidden="1" x14ac:dyDescent="0.2">
      <c r="A1629" s="2">
        <v>1627</v>
      </c>
      <c r="B1629" s="2" t="s">
        <v>9</v>
      </c>
      <c r="C1629" s="2" t="s">
        <v>2266</v>
      </c>
      <c r="D1629" s="2" t="s">
        <v>566</v>
      </c>
      <c r="E1629" s="2">
        <v>80208</v>
      </c>
      <c r="F1629" s="2" t="s">
        <v>496</v>
      </c>
      <c r="G1629" s="2" t="s">
        <v>36</v>
      </c>
      <c r="H1629" s="2">
        <v>1</v>
      </c>
      <c r="I1629" s="2" t="s">
        <v>17</v>
      </c>
      <c r="J1629" s="2" t="str">
        <f>VLOOKUP(E1629,[1]LL_Hub!$A$1:$B$13,2,FALSE)</f>
        <v>Denver</v>
      </c>
      <c r="K1629" t="str">
        <f>VLOOKUP(D1629,'[2]product Table data'!$A$2:$B$12,2,FALSE)</f>
        <v>Female</v>
      </c>
      <c r="L1629" t="str">
        <f>VLOOKUP($D1629,'[2]product Table data'!$A$2:$G$12,L$1,FALSE)</f>
        <v>Casual n Light</v>
      </c>
      <c r="M1629" t="str">
        <f>VLOOKUP($D1629,'[2]product Table data'!$A$2:$G$12,M$1,FALSE)</f>
        <v>Guatemala</v>
      </c>
      <c r="N1629" t="str">
        <f>VLOOKUP($D1629,'[2]product Table data'!$A$2:$G$12,N$1,FALSE)</f>
        <v>Central America</v>
      </c>
      <c r="O1629">
        <f>VLOOKUP($D1629,'[2]product Table data'!$A$2:$G$12,O$1,FALSE)</f>
        <v>25</v>
      </c>
      <c r="P1629">
        <f>VLOOKUP($D1629,'[2]product Table data'!$A$2:$G$12,P$1,FALSE)</f>
        <v>30</v>
      </c>
      <c r="Q1629">
        <f t="shared" si="130"/>
        <v>5</v>
      </c>
      <c r="R1629" t="str">
        <f t="shared" si="131"/>
        <v>Hub Risk</v>
      </c>
      <c r="S1629" t="str">
        <f t="shared" si="132"/>
        <v>Style Risk</v>
      </c>
      <c r="T1629" t="str">
        <f t="shared" si="133"/>
        <v>Risk</v>
      </c>
      <c r="U1629" t="str">
        <f t="shared" si="134"/>
        <v>Low Value</v>
      </c>
    </row>
    <row r="1630" spans="1:21" hidden="1" x14ac:dyDescent="0.2">
      <c r="A1630" s="2">
        <v>1628</v>
      </c>
      <c r="B1630" s="2" t="s">
        <v>9</v>
      </c>
      <c r="C1630" s="2" t="s">
        <v>2267</v>
      </c>
      <c r="D1630" s="2" t="s">
        <v>566</v>
      </c>
      <c r="E1630" s="2">
        <v>80208</v>
      </c>
      <c r="F1630" s="2" t="s">
        <v>496</v>
      </c>
      <c r="G1630" s="2" t="s">
        <v>36</v>
      </c>
      <c r="H1630" s="2">
        <v>1</v>
      </c>
      <c r="I1630" s="2" t="s">
        <v>17</v>
      </c>
      <c r="J1630" s="2" t="str">
        <f>VLOOKUP(E1630,[1]LL_Hub!$A$1:$B$13,2,FALSE)</f>
        <v>Denver</v>
      </c>
      <c r="K1630" t="str">
        <f>VLOOKUP(D1630,'[2]product Table data'!$A$2:$B$12,2,FALSE)</f>
        <v>Female</v>
      </c>
      <c r="L1630" t="str">
        <f>VLOOKUP($D1630,'[2]product Table data'!$A$2:$G$12,L$1,FALSE)</f>
        <v>Casual n Light</v>
      </c>
      <c r="M1630" t="str">
        <f>VLOOKUP($D1630,'[2]product Table data'!$A$2:$G$12,M$1,FALSE)</f>
        <v>Guatemala</v>
      </c>
      <c r="N1630" t="str">
        <f>VLOOKUP($D1630,'[2]product Table data'!$A$2:$G$12,N$1,FALSE)</f>
        <v>Central America</v>
      </c>
      <c r="O1630">
        <f>VLOOKUP($D1630,'[2]product Table data'!$A$2:$G$12,O$1,FALSE)</f>
        <v>25</v>
      </c>
      <c r="P1630">
        <f>VLOOKUP($D1630,'[2]product Table data'!$A$2:$G$12,P$1,FALSE)</f>
        <v>30</v>
      </c>
      <c r="Q1630">
        <f t="shared" si="130"/>
        <v>5</v>
      </c>
      <c r="R1630" t="str">
        <f t="shared" si="131"/>
        <v>Hub Risk</v>
      </c>
      <c r="S1630" t="str">
        <f t="shared" si="132"/>
        <v>Style Risk</v>
      </c>
      <c r="T1630" t="str">
        <f t="shared" si="133"/>
        <v>Risk</v>
      </c>
      <c r="U1630" t="str">
        <f t="shared" si="134"/>
        <v>Low Value</v>
      </c>
    </row>
  </sheetData>
  <autoFilter ref="A2:U1630" xr:uid="{00000000-0009-0000-0000-000004000000}">
    <filterColumn colId="8">
      <filters>
        <filter val="FEB"/>
      </filters>
    </filterColumn>
    <sortState xmlns:xlrd2="http://schemas.microsoft.com/office/spreadsheetml/2017/richdata2" ref="A3:U1522">
      <sortCondition ref="Q2:Q1630"/>
    </sortState>
  </autoFilter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7AFCF-1A09-854B-AC94-0C888C09D268}">
  <dimension ref="A1:B15"/>
  <sheetViews>
    <sheetView zoomScale="75" zoomScaleNormal="87" workbookViewId="0">
      <selection activeCell="G33" sqref="G33"/>
    </sheetView>
  </sheetViews>
  <sheetFormatPr baseColWidth="10" defaultRowHeight="16" x14ac:dyDescent="0.2"/>
  <cols>
    <col min="1" max="1" width="24.6640625" bestFit="1" customWidth="1"/>
    <col min="2" max="2" width="12.33203125" bestFit="1" customWidth="1"/>
    <col min="3" max="3" width="15.5" bestFit="1" customWidth="1"/>
    <col min="4" max="4" width="14.33203125" bestFit="1" customWidth="1"/>
    <col min="5" max="5" width="20" bestFit="1" customWidth="1"/>
    <col min="6" max="6" width="21" bestFit="1" customWidth="1"/>
    <col min="7" max="7" width="20.83203125" bestFit="1" customWidth="1"/>
    <col min="8" max="8" width="22.83203125" bestFit="1" customWidth="1"/>
    <col min="9" max="9" width="15.33203125" bestFit="1" customWidth="1"/>
    <col min="10" max="10" width="24.83203125" bestFit="1" customWidth="1"/>
    <col min="11" max="11" width="15.33203125" bestFit="1" customWidth="1"/>
    <col min="12" max="12" width="10.83203125" bestFit="1" customWidth="1"/>
    <col min="13" max="13" width="11.83203125" bestFit="1" customWidth="1"/>
    <col min="14" max="14" width="22.83203125" bestFit="1" customWidth="1"/>
    <col min="15" max="15" width="11.83203125" bestFit="1" customWidth="1"/>
    <col min="16" max="16" width="15.33203125" bestFit="1" customWidth="1"/>
    <col min="17" max="17" width="11.83203125" bestFit="1" customWidth="1"/>
    <col min="18" max="18" width="24.83203125" bestFit="1" customWidth="1"/>
    <col min="19" max="19" width="11.83203125" bestFit="1" customWidth="1"/>
    <col min="20" max="20" width="15.33203125" bestFit="1" customWidth="1"/>
    <col min="21" max="21" width="11.83203125" bestFit="1" customWidth="1"/>
    <col min="22" max="22" width="16.83203125" bestFit="1" customWidth="1"/>
    <col min="23" max="23" width="16.6640625" bestFit="1" customWidth="1"/>
    <col min="24" max="24" width="9.1640625" bestFit="1" customWidth="1"/>
    <col min="25" max="25" width="25.6640625" bestFit="1" customWidth="1"/>
    <col min="26" max="26" width="25" bestFit="1" customWidth="1"/>
    <col min="27" max="27" width="11" bestFit="1" customWidth="1"/>
    <col min="28" max="28" width="6.6640625" bestFit="1" customWidth="1"/>
    <col min="29" max="29" width="9.1640625" bestFit="1" customWidth="1"/>
    <col min="30" max="30" width="27.6640625" bestFit="1" customWidth="1"/>
    <col min="31" max="31" width="17.5" bestFit="1" customWidth="1"/>
    <col min="32" max="32" width="9.1640625" bestFit="1" customWidth="1"/>
    <col min="33" max="33" width="20.1640625" bestFit="1" customWidth="1"/>
    <col min="34" max="34" width="27" bestFit="1" customWidth="1"/>
    <col min="35" max="35" width="29.6640625" bestFit="1" customWidth="1"/>
    <col min="36" max="36" width="17.5" bestFit="1" customWidth="1"/>
    <col min="37" max="37" width="9.1640625" bestFit="1" customWidth="1"/>
    <col min="38" max="38" width="20.1640625" bestFit="1" customWidth="1"/>
  </cols>
  <sheetData>
    <row r="1" spans="1:2" x14ac:dyDescent="0.2">
      <c r="A1" s="8" t="s">
        <v>8</v>
      </c>
      <c r="B1" t="s">
        <v>2292</v>
      </c>
    </row>
    <row r="2" spans="1:2" x14ac:dyDescent="0.2">
      <c r="A2" s="8" t="s">
        <v>2268</v>
      </c>
      <c r="B2" t="s">
        <v>2292</v>
      </c>
    </row>
    <row r="4" spans="1:2" x14ac:dyDescent="0.2">
      <c r="A4" s="8" t="s">
        <v>2285</v>
      </c>
      <c r="B4" t="s">
        <v>2301</v>
      </c>
    </row>
    <row r="5" spans="1:2" x14ac:dyDescent="0.2">
      <c r="A5" s="9" t="s">
        <v>558</v>
      </c>
      <c r="B5">
        <v>-4275</v>
      </c>
    </row>
    <row r="6" spans="1:2" x14ac:dyDescent="0.2">
      <c r="A6" s="9" t="s">
        <v>19</v>
      </c>
      <c r="B6">
        <v>1095</v>
      </c>
    </row>
    <row r="7" spans="1:2" x14ac:dyDescent="0.2">
      <c r="A7" s="9" t="s">
        <v>11</v>
      </c>
      <c r="B7">
        <v>1270</v>
      </c>
    </row>
    <row r="8" spans="1:2" x14ac:dyDescent="0.2">
      <c r="A8" s="9" t="s">
        <v>566</v>
      </c>
      <c r="B8">
        <v>1985</v>
      </c>
    </row>
    <row r="9" spans="1:2" x14ac:dyDescent="0.2">
      <c r="A9" s="9" t="s">
        <v>22</v>
      </c>
      <c r="B9">
        <v>2900</v>
      </c>
    </row>
    <row r="10" spans="1:2" x14ac:dyDescent="0.2">
      <c r="A10" s="9" t="s">
        <v>505</v>
      </c>
      <c r="B10">
        <v>4635</v>
      </c>
    </row>
    <row r="11" spans="1:2" x14ac:dyDescent="0.2">
      <c r="A11" s="9" t="s">
        <v>604</v>
      </c>
      <c r="B11">
        <v>9450</v>
      </c>
    </row>
    <row r="12" spans="1:2" x14ac:dyDescent="0.2">
      <c r="A12" s="9" t="s">
        <v>41</v>
      </c>
      <c r="B12">
        <v>9625</v>
      </c>
    </row>
    <row r="13" spans="1:2" x14ac:dyDescent="0.2">
      <c r="A13" s="9" t="s">
        <v>45</v>
      </c>
      <c r="B13">
        <v>22600</v>
      </c>
    </row>
    <row r="14" spans="1:2" x14ac:dyDescent="0.2">
      <c r="A14" s="9" t="s">
        <v>968</v>
      </c>
      <c r="B14">
        <v>28800</v>
      </c>
    </row>
    <row r="15" spans="1:2" x14ac:dyDescent="0.2">
      <c r="A15" s="9" t="s">
        <v>2283</v>
      </c>
      <c r="B15">
        <v>78085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2A155-60D4-0C4D-81D4-07248C7DCDF2}">
  <dimension ref="A1:B39"/>
  <sheetViews>
    <sheetView topLeftCell="A32" zoomScaleNormal="100" workbookViewId="0">
      <selection activeCell="B3" sqref="B3"/>
    </sheetView>
  </sheetViews>
  <sheetFormatPr baseColWidth="10" defaultRowHeight="16" x14ac:dyDescent="0.2"/>
  <cols>
    <col min="1" max="1" width="27" bestFit="1" customWidth="1"/>
    <col min="2" max="2" width="11.83203125" bestFit="1" customWidth="1"/>
    <col min="3" max="3" width="14.5" bestFit="1" customWidth="1"/>
  </cols>
  <sheetData>
    <row r="1" spans="1:2" x14ac:dyDescent="0.2">
      <c r="A1" s="8" t="s">
        <v>2285</v>
      </c>
      <c r="B1" t="s">
        <v>2300</v>
      </c>
    </row>
    <row r="2" spans="1:2" x14ac:dyDescent="0.2">
      <c r="A2" s="9" t="s">
        <v>558</v>
      </c>
      <c r="B2">
        <v>57</v>
      </c>
    </row>
    <row r="3" spans="1:2" x14ac:dyDescent="0.2">
      <c r="A3" s="10" t="s">
        <v>2275</v>
      </c>
      <c r="B3">
        <v>48</v>
      </c>
    </row>
    <row r="4" spans="1:2" x14ac:dyDescent="0.2">
      <c r="A4" s="10" t="s">
        <v>2277</v>
      </c>
      <c r="B4">
        <v>1</v>
      </c>
    </row>
    <row r="5" spans="1:2" x14ac:dyDescent="0.2">
      <c r="A5" s="10" t="s">
        <v>2276</v>
      </c>
      <c r="B5">
        <v>8</v>
      </c>
    </row>
    <row r="6" spans="1:2" x14ac:dyDescent="0.2">
      <c r="A6" s="9" t="s">
        <v>604</v>
      </c>
      <c r="B6">
        <v>189</v>
      </c>
    </row>
    <row r="7" spans="1:2" x14ac:dyDescent="0.2">
      <c r="A7" s="10" t="s">
        <v>2277</v>
      </c>
      <c r="B7">
        <v>187</v>
      </c>
    </row>
    <row r="8" spans="1:2" x14ac:dyDescent="0.2">
      <c r="A8" s="10" t="s">
        <v>2276</v>
      </c>
      <c r="B8">
        <v>2</v>
      </c>
    </row>
    <row r="9" spans="1:2" x14ac:dyDescent="0.2">
      <c r="A9" s="9" t="s">
        <v>11</v>
      </c>
      <c r="B9">
        <v>127</v>
      </c>
    </row>
    <row r="10" spans="1:2" x14ac:dyDescent="0.2">
      <c r="A10" s="10" t="s">
        <v>2278</v>
      </c>
      <c r="B10">
        <v>113</v>
      </c>
    </row>
    <row r="11" spans="1:2" x14ac:dyDescent="0.2">
      <c r="A11" s="10" t="s">
        <v>2275</v>
      </c>
      <c r="B11">
        <v>2</v>
      </c>
    </row>
    <row r="12" spans="1:2" x14ac:dyDescent="0.2">
      <c r="A12" s="10" t="s">
        <v>2277</v>
      </c>
      <c r="B12">
        <v>5</v>
      </c>
    </row>
    <row r="13" spans="1:2" x14ac:dyDescent="0.2">
      <c r="A13" s="10" t="s">
        <v>2276</v>
      </c>
      <c r="B13">
        <v>7</v>
      </c>
    </row>
    <row r="14" spans="1:2" x14ac:dyDescent="0.2">
      <c r="A14" s="9" t="s">
        <v>22</v>
      </c>
      <c r="B14">
        <v>29</v>
      </c>
    </row>
    <row r="15" spans="1:2" x14ac:dyDescent="0.2">
      <c r="A15" s="10" t="s">
        <v>2277</v>
      </c>
      <c r="B15">
        <v>17</v>
      </c>
    </row>
    <row r="16" spans="1:2" x14ac:dyDescent="0.2">
      <c r="A16" s="10" t="s">
        <v>2276</v>
      </c>
      <c r="B16">
        <v>12</v>
      </c>
    </row>
    <row r="17" spans="1:2" x14ac:dyDescent="0.2">
      <c r="A17" s="9" t="s">
        <v>566</v>
      </c>
      <c r="B17">
        <v>397</v>
      </c>
    </row>
    <row r="18" spans="1:2" x14ac:dyDescent="0.2">
      <c r="A18" s="10" t="s">
        <v>2278</v>
      </c>
      <c r="B18">
        <v>391</v>
      </c>
    </row>
    <row r="19" spans="1:2" x14ac:dyDescent="0.2">
      <c r="A19" s="10" t="s">
        <v>2277</v>
      </c>
      <c r="B19">
        <v>4</v>
      </c>
    </row>
    <row r="20" spans="1:2" x14ac:dyDescent="0.2">
      <c r="A20" s="10" t="s">
        <v>2276</v>
      </c>
      <c r="B20">
        <v>2</v>
      </c>
    </row>
    <row r="21" spans="1:2" x14ac:dyDescent="0.2">
      <c r="A21" s="9" t="s">
        <v>19</v>
      </c>
      <c r="B21">
        <v>73</v>
      </c>
    </row>
    <row r="22" spans="1:2" x14ac:dyDescent="0.2">
      <c r="A22" s="10" t="s">
        <v>2278</v>
      </c>
      <c r="B22">
        <v>6</v>
      </c>
    </row>
    <row r="23" spans="1:2" x14ac:dyDescent="0.2">
      <c r="A23" s="10" t="s">
        <v>2275</v>
      </c>
      <c r="B23">
        <v>1</v>
      </c>
    </row>
    <row r="24" spans="1:2" x14ac:dyDescent="0.2">
      <c r="A24" s="10" t="s">
        <v>2277</v>
      </c>
      <c r="B24">
        <v>3</v>
      </c>
    </row>
    <row r="25" spans="1:2" x14ac:dyDescent="0.2">
      <c r="A25" s="10" t="s">
        <v>2276</v>
      </c>
      <c r="B25">
        <v>63</v>
      </c>
    </row>
    <row r="26" spans="1:2" x14ac:dyDescent="0.2">
      <c r="A26" s="9" t="s">
        <v>505</v>
      </c>
      <c r="B26">
        <v>309</v>
      </c>
    </row>
    <row r="27" spans="1:2" x14ac:dyDescent="0.2">
      <c r="A27" s="10" t="s">
        <v>2278</v>
      </c>
      <c r="B27">
        <v>2</v>
      </c>
    </row>
    <row r="28" spans="1:2" x14ac:dyDescent="0.2">
      <c r="A28" s="10" t="s">
        <v>2275</v>
      </c>
      <c r="B28">
        <v>5</v>
      </c>
    </row>
    <row r="29" spans="1:2" x14ac:dyDescent="0.2">
      <c r="A29" s="10" t="s">
        <v>2277</v>
      </c>
      <c r="B29">
        <v>1</v>
      </c>
    </row>
    <row r="30" spans="1:2" x14ac:dyDescent="0.2">
      <c r="A30" s="10" t="s">
        <v>2276</v>
      </c>
      <c r="B30">
        <v>301</v>
      </c>
    </row>
    <row r="31" spans="1:2" x14ac:dyDescent="0.2">
      <c r="A31" s="9" t="s">
        <v>45</v>
      </c>
      <c r="B31">
        <v>226</v>
      </c>
    </row>
    <row r="32" spans="1:2" x14ac:dyDescent="0.2">
      <c r="A32" s="10" t="s">
        <v>2278</v>
      </c>
      <c r="B32">
        <v>7</v>
      </c>
    </row>
    <row r="33" spans="1:2" x14ac:dyDescent="0.2">
      <c r="A33" s="10" t="s">
        <v>2276</v>
      </c>
      <c r="B33">
        <v>219</v>
      </c>
    </row>
    <row r="34" spans="1:2" x14ac:dyDescent="0.2">
      <c r="A34" s="9" t="s">
        <v>968</v>
      </c>
      <c r="B34">
        <v>36</v>
      </c>
    </row>
    <row r="35" spans="1:2" x14ac:dyDescent="0.2">
      <c r="A35" s="10" t="s">
        <v>2277</v>
      </c>
      <c r="B35">
        <v>36</v>
      </c>
    </row>
    <row r="36" spans="1:2" x14ac:dyDescent="0.2">
      <c r="A36" s="9" t="s">
        <v>41</v>
      </c>
      <c r="B36">
        <v>77</v>
      </c>
    </row>
    <row r="37" spans="1:2" x14ac:dyDescent="0.2">
      <c r="A37" s="10" t="s">
        <v>2278</v>
      </c>
      <c r="B37">
        <v>10</v>
      </c>
    </row>
    <row r="38" spans="1:2" x14ac:dyDescent="0.2">
      <c r="A38" s="10" t="s">
        <v>2276</v>
      </c>
      <c r="B38">
        <v>67</v>
      </c>
    </row>
    <row r="39" spans="1:2" x14ac:dyDescent="0.2">
      <c r="A39" s="9" t="s">
        <v>2283</v>
      </c>
      <c r="B39">
        <v>1520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D9"/>
  <sheetViews>
    <sheetView workbookViewId="0">
      <selection activeCell="F17" sqref="F17"/>
    </sheetView>
  </sheetViews>
  <sheetFormatPr baseColWidth="10" defaultRowHeight="16" x14ac:dyDescent="0.2"/>
  <cols>
    <col min="7" max="7" width="9.1640625" customWidth="1"/>
  </cols>
  <sheetData>
    <row r="2" spans="1:4" x14ac:dyDescent="0.2">
      <c r="A2" s="7" t="s">
        <v>2268</v>
      </c>
      <c r="B2" s="7" t="s">
        <v>2280</v>
      </c>
      <c r="C2" s="7" t="s">
        <v>2281</v>
      </c>
      <c r="D2" s="7" t="s">
        <v>2282</v>
      </c>
    </row>
    <row r="3" spans="1:4" x14ac:dyDescent="0.2">
      <c r="A3" s="1" t="s">
        <v>2275</v>
      </c>
      <c r="B3" s="1">
        <f>SUMIFS('Order log data'!$P:$P,'Order log data'!$J:$J,'Profit by Region'!A3)</f>
        <v>3970</v>
      </c>
      <c r="C3" s="1">
        <f>SUMIFS('Order log data'!O:O,'Order log data'!J:J,'Profit by Region'!A3)</f>
        <v>7535</v>
      </c>
      <c r="D3" s="1">
        <f>B3-C3</f>
        <v>-3565</v>
      </c>
    </row>
    <row r="4" spans="1:4" x14ac:dyDescent="0.2">
      <c r="A4" s="1" t="s">
        <v>2276</v>
      </c>
      <c r="B4" s="1">
        <f>SUMIFS('Order log data'!$P:$P,'Order log data'!$J:$J,'Profit by Region'!A4)</f>
        <v>164940</v>
      </c>
      <c r="C4" s="1">
        <f>SUMIFS('Order log data'!O:O,'Order log data'!J:J,'Profit by Region'!A4)</f>
        <v>127390</v>
      </c>
      <c r="D4" s="1">
        <f t="shared" ref="D4:D6" si="0">B4-C4</f>
        <v>37550</v>
      </c>
    </row>
    <row r="5" spans="1:4" x14ac:dyDescent="0.2">
      <c r="A5" s="1" t="s">
        <v>2277</v>
      </c>
      <c r="B5" s="1">
        <f>SUMIFS('Order log data'!$P:$P,'Order log data'!$J:$J,'Profit by Region'!A5)</f>
        <v>105155</v>
      </c>
      <c r="C5" s="1">
        <f>SUMIFS('Order log data'!O:O,'Order log data'!J:J,'Profit by Region'!A5)</f>
        <v>65250</v>
      </c>
      <c r="D5" s="1">
        <f t="shared" si="0"/>
        <v>39905</v>
      </c>
    </row>
    <row r="6" spans="1:4" x14ac:dyDescent="0.2">
      <c r="A6" s="1" t="s">
        <v>2278</v>
      </c>
      <c r="B6" s="1">
        <f>SUMIFS('Order log data'!$P:$P,'Order log data'!$J:$J,'Profit by Region'!A6)</f>
        <v>24550</v>
      </c>
      <c r="C6" s="1">
        <f>SUMIFS('Order log data'!O:O,'Order log data'!J:J,'Profit by Region'!A6)</f>
        <v>19205</v>
      </c>
      <c r="D6" s="1">
        <f t="shared" si="0"/>
        <v>5345</v>
      </c>
    </row>
    <row r="7" spans="1:4" x14ac:dyDescent="0.2">
      <c r="A7" s="6" t="s">
        <v>2283</v>
      </c>
      <c r="B7" s="6">
        <f>B6+B5+B4+B3</f>
        <v>298615</v>
      </c>
      <c r="C7" s="6">
        <f>C6+C5+C4+C3</f>
        <v>219380</v>
      </c>
      <c r="D7" s="6">
        <f>D6+D5+D4+D3</f>
        <v>79235</v>
      </c>
    </row>
    <row r="8" spans="1:4" ht="26" customHeight="1" x14ac:dyDescent="0.2">
      <c r="A8" t="s">
        <v>2284</v>
      </c>
    </row>
    <row r="9" spans="1:4" ht="15" customHeight="1" x14ac:dyDescent="0.2"/>
  </sheetData>
  <autoFilter ref="A1:A6" xr:uid="{00000000-0009-0000-0000-000005000000}"/>
  <conditionalFormatting sqref="D3:D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:D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Q3 Pivots</vt:lpstr>
      <vt:lpstr>new pivot</vt:lpstr>
      <vt:lpstr>Question 5 Risk_Order_Threshold</vt:lpstr>
      <vt:lpstr>Order log data</vt:lpstr>
      <vt:lpstr>Profits by Item</vt:lpstr>
      <vt:lpstr>Units in Regions</vt:lpstr>
      <vt:lpstr>Profit by Region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Albert Dahlberg</cp:lastModifiedBy>
  <dcterms:created xsi:type="dcterms:W3CDTF">2021-01-03T15:59:05Z</dcterms:created>
  <dcterms:modified xsi:type="dcterms:W3CDTF">2025-08-04T02:02:31Z</dcterms:modified>
</cp:coreProperties>
</file>